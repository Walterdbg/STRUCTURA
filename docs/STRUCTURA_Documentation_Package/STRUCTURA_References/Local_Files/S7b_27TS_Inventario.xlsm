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o Panama Projects 2025\27TSPanama\Projecto de inventario\EXCEL APP\27TS_Inventario_Package3\"/>
    </mc:Choice>
  </mc:AlternateContent>
  <xr:revisionPtr revIDLastSave="0" documentId="13_ncr:1_{78C74DCC-6003-4BB8-A504-8068DE8A137F}" xr6:coauthVersionLast="47" xr6:coauthVersionMax="47" xr10:uidLastSave="{00000000-0000-0000-0000-000000000000}"/>
  <bookViews>
    <workbookView xWindow="1090" yWindow="1790" windowWidth="28800" windowHeight="17290" xr2:uid="{00000000-000D-0000-FFFF-FFFF00000000}"/>
  </bookViews>
  <sheets>
    <sheet name="Menú" sheetId="1" r:id="rId1"/>
    <sheet name="Formulario Producto" sheetId="2" r:id="rId2"/>
    <sheet name="Nuevo Alquiler" sheetId="3" r:id="rId3"/>
    <sheet name="Retornos" sheetId="4" r:id="rId4"/>
    <sheet name="Calendario" sheetId="5" r:id="rId5"/>
    <sheet name="Productos" sheetId="6" r:id="rId6"/>
    <sheet name="Eventos" sheetId="7" r:id="rId7"/>
    <sheet name="Detalle Alquiler" sheetId="8" r:id="rId8"/>
    <sheet name="Movimientos" sheetId="9" r:id="rId9"/>
    <sheet name="Listas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3" l="1"/>
  <c r="G43" i="3"/>
  <c r="E43" i="3"/>
  <c r="C43" i="3"/>
  <c r="D43" i="3" s="1"/>
  <c r="E42" i="3"/>
  <c r="C42" i="3"/>
  <c r="H42" i="3" s="1"/>
  <c r="H41" i="3"/>
  <c r="E41" i="3"/>
  <c r="C41" i="3"/>
  <c r="G41" i="3" s="1"/>
  <c r="H40" i="3"/>
  <c r="E40" i="3"/>
  <c r="D40" i="3"/>
  <c r="C40" i="3"/>
  <c r="G40" i="3" s="1"/>
  <c r="H39" i="3"/>
  <c r="D39" i="3"/>
  <c r="C39" i="3"/>
  <c r="G39" i="3" s="1"/>
  <c r="H38" i="3"/>
  <c r="G38" i="3"/>
  <c r="D38" i="3"/>
  <c r="C38" i="3"/>
  <c r="E38" i="3" s="1"/>
  <c r="C37" i="3"/>
  <c r="G36" i="3"/>
  <c r="C36" i="3"/>
  <c r="C35" i="3"/>
  <c r="E34" i="3"/>
  <c r="C34" i="3"/>
  <c r="H33" i="3"/>
  <c r="E33" i="3"/>
  <c r="C33" i="3"/>
  <c r="G33" i="3" s="1"/>
  <c r="H32" i="3"/>
  <c r="E32" i="3"/>
  <c r="D32" i="3"/>
  <c r="C32" i="3"/>
  <c r="G32" i="3" s="1"/>
  <c r="H31" i="3"/>
  <c r="D31" i="3"/>
  <c r="C31" i="3"/>
  <c r="G31" i="3" s="1"/>
  <c r="H30" i="3"/>
  <c r="G30" i="3"/>
  <c r="D30" i="3"/>
  <c r="C30" i="3"/>
  <c r="E30" i="3" s="1"/>
  <c r="C29" i="3"/>
  <c r="G28" i="3"/>
  <c r="C28" i="3"/>
  <c r="C27" i="3"/>
  <c r="E26" i="3"/>
  <c r="C26" i="3"/>
  <c r="H25" i="3"/>
  <c r="E25" i="3"/>
  <c r="C25" i="3"/>
  <c r="G25" i="3" s="1"/>
  <c r="H24" i="3"/>
  <c r="E24" i="3"/>
  <c r="D24" i="3"/>
  <c r="C24" i="3"/>
  <c r="G24" i="3" s="1"/>
  <c r="H23" i="3"/>
  <c r="D23" i="3"/>
  <c r="C23" i="3"/>
  <c r="G23" i="3" s="1"/>
  <c r="H22" i="3"/>
  <c r="G22" i="3"/>
  <c r="D22" i="3"/>
  <c r="C22" i="3"/>
  <c r="E22" i="3" s="1"/>
  <c r="C21" i="3"/>
  <c r="G20" i="3"/>
  <c r="C20" i="3"/>
  <c r="C19" i="3"/>
  <c r="E18" i="3"/>
  <c r="C18" i="3"/>
  <c r="H17" i="3"/>
  <c r="E17" i="3"/>
  <c r="C17" i="3"/>
  <c r="G17" i="3" s="1"/>
  <c r="H16" i="3"/>
  <c r="E16" i="3"/>
  <c r="D16" i="3"/>
  <c r="C16" i="3"/>
  <c r="G16" i="3" s="1"/>
  <c r="H15" i="3"/>
  <c r="D15" i="3"/>
  <c r="C15" i="3"/>
  <c r="G15" i="3" s="1"/>
  <c r="R400" i="6"/>
  <c r="Q400" i="6"/>
  <c r="P400" i="6"/>
  <c r="S400" i="6" s="1"/>
  <c r="R399" i="6"/>
  <c r="Q399" i="6"/>
  <c r="P399" i="6"/>
  <c r="S399" i="6" s="1"/>
  <c r="R398" i="6"/>
  <c r="Q398" i="6"/>
  <c r="P398" i="6"/>
  <c r="S398" i="6" s="1"/>
  <c r="R397" i="6"/>
  <c r="Q397" i="6"/>
  <c r="P397" i="6"/>
  <c r="S396" i="6"/>
  <c r="R396" i="6"/>
  <c r="Q396" i="6"/>
  <c r="P396" i="6"/>
  <c r="R395" i="6"/>
  <c r="Q395" i="6"/>
  <c r="P395" i="6"/>
  <c r="R394" i="6"/>
  <c r="Q394" i="6"/>
  <c r="P394" i="6"/>
  <c r="S394" i="6" s="1"/>
  <c r="R393" i="6"/>
  <c r="Q393" i="6"/>
  <c r="P393" i="6"/>
  <c r="S393" i="6" s="1"/>
  <c r="R392" i="6"/>
  <c r="Q392" i="6"/>
  <c r="P392" i="6"/>
  <c r="S392" i="6" s="1"/>
  <c r="R391" i="6"/>
  <c r="Q391" i="6"/>
  <c r="P391" i="6"/>
  <c r="S391" i="6" s="1"/>
  <c r="S390" i="6"/>
  <c r="R390" i="6"/>
  <c r="Q390" i="6"/>
  <c r="P390" i="6"/>
  <c r="R389" i="6"/>
  <c r="Q389" i="6"/>
  <c r="P389" i="6"/>
  <c r="R388" i="6"/>
  <c r="S388" i="6" s="1"/>
  <c r="Q388" i="6"/>
  <c r="P388" i="6"/>
  <c r="R387" i="6"/>
  <c r="Q387" i="6"/>
  <c r="P387" i="6"/>
  <c r="R386" i="6"/>
  <c r="Q386" i="6"/>
  <c r="P386" i="6"/>
  <c r="R385" i="6"/>
  <c r="Q385" i="6"/>
  <c r="P385" i="6"/>
  <c r="R384" i="6"/>
  <c r="Q384" i="6"/>
  <c r="P384" i="6"/>
  <c r="S384" i="6" s="1"/>
  <c r="R383" i="6"/>
  <c r="Q383" i="6"/>
  <c r="P383" i="6"/>
  <c r="S383" i="6" s="1"/>
  <c r="R382" i="6"/>
  <c r="Q382" i="6"/>
  <c r="P382" i="6"/>
  <c r="S382" i="6" s="1"/>
  <c r="R381" i="6"/>
  <c r="Q381" i="6"/>
  <c r="P381" i="6"/>
  <c r="S380" i="6"/>
  <c r="R380" i="6"/>
  <c r="Q380" i="6"/>
  <c r="P380" i="6"/>
  <c r="R379" i="6"/>
  <c r="Q379" i="6"/>
  <c r="P379" i="6"/>
  <c r="R378" i="6"/>
  <c r="Q378" i="6"/>
  <c r="P378" i="6"/>
  <c r="S378" i="6" s="1"/>
  <c r="R377" i="6"/>
  <c r="Q377" i="6"/>
  <c r="P377" i="6"/>
  <c r="S377" i="6" s="1"/>
  <c r="R376" i="6"/>
  <c r="Q376" i="6"/>
  <c r="P376" i="6"/>
  <c r="S376" i="6" s="1"/>
  <c r="R375" i="6"/>
  <c r="Q375" i="6"/>
  <c r="P375" i="6"/>
  <c r="S375" i="6" s="1"/>
  <c r="S374" i="6"/>
  <c r="R374" i="6"/>
  <c r="Q374" i="6"/>
  <c r="P374" i="6"/>
  <c r="R373" i="6"/>
  <c r="Q373" i="6"/>
  <c r="P373" i="6"/>
  <c r="R372" i="6"/>
  <c r="S372" i="6" s="1"/>
  <c r="Q372" i="6"/>
  <c r="P372" i="6"/>
  <c r="R371" i="6"/>
  <c r="Q371" i="6"/>
  <c r="P371" i="6"/>
  <c r="R370" i="6"/>
  <c r="Q370" i="6"/>
  <c r="P370" i="6"/>
  <c r="R369" i="6"/>
  <c r="Q369" i="6"/>
  <c r="P369" i="6"/>
  <c r="R368" i="6"/>
  <c r="Q368" i="6"/>
  <c r="P368" i="6"/>
  <c r="S368" i="6" s="1"/>
  <c r="R367" i="6"/>
  <c r="Q367" i="6"/>
  <c r="P367" i="6"/>
  <c r="S367" i="6" s="1"/>
  <c r="R366" i="6"/>
  <c r="Q366" i="6"/>
  <c r="P366" i="6"/>
  <c r="S366" i="6" s="1"/>
  <c r="R365" i="6"/>
  <c r="Q365" i="6"/>
  <c r="P365" i="6"/>
  <c r="S364" i="6"/>
  <c r="R364" i="6"/>
  <c r="Q364" i="6"/>
  <c r="P364" i="6"/>
  <c r="R363" i="6"/>
  <c r="Q363" i="6"/>
  <c r="P363" i="6"/>
  <c r="R362" i="6"/>
  <c r="Q362" i="6"/>
  <c r="P362" i="6"/>
  <c r="S362" i="6" s="1"/>
  <c r="R361" i="6"/>
  <c r="Q361" i="6"/>
  <c r="P361" i="6"/>
  <c r="S361" i="6" s="1"/>
  <c r="R360" i="6"/>
  <c r="Q360" i="6"/>
  <c r="P360" i="6"/>
  <c r="S360" i="6" s="1"/>
  <c r="R359" i="6"/>
  <c r="Q359" i="6"/>
  <c r="P359" i="6"/>
  <c r="S359" i="6" s="1"/>
  <c r="S358" i="6"/>
  <c r="R358" i="6"/>
  <c r="Q358" i="6"/>
  <c r="P358" i="6"/>
  <c r="R357" i="6"/>
  <c r="Q357" i="6"/>
  <c r="P357" i="6"/>
  <c r="R356" i="6"/>
  <c r="S356" i="6" s="1"/>
  <c r="Q356" i="6"/>
  <c r="P356" i="6"/>
  <c r="R355" i="6"/>
  <c r="Q355" i="6"/>
  <c r="P355" i="6"/>
  <c r="R354" i="6"/>
  <c r="Q354" i="6"/>
  <c r="P354" i="6"/>
  <c r="S354" i="6" s="1"/>
  <c r="R353" i="6"/>
  <c r="Q353" i="6"/>
  <c r="P353" i="6"/>
  <c r="R352" i="6"/>
  <c r="Q352" i="6"/>
  <c r="P352" i="6"/>
  <c r="S352" i="6" s="1"/>
  <c r="R351" i="6"/>
  <c r="Q351" i="6"/>
  <c r="P351" i="6"/>
  <c r="S351" i="6" s="1"/>
  <c r="R350" i="6"/>
  <c r="Q350" i="6"/>
  <c r="P350" i="6"/>
  <c r="S350" i="6" s="1"/>
  <c r="R349" i="6"/>
  <c r="Q349" i="6"/>
  <c r="P349" i="6"/>
  <c r="S348" i="6"/>
  <c r="R348" i="6"/>
  <c r="Q348" i="6"/>
  <c r="P348" i="6"/>
  <c r="R347" i="6"/>
  <c r="Q347" i="6"/>
  <c r="P347" i="6"/>
  <c r="R346" i="6"/>
  <c r="Q346" i="6"/>
  <c r="P346" i="6"/>
  <c r="S346" i="6" s="1"/>
  <c r="R345" i="6"/>
  <c r="Q345" i="6"/>
  <c r="P345" i="6"/>
  <c r="S345" i="6" s="1"/>
  <c r="R344" i="6"/>
  <c r="Q344" i="6"/>
  <c r="S344" i="6" s="1"/>
  <c r="P344" i="6"/>
  <c r="R343" i="6"/>
  <c r="Q343" i="6"/>
  <c r="P343" i="6"/>
  <c r="S343" i="6" s="1"/>
  <c r="S342" i="6"/>
  <c r="R342" i="6"/>
  <c r="Q342" i="6"/>
  <c r="P342" i="6"/>
  <c r="R341" i="6"/>
  <c r="Q341" i="6"/>
  <c r="P341" i="6"/>
  <c r="R340" i="6"/>
  <c r="S340" i="6" s="1"/>
  <c r="Q340" i="6"/>
  <c r="P340" i="6"/>
  <c r="R339" i="6"/>
  <c r="Q339" i="6"/>
  <c r="P339" i="6"/>
  <c r="R338" i="6"/>
  <c r="Q338" i="6"/>
  <c r="P338" i="6"/>
  <c r="R337" i="6"/>
  <c r="Q337" i="6"/>
  <c r="P337" i="6"/>
  <c r="R336" i="6"/>
  <c r="Q336" i="6"/>
  <c r="P336" i="6"/>
  <c r="S336" i="6" s="1"/>
  <c r="R335" i="6"/>
  <c r="Q335" i="6"/>
  <c r="P335" i="6"/>
  <c r="S335" i="6" s="1"/>
  <c r="R334" i="6"/>
  <c r="Q334" i="6"/>
  <c r="P334" i="6"/>
  <c r="S334" i="6" s="1"/>
  <c r="R333" i="6"/>
  <c r="Q333" i="6"/>
  <c r="P333" i="6"/>
  <c r="S332" i="6"/>
  <c r="R332" i="6"/>
  <c r="Q332" i="6"/>
  <c r="P332" i="6"/>
  <c r="R331" i="6"/>
  <c r="Q331" i="6"/>
  <c r="P331" i="6"/>
  <c r="R330" i="6"/>
  <c r="Q330" i="6"/>
  <c r="P330" i="6"/>
  <c r="S330" i="6" s="1"/>
  <c r="R329" i="6"/>
  <c r="Q329" i="6"/>
  <c r="P329" i="6"/>
  <c r="S329" i="6" s="1"/>
  <c r="R328" i="6"/>
  <c r="Q328" i="6"/>
  <c r="S328" i="6" s="1"/>
  <c r="P328" i="6"/>
  <c r="R327" i="6"/>
  <c r="Q327" i="6"/>
  <c r="P327" i="6"/>
  <c r="S327" i="6" s="1"/>
  <c r="S326" i="6"/>
  <c r="R326" i="6"/>
  <c r="Q326" i="6"/>
  <c r="P326" i="6"/>
  <c r="R325" i="6"/>
  <c r="Q325" i="6"/>
  <c r="P325" i="6"/>
  <c r="R324" i="6"/>
  <c r="S324" i="6" s="1"/>
  <c r="Q324" i="6"/>
  <c r="P324" i="6"/>
  <c r="R323" i="6"/>
  <c r="Q323" i="6"/>
  <c r="P323" i="6"/>
  <c r="R322" i="6"/>
  <c r="Q322" i="6"/>
  <c r="P322" i="6"/>
  <c r="S322" i="6" s="1"/>
  <c r="R321" i="6"/>
  <c r="Q321" i="6"/>
  <c r="P321" i="6"/>
  <c r="R320" i="6"/>
  <c r="Q320" i="6"/>
  <c r="P320" i="6"/>
  <c r="S320" i="6" s="1"/>
  <c r="R319" i="6"/>
  <c r="Q319" i="6"/>
  <c r="P319" i="6"/>
  <c r="S319" i="6" s="1"/>
  <c r="R318" i="6"/>
  <c r="Q318" i="6"/>
  <c r="P318" i="6"/>
  <c r="S318" i="6" s="1"/>
  <c r="R317" i="6"/>
  <c r="Q317" i="6"/>
  <c r="P317" i="6"/>
  <c r="S316" i="6"/>
  <c r="R316" i="6"/>
  <c r="Q316" i="6"/>
  <c r="P316" i="6"/>
  <c r="R315" i="6"/>
  <c r="Q315" i="6"/>
  <c r="P315" i="6"/>
  <c r="R314" i="6"/>
  <c r="Q314" i="6"/>
  <c r="P314" i="6"/>
  <c r="S314" i="6" s="1"/>
  <c r="R313" i="6"/>
  <c r="Q313" i="6"/>
  <c r="P313" i="6"/>
  <c r="S313" i="6" s="1"/>
  <c r="R312" i="6"/>
  <c r="Q312" i="6"/>
  <c r="S312" i="6" s="1"/>
  <c r="P312" i="6"/>
  <c r="R311" i="6"/>
  <c r="Q311" i="6"/>
  <c r="P311" i="6"/>
  <c r="S311" i="6" s="1"/>
  <c r="S310" i="6"/>
  <c r="R310" i="6"/>
  <c r="Q310" i="6"/>
  <c r="P310" i="6"/>
  <c r="R309" i="6"/>
  <c r="Q309" i="6"/>
  <c r="P309" i="6"/>
  <c r="R308" i="6"/>
  <c r="S308" i="6" s="1"/>
  <c r="Q308" i="6"/>
  <c r="P308" i="6"/>
  <c r="R307" i="6"/>
  <c r="Q307" i="6"/>
  <c r="P307" i="6"/>
  <c r="R306" i="6"/>
  <c r="Q306" i="6"/>
  <c r="P306" i="6"/>
  <c r="R305" i="6"/>
  <c r="Q305" i="6"/>
  <c r="P305" i="6"/>
  <c r="R304" i="6"/>
  <c r="Q304" i="6"/>
  <c r="P304" i="6"/>
  <c r="S304" i="6" s="1"/>
  <c r="R303" i="6"/>
  <c r="Q303" i="6"/>
  <c r="P303" i="6"/>
  <c r="S303" i="6" s="1"/>
  <c r="R302" i="6"/>
  <c r="Q302" i="6"/>
  <c r="P302" i="6"/>
  <c r="S302" i="6" s="1"/>
  <c r="R301" i="6"/>
  <c r="Q301" i="6"/>
  <c r="P301" i="6"/>
  <c r="S300" i="6"/>
  <c r="R300" i="6"/>
  <c r="Q300" i="6"/>
  <c r="P300" i="6"/>
  <c r="R299" i="6"/>
  <c r="Q299" i="6"/>
  <c r="P299" i="6"/>
  <c r="R298" i="6"/>
  <c r="Q298" i="6"/>
  <c r="P298" i="6"/>
  <c r="S298" i="6" s="1"/>
  <c r="R297" i="6"/>
  <c r="Q297" i="6"/>
  <c r="P297" i="6"/>
  <c r="S297" i="6" s="1"/>
  <c r="R296" i="6"/>
  <c r="Q296" i="6"/>
  <c r="S296" i="6" s="1"/>
  <c r="P296" i="6"/>
  <c r="R295" i="6"/>
  <c r="Q295" i="6"/>
  <c r="P295" i="6"/>
  <c r="S295" i="6" s="1"/>
  <c r="S294" i="6"/>
  <c r="R294" i="6"/>
  <c r="Q294" i="6"/>
  <c r="P294" i="6"/>
  <c r="R293" i="6"/>
  <c r="Q293" i="6"/>
  <c r="P293" i="6"/>
  <c r="R292" i="6"/>
  <c r="S292" i="6" s="1"/>
  <c r="Q292" i="6"/>
  <c r="P292" i="6"/>
  <c r="R291" i="6"/>
  <c r="Q291" i="6"/>
  <c r="P291" i="6"/>
  <c r="R290" i="6"/>
  <c r="Q290" i="6"/>
  <c r="P290" i="6"/>
  <c r="S290" i="6" s="1"/>
  <c r="R289" i="6"/>
  <c r="Q289" i="6"/>
  <c r="P289" i="6"/>
  <c r="R288" i="6"/>
  <c r="Q288" i="6"/>
  <c r="P288" i="6"/>
  <c r="S288" i="6" s="1"/>
  <c r="R287" i="6"/>
  <c r="Q287" i="6"/>
  <c r="P287" i="6"/>
  <c r="S287" i="6" s="1"/>
  <c r="R286" i="6"/>
  <c r="Q286" i="6"/>
  <c r="P286" i="6"/>
  <c r="S286" i="6" s="1"/>
  <c r="R285" i="6"/>
  <c r="Q285" i="6"/>
  <c r="P285" i="6"/>
  <c r="S284" i="6"/>
  <c r="R284" i="6"/>
  <c r="Q284" i="6"/>
  <c r="P284" i="6"/>
  <c r="R283" i="6"/>
  <c r="Q283" i="6"/>
  <c r="P283" i="6"/>
  <c r="R282" i="6"/>
  <c r="Q282" i="6"/>
  <c r="P282" i="6"/>
  <c r="S282" i="6" s="1"/>
  <c r="R281" i="6"/>
  <c r="Q281" i="6"/>
  <c r="P281" i="6"/>
  <c r="S281" i="6" s="1"/>
  <c r="R280" i="6"/>
  <c r="Q280" i="6"/>
  <c r="S280" i="6" s="1"/>
  <c r="P280" i="6"/>
  <c r="R279" i="6"/>
  <c r="Q279" i="6"/>
  <c r="P279" i="6"/>
  <c r="S279" i="6" s="1"/>
  <c r="S278" i="6"/>
  <c r="R278" i="6"/>
  <c r="Q278" i="6"/>
  <c r="P278" i="6"/>
  <c r="R277" i="6"/>
  <c r="Q277" i="6"/>
  <c r="P277" i="6"/>
  <c r="R276" i="6"/>
  <c r="S276" i="6" s="1"/>
  <c r="Q276" i="6"/>
  <c r="P276" i="6"/>
  <c r="R275" i="6"/>
  <c r="Q275" i="6"/>
  <c r="P275" i="6"/>
  <c r="R274" i="6"/>
  <c r="Q274" i="6"/>
  <c r="P274" i="6"/>
  <c r="R273" i="6"/>
  <c r="Q273" i="6"/>
  <c r="P273" i="6"/>
  <c r="R272" i="6"/>
  <c r="Q272" i="6"/>
  <c r="P272" i="6"/>
  <c r="S272" i="6" s="1"/>
  <c r="R271" i="6"/>
  <c r="Q271" i="6"/>
  <c r="P271" i="6"/>
  <c r="S271" i="6" s="1"/>
  <c r="R270" i="6"/>
  <c r="Q270" i="6"/>
  <c r="P270" i="6"/>
  <c r="S270" i="6" s="1"/>
  <c r="R269" i="6"/>
  <c r="Q269" i="6"/>
  <c r="P269" i="6"/>
  <c r="S268" i="6"/>
  <c r="R268" i="6"/>
  <c r="Q268" i="6"/>
  <c r="P268" i="6"/>
  <c r="R267" i="6"/>
  <c r="Q267" i="6"/>
  <c r="P267" i="6"/>
  <c r="R266" i="6"/>
  <c r="Q266" i="6"/>
  <c r="P266" i="6"/>
  <c r="R265" i="6"/>
  <c r="Q265" i="6"/>
  <c r="P265" i="6"/>
  <c r="R264" i="6"/>
  <c r="Q264" i="6"/>
  <c r="S264" i="6" s="1"/>
  <c r="P264" i="6"/>
  <c r="R263" i="6"/>
  <c r="Q263" i="6"/>
  <c r="P263" i="6"/>
  <c r="S263" i="6" s="1"/>
  <c r="R262" i="6"/>
  <c r="Q262" i="6"/>
  <c r="P262" i="6"/>
  <c r="S262" i="6" s="1"/>
  <c r="R261" i="6"/>
  <c r="Q261" i="6"/>
  <c r="P261" i="6"/>
  <c r="S261" i="6" s="1"/>
  <c r="S260" i="6"/>
  <c r="R260" i="6"/>
  <c r="Q260" i="6"/>
  <c r="P260" i="6"/>
  <c r="R259" i="6"/>
  <c r="Q259" i="6"/>
  <c r="P259" i="6"/>
  <c r="S259" i="6" s="1"/>
  <c r="S258" i="6"/>
  <c r="R258" i="6"/>
  <c r="Q258" i="6"/>
  <c r="P258" i="6"/>
  <c r="R257" i="6"/>
  <c r="Q257" i="6"/>
  <c r="P257" i="6"/>
  <c r="S257" i="6" s="1"/>
  <c r="R256" i="6"/>
  <c r="Q256" i="6"/>
  <c r="P256" i="6"/>
  <c r="S256" i="6" s="1"/>
  <c r="R255" i="6"/>
  <c r="Q255" i="6"/>
  <c r="P255" i="6"/>
  <c r="S255" i="6" s="1"/>
  <c r="S254" i="6"/>
  <c r="R254" i="6"/>
  <c r="Q254" i="6"/>
  <c r="P254" i="6"/>
  <c r="R253" i="6"/>
  <c r="Q253" i="6"/>
  <c r="P253" i="6"/>
  <c r="S253" i="6" s="1"/>
  <c r="R252" i="6"/>
  <c r="Q252" i="6"/>
  <c r="P252" i="6"/>
  <c r="S252" i="6" s="1"/>
  <c r="R251" i="6"/>
  <c r="Q251" i="6"/>
  <c r="P251" i="6"/>
  <c r="S251" i="6" s="1"/>
  <c r="R250" i="6"/>
  <c r="Q250" i="6"/>
  <c r="P250" i="6"/>
  <c r="S250" i="6" s="1"/>
  <c r="R249" i="6"/>
  <c r="Q249" i="6"/>
  <c r="P249" i="6"/>
  <c r="S249" i="6" s="1"/>
  <c r="R248" i="6"/>
  <c r="Q248" i="6"/>
  <c r="P248" i="6"/>
  <c r="S248" i="6" s="1"/>
  <c r="R247" i="6"/>
  <c r="Q247" i="6"/>
  <c r="P247" i="6"/>
  <c r="S247" i="6" s="1"/>
  <c r="R246" i="6"/>
  <c r="Q246" i="6"/>
  <c r="P246" i="6"/>
  <c r="S246" i="6" s="1"/>
  <c r="R245" i="6"/>
  <c r="Q245" i="6"/>
  <c r="P245" i="6"/>
  <c r="S245" i="6" s="1"/>
  <c r="R244" i="6"/>
  <c r="S244" i="6" s="1"/>
  <c r="Q244" i="6"/>
  <c r="P244" i="6"/>
  <c r="R243" i="6"/>
  <c r="Q243" i="6"/>
  <c r="P243" i="6"/>
  <c r="S242" i="6"/>
  <c r="R242" i="6"/>
  <c r="Q242" i="6"/>
  <c r="P242" i="6"/>
  <c r="R241" i="6"/>
  <c r="Q241" i="6"/>
  <c r="P241" i="6"/>
  <c r="S241" i="6" s="1"/>
  <c r="R240" i="6"/>
  <c r="Q240" i="6"/>
  <c r="P240" i="6"/>
  <c r="S240" i="6" s="1"/>
  <c r="R239" i="6"/>
  <c r="Q239" i="6"/>
  <c r="P239" i="6"/>
  <c r="S239" i="6" s="1"/>
  <c r="R238" i="6"/>
  <c r="Q238" i="6"/>
  <c r="S238" i="6" s="1"/>
  <c r="P238" i="6"/>
  <c r="R237" i="6"/>
  <c r="Q237" i="6"/>
  <c r="P237" i="6"/>
  <c r="R236" i="6"/>
  <c r="Q236" i="6"/>
  <c r="P236" i="6"/>
  <c r="S236" i="6" s="1"/>
  <c r="R235" i="6"/>
  <c r="Q235" i="6"/>
  <c r="P235" i="6"/>
  <c r="S235" i="6" s="1"/>
  <c r="R234" i="6"/>
  <c r="Q234" i="6"/>
  <c r="P234" i="6"/>
  <c r="S234" i="6" s="1"/>
  <c r="R233" i="6"/>
  <c r="Q233" i="6"/>
  <c r="P233" i="6"/>
  <c r="R232" i="6"/>
  <c r="Q232" i="6"/>
  <c r="P232" i="6"/>
  <c r="S232" i="6" s="1"/>
  <c r="R231" i="6"/>
  <c r="Q231" i="6"/>
  <c r="P231" i="6"/>
  <c r="R230" i="6"/>
  <c r="Q230" i="6"/>
  <c r="P230" i="6"/>
  <c r="S230" i="6" s="1"/>
  <c r="R229" i="6"/>
  <c r="Q229" i="6"/>
  <c r="P229" i="6"/>
  <c r="S229" i="6" s="1"/>
  <c r="R228" i="6"/>
  <c r="Q228" i="6"/>
  <c r="S228" i="6" s="1"/>
  <c r="P228" i="6"/>
  <c r="R227" i="6"/>
  <c r="Q227" i="6"/>
  <c r="P227" i="6"/>
  <c r="S226" i="6"/>
  <c r="R226" i="6"/>
  <c r="Q226" i="6"/>
  <c r="P226" i="6"/>
  <c r="R225" i="6"/>
  <c r="Q225" i="6"/>
  <c r="P225" i="6"/>
  <c r="S225" i="6" s="1"/>
  <c r="R224" i="6"/>
  <c r="Q224" i="6"/>
  <c r="P224" i="6"/>
  <c r="S224" i="6" s="1"/>
  <c r="R223" i="6"/>
  <c r="Q223" i="6"/>
  <c r="P223" i="6"/>
  <c r="S223" i="6" s="1"/>
  <c r="R222" i="6"/>
  <c r="Q222" i="6"/>
  <c r="S222" i="6" s="1"/>
  <c r="P222" i="6"/>
  <c r="R221" i="6"/>
  <c r="Q221" i="6"/>
  <c r="P221" i="6"/>
  <c r="R220" i="6"/>
  <c r="Q220" i="6"/>
  <c r="P220" i="6"/>
  <c r="S220" i="6" s="1"/>
  <c r="R219" i="6"/>
  <c r="Q219" i="6"/>
  <c r="P219" i="6"/>
  <c r="S219" i="6" s="1"/>
  <c r="R218" i="6"/>
  <c r="Q218" i="6"/>
  <c r="P218" i="6"/>
  <c r="S218" i="6" s="1"/>
  <c r="R217" i="6"/>
  <c r="Q217" i="6"/>
  <c r="P217" i="6"/>
  <c r="R216" i="6"/>
  <c r="Q216" i="6"/>
  <c r="P216" i="6"/>
  <c r="S216" i="6" s="1"/>
  <c r="R215" i="6"/>
  <c r="Q215" i="6"/>
  <c r="P215" i="6"/>
  <c r="R214" i="6"/>
  <c r="Q214" i="6"/>
  <c r="P214" i="6"/>
  <c r="S214" i="6" s="1"/>
  <c r="R213" i="6"/>
  <c r="Q213" i="6"/>
  <c r="P213" i="6"/>
  <c r="S213" i="6" s="1"/>
  <c r="R212" i="6"/>
  <c r="Q212" i="6"/>
  <c r="S212" i="6" s="1"/>
  <c r="P212" i="6"/>
  <c r="R211" i="6"/>
  <c r="Q211" i="6"/>
  <c r="P211" i="6"/>
  <c r="S210" i="6"/>
  <c r="R210" i="6"/>
  <c r="Q210" i="6"/>
  <c r="P210" i="6"/>
  <c r="R209" i="6"/>
  <c r="Q209" i="6"/>
  <c r="P209" i="6"/>
  <c r="S209" i="6" s="1"/>
  <c r="R208" i="6"/>
  <c r="Q208" i="6"/>
  <c r="P208" i="6"/>
  <c r="S208" i="6" s="1"/>
  <c r="R207" i="6"/>
  <c r="Q207" i="6"/>
  <c r="P207" i="6"/>
  <c r="S207" i="6" s="1"/>
  <c r="R206" i="6"/>
  <c r="Q206" i="6"/>
  <c r="S206" i="6" s="1"/>
  <c r="P206" i="6"/>
  <c r="R205" i="6"/>
  <c r="Q205" i="6"/>
  <c r="P205" i="6"/>
  <c r="R204" i="6"/>
  <c r="Q204" i="6"/>
  <c r="P204" i="6"/>
  <c r="S204" i="6" s="1"/>
  <c r="R203" i="6"/>
  <c r="Q203" i="6"/>
  <c r="P203" i="6"/>
  <c r="S203" i="6" s="1"/>
  <c r="R202" i="6"/>
  <c r="Q202" i="6"/>
  <c r="P202" i="6"/>
  <c r="S202" i="6" s="1"/>
  <c r="R201" i="6"/>
  <c r="Q201" i="6"/>
  <c r="P201" i="6"/>
  <c r="R200" i="6"/>
  <c r="Q200" i="6"/>
  <c r="P200" i="6"/>
  <c r="S200" i="6" s="1"/>
  <c r="R199" i="6"/>
  <c r="Q199" i="6"/>
  <c r="P199" i="6"/>
  <c r="R198" i="6"/>
  <c r="Q198" i="6"/>
  <c r="P198" i="6"/>
  <c r="S198" i="6" s="1"/>
  <c r="R197" i="6"/>
  <c r="Q197" i="6"/>
  <c r="P197" i="6"/>
  <c r="S197" i="6" s="1"/>
  <c r="R196" i="6"/>
  <c r="Q196" i="6"/>
  <c r="S196" i="6" s="1"/>
  <c r="P196" i="6"/>
  <c r="R195" i="6"/>
  <c r="Q195" i="6"/>
  <c r="P195" i="6"/>
  <c r="S194" i="6"/>
  <c r="R194" i="6"/>
  <c r="Q194" i="6"/>
  <c r="P194" i="6"/>
  <c r="R193" i="6"/>
  <c r="Q193" i="6"/>
  <c r="P193" i="6"/>
  <c r="S193" i="6" s="1"/>
  <c r="R192" i="6"/>
  <c r="Q192" i="6"/>
  <c r="P192" i="6"/>
  <c r="S192" i="6" s="1"/>
  <c r="R191" i="6"/>
  <c r="Q191" i="6"/>
  <c r="P191" i="6"/>
  <c r="S191" i="6" s="1"/>
  <c r="R190" i="6"/>
  <c r="Q190" i="6"/>
  <c r="S190" i="6" s="1"/>
  <c r="P190" i="6"/>
  <c r="R189" i="6"/>
  <c r="Q189" i="6"/>
  <c r="P189" i="6"/>
  <c r="R188" i="6"/>
  <c r="Q188" i="6"/>
  <c r="P188" i="6"/>
  <c r="S188" i="6" s="1"/>
  <c r="R187" i="6"/>
  <c r="Q187" i="6"/>
  <c r="P187" i="6"/>
  <c r="S187" i="6" s="1"/>
  <c r="R186" i="6"/>
  <c r="Q186" i="6"/>
  <c r="P186" i="6"/>
  <c r="S186" i="6" s="1"/>
  <c r="R185" i="6"/>
  <c r="Q185" i="6"/>
  <c r="P185" i="6"/>
  <c r="R184" i="6"/>
  <c r="Q184" i="6"/>
  <c r="P184" i="6"/>
  <c r="S184" i="6" s="1"/>
  <c r="R183" i="6"/>
  <c r="Q183" i="6"/>
  <c r="P183" i="6"/>
  <c r="R182" i="6"/>
  <c r="Q182" i="6"/>
  <c r="P182" i="6"/>
  <c r="S182" i="6" s="1"/>
  <c r="R181" i="6"/>
  <c r="Q181" i="6"/>
  <c r="P181" i="6"/>
  <c r="S181" i="6" s="1"/>
  <c r="R180" i="6"/>
  <c r="Q180" i="6"/>
  <c r="S180" i="6" s="1"/>
  <c r="P180" i="6"/>
  <c r="R179" i="6"/>
  <c r="Q179" i="6"/>
  <c r="P179" i="6"/>
  <c r="S178" i="6"/>
  <c r="R178" i="6"/>
  <c r="Q178" i="6"/>
  <c r="P178" i="6"/>
  <c r="R177" i="6"/>
  <c r="Q177" i="6"/>
  <c r="P177" i="6"/>
  <c r="S177" i="6" s="1"/>
  <c r="R176" i="6"/>
  <c r="Q176" i="6"/>
  <c r="P176" i="6"/>
  <c r="S176" i="6" s="1"/>
  <c r="R175" i="6"/>
  <c r="Q175" i="6"/>
  <c r="P175" i="6"/>
  <c r="S175" i="6" s="1"/>
  <c r="R174" i="6"/>
  <c r="Q174" i="6"/>
  <c r="S174" i="6" s="1"/>
  <c r="P174" i="6"/>
  <c r="R173" i="6"/>
  <c r="Q173" i="6"/>
  <c r="P173" i="6"/>
  <c r="R172" i="6"/>
  <c r="Q172" i="6"/>
  <c r="P172" i="6"/>
  <c r="S172" i="6" s="1"/>
  <c r="R171" i="6"/>
  <c r="Q171" i="6"/>
  <c r="P171" i="6"/>
  <c r="S171" i="6" s="1"/>
  <c r="R170" i="6"/>
  <c r="Q170" i="6"/>
  <c r="P170" i="6"/>
  <c r="S170" i="6" s="1"/>
  <c r="R169" i="6"/>
  <c r="Q169" i="6"/>
  <c r="P169" i="6"/>
  <c r="R168" i="6"/>
  <c r="Q168" i="6"/>
  <c r="P168" i="6"/>
  <c r="S168" i="6" s="1"/>
  <c r="R167" i="6"/>
  <c r="Q167" i="6"/>
  <c r="P167" i="6"/>
  <c r="R166" i="6"/>
  <c r="Q166" i="6"/>
  <c r="P166" i="6"/>
  <c r="S166" i="6" s="1"/>
  <c r="R165" i="6"/>
  <c r="Q165" i="6"/>
  <c r="P165" i="6"/>
  <c r="S165" i="6" s="1"/>
  <c r="R164" i="6"/>
  <c r="Q164" i="6"/>
  <c r="S164" i="6" s="1"/>
  <c r="P164" i="6"/>
  <c r="R163" i="6"/>
  <c r="Q163" i="6"/>
  <c r="P163" i="6"/>
  <c r="S162" i="6"/>
  <c r="R162" i="6"/>
  <c r="Q162" i="6"/>
  <c r="P162" i="6"/>
  <c r="R161" i="6"/>
  <c r="Q161" i="6"/>
  <c r="P161" i="6"/>
  <c r="S161" i="6" s="1"/>
  <c r="R160" i="6"/>
  <c r="Q160" i="6"/>
  <c r="P160" i="6"/>
  <c r="S160" i="6" s="1"/>
  <c r="R159" i="6"/>
  <c r="Q159" i="6"/>
  <c r="P159" i="6"/>
  <c r="S159" i="6" s="1"/>
  <c r="R158" i="6"/>
  <c r="Q158" i="6"/>
  <c r="S158" i="6" s="1"/>
  <c r="P158" i="6"/>
  <c r="R157" i="6"/>
  <c r="Q157" i="6"/>
  <c r="P157" i="6"/>
  <c r="R156" i="6"/>
  <c r="Q156" i="6"/>
  <c r="P156" i="6"/>
  <c r="S156" i="6" s="1"/>
  <c r="R155" i="6"/>
  <c r="Q155" i="6"/>
  <c r="P155" i="6"/>
  <c r="S155" i="6" s="1"/>
  <c r="R154" i="6"/>
  <c r="Q154" i="6"/>
  <c r="P154" i="6"/>
  <c r="S154" i="6" s="1"/>
  <c r="R153" i="6"/>
  <c r="Q153" i="6"/>
  <c r="P153" i="6"/>
  <c r="R152" i="6"/>
  <c r="Q152" i="6"/>
  <c r="P152" i="6"/>
  <c r="S152" i="6" s="1"/>
  <c r="R151" i="6"/>
  <c r="Q151" i="6"/>
  <c r="P151" i="6"/>
  <c r="R150" i="6"/>
  <c r="Q150" i="6"/>
  <c r="P150" i="6"/>
  <c r="S150" i="6" s="1"/>
  <c r="R149" i="6"/>
  <c r="Q149" i="6"/>
  <c r="P149" i="6"/>
  <c r="S149" i="6" s="1"/>
  <c r="R148" i="6"/>
  <c r="Q148" i="6"/>
  <c r="S148" i="6" s="1"/>
  <c r="P148" i="6"/>
  <c r="R147" i="6"/>
  <c r="Q147" i="6"/>
  <c r="P147" i="6"/>
  <c r="S146" i="6"/>
  <c r="R146" i="6"/>
  <c r="Q146" i="6"/>
  <c r="P146" i="6"/>
  <c r="R145" i="6"/>
  <c r="Q145" i="6"/>
  <c r="P145" i="6"/>
  <c r="S145" i="6" s="1"/>
  <c r="R144" i="6"/>
  <c r="Q144" i="6"/>
  <c r="P144" i="6"/>
  <c r="S144" i="6" s="1"/>
  <c r="R143" i="6"/>
  <c r="Q143" i="6"/>
  <c r="P143" i="6"/>
  <c r="S143" i="6" s="1"/>
  <c r="R142" i="6"/>
  <c r="Q142" i="6"/>
  <c r="S142" i="6" s="1"/>
  <c r="P142" i="6"/>
  <c r="R141" i="6"/>
  <c r="Q141" i="6"/>
  <c r="P141" i="6"/>
  <c r="R140" i="6"/>
  <c r="Q140" i="6"/>
  <c r="P140" i="6"/>
  <c r="S140" i="6" s="1"/>
  <c r="R139" i="6"/>
  <c r="Q139" i="6"/>
  <c r="P139" i="6"/>
  <c r="S139" i="6" s="1"/>
  <c r="R138" i="6"/>
  <c r="Q138" i="6"/>
  <c r="P138" i="6"/>
  <c r="S138" i="6" s="1"/>
  <c r="R137" i="6"/>
  <c r="Q137" i="6"/>
  <c r="P137" i="6"/>
  <c r="R136" i="6"/>
  <c r="Q136" i="6"/>
  <c r="P136" i="6"/>
  <c r="S136" i="6" s="1"/>
  <c r="R135" i="6"/>
  <c r="Q135" i="6"/>
  <c r="P135" i="6"/>
  <c r="R134" i="6"/>
  <c r="Q134" i="6"/>
  <c r="P134" i="6"/>
  <c r="S134" i="6" s="1"/>
  <c r="R133" i="6"/>
  <c r="Q133" i="6"/>
  <c r="P133" i="6"/>
  <c r="S133" i="6" s="1"/>
  <c r="R132" i="6"/>
  <c r="Q132" i="6"/>
  <c r="S132" i="6" s="1"/>
  <c r="P132" i="6"/>
  <c r="R131" i="6"/>
  <c r="Q131" i="6"/>
  <c r="P131" i="6"/>
  <c r="S130" i="6"/>
  <c r="R130" i="6"/>
  <c r="Q130" i="6"/>
  <c r="P130" i="6"/>
  <c r="R129" i="6"/>
  <c r="Q129" i="6"/>
  <c r="P129" i="6"/>
  <c r="S129" i="6" s="1"/>
  <c r="R128" i="6"/>
  <c r="Q128" i="6"/>
  <c r="P128" i="6"/>
  <c r="S128" i="6" s="1"/>
  <c r="R127" i="6"/>
  <c r="Q127" i="6"/>
  <c r="P127" i="6"/>
  <c r="S127" i="6" s="1"/>
  <c r="R126" i="6"/>
  <c r="Q126" i="6"/>
  <c r="S126" i="6" s="1"/>
  <c r="P126" i="6"/>
  <c r="R125" i="6"/>
  <c r="Q125" i="6"/>
  <c r="P125" i="6"/>
  <c r="S125" i="6" s="1"/>
  <c r="R124" i="6"/>
  <c r="Q124" i="6"/>
  <c r="S124" i="6" s="1"/>
  <c r="P124" i="6"/>
  <c r="R123" i="6"/>
  <c r="Q123" i="6"/>
  <c r="P123" i="6"/>
  <c r="S123" i="6" s="1"/>
  <c r="R122" i="6"/>
  <c r="Q122" i="6"/>
  <c r="S122" i="6" s="1"/>
  <c r="P122" i="6"/>
  <c r="R121" i="6"/>
  <c r="Q121" i="6"/>
  <c r="P121" i="6"/>
  <c r="S121" i="6" s="1"/>
  <c r="R120" i="6"/>
  <c r="Q120" i="6"/>
  <c r="S120" i="6" s="1"/>
  <c r="P120" i="6"/>
  <c r="R119" i="6"/>
  <c r="Q119" i="6"/>
  <c r="P119" i="6"/>
  <c r="S119" i="6" s="1"/>
  <c r="R118" i="6"/>
  <c r="Q118" i="6"/>
  <c r="S118" i="6" s="1"/>
  <c r="P118" i="6"/>
  <c r="R117" i="6"/>
  <c r="Q117" i="6"/>
  <c r="P117" i="6"/>
  <c r="S117" i="6" s="1"/>
  <c r="R116" i="6"/>
  <c r="Q116" i="6"/>
  <c r="S116" i="6" s="1"/>
  <c r="P116" i="6"/>
  <c r="R115" i="6"/>
  <c r="Q115" i="6"/>
  <c r="P115" i="6"/>
  <c r="S115" i="6" s="1"/>
  <c r="R114" i="6"/>
  <c r="Q114" i="6"/>
  <c r="S114" i="6" s="1"/>
  <c r="P114" i="6"/>
  <c r="R113" i="6"/>
  <c r="Q113" i="6"/>
  <c r="P113" i="6"/>
  <c r="S113" i="6" s="1"/>
  <c r="R112" i="6"/>
  <c r="Q112" i="6"/>
  <c r="S112" i="6" s="1"/>
  <c r="P112" i="6"/>
  <c r="R111" i="6"/>
  <c r="Q111" i="6"/>
  <c r="P111" i="6"/>
  <c r="S111" i="6" s="1"/>
  <c r="R110" i="6"/>
  <c r="Q110" i="6"/>
  <c r="S110" i="6" s="1"/>
  <c r="P110" i="6"/>
  <c r="R109" i="6"/>
  <c r="Q109" i="6"/>
  <c r="P109" i="6"/>
  <c r="S109" i="6" s="1"/>
  <c r="R108" i="6"/>
  <c r="Q108" i="6"/>
  <c r="S108" i="6" s="1"/>
  <c r="P108" i="6"/>
  <c r="R107" i="6"/>
  <c r="Q107" i="6"/>
  <c r="P107" i="6"/>
  <c r="S107" i="6" s="1"/>
  <c r="R106" i="6"/>
  <c r="Q106" i="6"/>
  <c r="S106" i="6" s="1"/>
  <c r="P106" i="6"/>
  <c r="R105" i="6"/>
  <c r="Q105" i="6"/>
  <c r="P105" i="6"/>
  <c r="S105" i="6" s="1"/>
  <c r="R104" i="6"/>
  <c r="Q104" i="6"/>
  <c r="S104" i="6" s="1"/>
  <c r="P104" i="6"/>
  <c r="R103" i="6"/>
  <c r="Q103" i="6"/>
  <c r="P103" i="6"/>
  <c r="S103" i="6" s="1"/>
  <c r="R102" i="6"/>
  <c r="Q102" i="6"/>
  <c r="S102" i="6" s="1"/>
  <c r="P102" i="6"/>
  <c r="R101" i="6"/>
  <c r="Q101" i="6"/>
  <c r="P101" i="6"/>
  <c r="S101" i="6" s="1"/>
  <c r="R100" i="6"/>
  <c r="Q100" i="6"/>
  <c r="P100" i="6"/>
  <c r="S100" i="6" s="1"/>
  <c r="R99" i="6"/>
  <c r="Q99" i="6"/>
  <c r="P99" i="6"/>
  <c r="S99" i="6" s="1"/>
  <c r="R98" i="6"/>
  <c r="Q98" i="6"/>
  <c r="P98" i="6"/>
  <c r="S98" i="6" s="1"/>
  <c r="R97" i="6"/>
  <c r="Q97" i="6"/>
  <c r="P97" i="6"/>
  <c r="S97" i="6" s="1"/>
  <c r="R96" i="6"/>
  <c r="Q96" i="6"/>
  <c r="P96" i="6"/>
  <c r="S96" i="6" s="1"/>
  <c r="R95" i="6"/>
  <c r="Q95" i="6"/>
  <c r="P95" i="6"/>
  <c r="S95" i="6" s="1"/>
  <c r="R94" i="6"/>
  <c r="Q94" i="6"/>
  <c r="P94" i="6"/>
  <c r="S94" i="6" s="1"/>
  <c r="R93" i="6"/>
  <c r="Q93" i="6"/>
  <c r="P93" i="6"/>
  <c r="S93" i="6" s="1"/>
  <c r="R92" i="6"/>
  <c r="Q92" i="6"/>
  <c r="P92" i="6"/>
  <c r="S92" i="6" s="1"/>
  <c r="R91" i="6"/>
  <c r="Q91" i="6"/>
  <c r="P91" i="6"/>
  <c r="S91" i="6" s="1"/>
  <c r="R90" i="6"/>
  <c r="Q90" i="6"/>
  <c r="P90" i="6"/>
  <c r="S90" i="6" s="1"/>
  <c r="R89" i="6"/>
  <c r="Q89" i="6"/>
  <c r="P89" i="6"/>
  <c r="S89" i="6" s="1"/>
  <c r="R88" i="6"/>
  <c r="Q88" i="6"/>
  <c r="P88" i="6"/>
  <c r="S88" i="6" s="1"/>
  <c r="R87" i="6"/>
  <c r="Q87" i="6"/>
  <c r="P87" i="6"/>
  <c r="S87" i="6" s="1"/>
  <c r="R86" i="6"/>
  <c r="Q86" i="6"/>
  <c r="P86" i="6"/>
  <c r="S86" i="6" s="1"/>
  <c r="R85" i="6"/>
  <c r="Q85" i="6"/>
  <c r="P85" i="6"/>
  <c r="S85" i="6" s="1"/>
  <c r="R84" i="6"/>
  <c r="Q84" i="6"/>
  <c r="P84" i="6"/>
  <c r="S84" i="6" s="1"/>
  <c r="R83" i="6"/>
  <c r="Q83" i="6"/>
  <c r="P83" i="6"/>
  <c r="S83" i="6" s="1"/>
  <c r="R82" i="6"/>
  <c r="Q82" i="6"/>
  <c r="P82" i="6"/>
  <c r="S82" i="6" s="1"/>
  <c r="R81" i="6"/>
  <c r="Q81" i="6"/>
  <c r="P81" i="6"/>
  <c r="S81" i="6" s="1"/>
  <c r="R80" i="6"/>
  <c r="Q80" i="6"/>
  <c r="P80" i="6"/>
  <c r="S80" i="6" s="1"/>
  <c r="R79" i="6"/>
  <c r="Q79" i="6"/>
  <c r="P79" i="6"/>
  <c r="S79" i="6" s="1"/>
  <c r="R78" i="6"/>
  <c r="Q78" i="6"/>
  <c r="P78" i="6"/>
  <c r="S78" i="6" s="1"/>
  <c r="R77" i="6"/>
  <c r="Q77" i="6"/>
  <c r="P77" i="6"/>
  <c r="S77" i="6" s="1"/>
  <c r="R76" i="6"/>
  <c r="Q76" i="6"/>
  <c r="P76" i="6"/>
  <c r="S76" i="6" s="1"/>
  <c r="R75" i="6"/>
  <c r="Q75" i="6"/>
  <c r="P75" i="6"/>
  <c r="S75" i="6" s="1"/>
  <c r="R74" i="6"/>
  <c r="Q74" i="6"/>
  <c r="P74" i="6"/>
  <c r="S74" i="6" s="1"/>
  <c r="R73" i="6"/>
  <c r="Q73" i="6"/>
  <c r="P73" i="6"/>
  <c r="S73" i="6" s="1"/>
  <c r="R72" i="6"/>
  <c r="Q72" i="6"/>
  <c r="P72" i="6"/>
  <c r="S72" i="6" s="1"/>
  <c r="R71" i="6"/>
  <c r="Q71" i="6"/>
  <c r="P71" i="6"/>
  <c r="S71" i="6" s="1"/>
  <c r="R70" i="6"/>
  <c r="Q70" i="6"/>
  <c r="P70" i="6"/>
  <c r="S70" i="6" s="1"/>
  <c r="R69" i="6"/>
  <c r="Q69" i="6"/>
  <c r="P69" i="6"/>
  <c r="S69" i="6" s="1"/>
  <c r="R68" i="6"/>
  <c r="Q68" i="6"/>
  <c r="P68" i="6"/>
  <c r="S68" i="6" s="1"/>
  <c r="R67" i="6"/>
  <c r="Q67" i="6"/>
  <c r="P67" i="6"/>
  <c r="S67" i="6" s="1"/>
  <c r="R66" i="6"/>
  <c r="Q66" i="6"/>
  <c r="P66" i="6"/>
  <c r="S66" i="6" s="1"/>
  <c r="R65" i="6"/>
  <c r="Q65" i="6"/>
  <c r="P65" i="6"/>
  <c r="S65" i="6" s="1"/>
  <c r="R64" i="6"/>
  <c r="Q64" i="6"/>
  <c r="P64" i="6"/>
  <c r="S64" i="6" s="1"/>
  <c r="R63" i="6"/>
  <c r="Q63" i="6"/>
  <c r="P63" i="6"/>
  <c r="S63" i="6" s="1"/>
  <c r="R62" i="6"/>
  <c r="Q62" i="6"/>
  <c r="P62" i="6"/>
  <c r="S62" i="6" s="1"/>
  <c r="R61" i="6"/>
  <c r="Q61" i="6"/>
  <c r="P61" i="6"/>
  <c r="S61" i="6" s="1"/>
  <c r="R60" i="6"/>
  <c r="Q60" i="6"/>
  <c r="P60" i="6"/>
  <c r="S60" i="6" s="1"/>
  <c r="R59" i="6"/>
  <c r="Q59" i="6"/>
  <c r="P59" i="6"/>
  <c r="S59" i="6" s="1"/>
  <c r="R58" i="6"/>
  <c r="Q58" i="6"/>
  <c r="P58" i="6"/>
  <c r="S58" i="6" s="1"/>
  <c r="R57" i="6"/>
  <c r="Q57" i="6"/>
  <c r="P57" i="6"/>
  <c r="S57" i="6" s="1"/>
  <c r="R56" i="6"/>
  <c r="Q56" i="6"/>
  <c r="P56" i="6"/>
  <c r="S56" i="6" s="1"/>
  <c r="R55" i="6"/>
  <c r="Q55" i="6"/>
  <c r="P55" i="6"/>
  <c r="S55" i="6" s="1"/>
  <c r="R54" i="6"/>
  <c r="Q54" i="6"/>
  <c r="P54" i="6"/>
  <c r="S54" i="6" s="1"/>
  <c r="R53" i="6"/>
  <c r="Q53" i="6"/>
  <c r="P53" i="6"/>
  <c r="S53" i="6" s="1"/>
  <c r="R52" i="6"/>
  <c r="Q52" i="6"/>
  <c r="P52" i="6"/>
  <c r="S52" i="6" s="1"/>
  <c r="R51" i="6"/>
  <c r="Q51" i="6"/>
  <c r="P51" i="6"/>
  <c r="S51" i="6" s="1"/>
  <c r="R50" i="6"/>
  <c r="Q50" i="6"/>
  <c r="P50" i="6"/>
  <c r="S50" i="6" s="1"/>
  <c r="R49" i="6"/>
  <c r="Q49" i="6"/>
  <c r="P49" i="6"/>
  <c r="S49" i="6" s="1"/>
  <c r="R48" i="6"/>
  <c r="Q48" i="6"/>
  <c r="P48" i="6"/>
  <c r="S48" i="6" s="1"/>
  <c r="R47" i="6"/>
  <c r="Q47" i="6"/>
  <c r="P47" i="6"/>
  <c r="S47" i="6" s="1"/>
  <c r="R46" i="6"/>
  <c r="Q46" i="6"/>
  <c r="P46" i="6"/>
  <c r="S46" i="6" s="1"/>
  <c r="R45" i="6"/>
  <c r="Q45" i="6"/>
  <c r="P45" i="6"/>
  <c r="S45" i="6" s="1"/>
  <c r="R44" i="6"/>
  <c r="Q44" i="6"/>
  <c r="P44" i="6"/>
  <c r="S44" i="6" s="1"/>
  <c r="R43" i="6"/>
  <c r="Q43" i="6"/>
  <c r="P43" i="6"/>
  <c r="S43" i="6" s="1"/>
  <c r="R42" i="6"/>
  <c r="Q42" i="6"/>
  <c r="P42" i="6"/>
  <c r="S42" i="6" s="1"/>
  <c r="R41" i="6"/>
  <c r="Q41" i="6"/>
  <c r="P41" i="6"/>
  <c r="S41" i="6" s="1"/>
  <c r="R40" i="6"/>
  <c r="Q40" i="6"/>
  <c r="P40" i="6"/>
  <c r="S40" i="6" s="1"/>
  <c r="R39" i="6"/>
  <c r="Q39" i="6"/>
  <c r="P39" i="6"/>
  <c r="S39" i="6" s="1"/>
  <c r="R38" i="6"/>
  <c r="Q38" i="6"/>
  <c r="P38" i="6"/>
  <c r="S38" i="6" s="1"/>
  <c r="R37" i="6"/>
  <c r="Q37" i="6"/>
  <c r="P37" i="6"/>
  <c r="S37" i="6" s="1"/>
  <c r="R36" i="6"/>
  <c r="Q36" i="6"/>
  <c r="P36" i="6"/>
  <c r="S36" i="6" s="1"/>
  <c r="R35" i="6"/>
  <c r="Q35" i="6"/>
  <c r="P35" i="6"/>
  <c r="S35" i="6" s="1"/>
  <c r="R34" i="6"/>
  <c r="Q34" i="6"/>
  <c r="P34" i="6"/>
  <c r="S34" i="6" s="1"/>
  <c r="R33" i="6"/>
  <c r="Q33" i="6"/>
  <c r="P33" i="6"/>
  <c r="S33" i="6" s="1"/>
  <c r="R32" i="6"/>
  <c r="Q32" i="6"/>
  <c r="P32" i="6"/>
  <c r="S32" i="6" s="1"/>
  <c r="R31" i="6"/>
  <c r="Q31" i="6"/>
  <c r="P31" i="6"/>
  <c r="S31" i="6" s="1"/>
  <c r="R30" i="6"/>
  <c r="Q30" i="6"/>
  <c r="P30" i="6"/>
  <c r="S30" i="6" s="1"/>
  <c r="R29" i="6"/>
  <c r="Q29" i="6"/>
  <c r="P29" i="6"/>
  <c r="S29" i="6" s="1"/>
  <c r="R28" i="6"/>
  <c r="Q28" i="6"/>
  <c r="P28" i="6"/>
  <c r="S28" i="6" s="1"/>
  <c r="R27" i="6"/>
  <c r="Q27" i="6"/>
  <c r="P27" i="6"/>
  <c r="S27" i="6" s="1"/>
  <c r="R26" i="6"/>
  <c r="Q26" i="6"/>
  <c r="P26" i="6"/>
  <c r="S26" i="6" s="1"/>
  <c r="R25" i="6"/>
  <c r="Q25" i="6"/>
  <c r="P25" i="6"/>
  <c r="S25" i="6" s="1"/>
  <c r="R24" i="6"/>
  <c r="Q24" i="6"/>
  <c r="P24" i="6"/>
  <c r="S24" i="6" s="1"/>
  <c r="R23" i="6"/>
  <c r="Q23" i="6"/>
  <c r="P23" i="6"/>
  <c r="S23" i="6" s="1"/>
  <c r="R22" i="6"/>
  <c r="Q22" i="6"/>
  <c r="P22" i="6"/>
  <c r="S22" i="6" s="1"/>
  <c r="R21" i="6"/>
  <c r="Q21" i="6"/>
  <c r="P21" i="6"/>
  <c r="S21" i="6" s="1"/>
  <c r="R20" i="6"/>
  <c r="Q20" i="6"/>
  <c r="P20" i="6"/>
  <c r="S20" i="6" s="1"/>
  <c r="R19" i="6"/>
  <c r="Q19" i="6"/>
  <c r="P19" i="6"/>
  <c r="S19" i="6" s="1"/>
  <c r="R18" i="6"/>
  <c r="Q18" i="6"/>
  <c r="P18" i="6"/>
  <c r="S18" i="6" s="1"/>
  <c r="R17" i="6"/>
  <c r="Q17" i="6"/>
  <c r="P17" i="6"/>
  <c r="S17" i="6" s="1"/>
  <c r="R16" i="6"/>
  <c r="Q16" i="6"/>
  <c r="P16" i="6"/>
  <c r="S16" i="6" s="1"/>
  <c r="R15" i="6"/>
  <c r="Q15" i="6"/>
  <c r="P15" i="6"/>
  <c r="S15" i="6" s="1"/>
  <c r="R14" i="6"/>
  <c r="Q14" i="6"/>
  <c r="P14" i="6"/>
  <c r="S14" i="6" s="1"/>
  <c r="R13" i="6"/>
  <c r="Q13" i="6"/>
  <c r="P13" i="6"/>
  <c r="S13" i="6" s="1"/>
  <c r="R12" i="6"/>
  <c r="Q12" i="6"/>
  <c r="P12" i="6"/>
  <c r="S12" i="6" s="1"/>
  <c r="R11" i="6"/>
  <c r="Q11" i="6"/>
  <c r="P11" i="6"/>
  <c r="S11" i="6" s="1"/>
  <c r="R10" i="6"/>
  <c r="Q10" i="6"/>
  <c r="P10" i="6"/>
  <c r="S10" i="6" s="1"/>
  <c r="R9" i="6"/>
  <c r="Q9" i="6"/>
  <c r="P9" i="6"/>
  <c r="S9" i="6" s="1"/>
  <c r="R8" i="6"/>
  <c r="Q8" i="6"/>
  <c r="P8" i="6"/>
  <c r="S8" i="6" s="1"/>
  <c r="R7" i="6"/>
  <c r="Q7" i="6"/>
  <c r="P7" i="6"/>
  <c r="S7" i="6" s="1"/>
  <c r="R6" i="6"/>
  <c r="Q6" i="6"/>
  <c r="P6" i="6"/>
  <c r="S6" i="6" s="1"/>
  <c r="R5" i="6"/>
  <c r="Q5" i="6"/>
  <c r="P5" i="6"/>
  <c r="S5" i="6" s="1"/>
  <c r="R4" i="6"/>
  <c r="Q4" i="6"/>
  <c r="P4" i="6"/>
  <c r="S4" i="6" s="1"/>
  <c r="R3" i="6"/>
  <c r="Q3" i="6"/>
  <c r="P3" i="6"/>
  <c r="S3" i="6" s="1"/>
  <c r="R2" i="6"/>
  <c r="Q2" i="6"/>
  <c r="P2" i="6"/>
  <c r="S2" i="6" s="1"/>
  <c r="H1000" i="10"/>
  <c r="A1000" i="10"/>
  <c r="H999" i="10"/>
  <c r="A999" i="10"/>
  <c r="H998" i="10"/>
  <c r="A998" i="10"/>
  <c r="H997" i="10"/>
  <c r="A997" i="10"/>
  <c r="H996" i="10"/>
  <c r="A996" i="10"/>
  <c r="H995" i="10"/>
  <c r="A995" i="10"/>
  <c r="H994" i="10"/>
  <c r="A994" i="10"/>
  <c r="H993" i="10"/>
  <c r="A993" i="10"/>
  <c r="H992" i="10"/>
  <c r="A992" i="10"/>
  <c r="H991" i="10"/>
  <c r="A991" i="10"/>
  <c r="H990" i="10"/>
  <c r="A990" i="10"/>
  <c r="H989" i="10"/>
  <c r="A989" i="10"/>
  <c r="H988" i="10"/>
  <c r="A988" i="10"/>
  <c r="H987" i="10"/>
  <c r="A987" i="10"/>
  <c r="H986" i="10"/>
  <c r="A986" i="10"/>
  <c r="H985" i="10"/>
  <c r="A985" i="10"/>
  <c r="H984" i="10"/>
  <c r="A984" i="10"/>
  <c r="H983" i="10"/>
  <c r="A983" i="10"/>
  <c r="H982" i="10"/>
  <c r="A982" i="10"/>
  <c r="H981" i="10"/>
  <c r="A981" i="10"/>
  <c r="H980" i="10"/>
  <c r="A980" i="10"/>
  <c r="H979" i="10"/>
  <c r="A979" i="10"/>
  <c r="H978" i="10"/>
  <c r="A978" i="10"/>
  <c r="H977" i="10"/>
  <c r="A977" i="10"/>
  <c r="H976" i="10"/>
  <c r="A976" i="10"/>
  <c r="H975" i="10"/>
  <c r="A975" i="10"/>
  <c r="H974" i="10"/>
  <c r="A974" i="10"/>
  <c r="H973" i="10"/>
  <c r="A973" i="10"/>
  <c r="H972" i="10"/>
  <c r="A972" i="10"/>
  <c r="H971" i="10"/>
  <c r="A971" i="10"/>
  <c r="H970" i="10"/>
  <c r="A970" i="10"/>
  <c r="H969" i="10"/>
  <c r="A969" i="10"/>
  <c r="H968" i="10"/>
  <c r="A968" i="10"/>
  <c r="H967" i="10"/>
  <c r="A967" i="10"/>
  <c r="H966" i="10"/>
  <c r="A966" i="10"/>
  <c r="H965" i="10"/>
  <c r="A965" i="10"/>
  <c r="H964" i="10"/>
  <c r="A964" i="10"/>
  <c r="H963" i="10"/>
  <c r="A963" i="10"/>
  <c r="H962" i="10"/>
  <c r="A962" i="10"/>
  <c r="H961" i="10"/>
  <c r="A961" i="10"/>
  <c r="H960" i="10"/>
  <c r="A960" i="10"/>
  <c r="H959" i="10"/>
  <c r="A959" i="10"/>
  <c r="H958" i="10"/>
  <c r="A958" i="10"/>
  <c r="H957" i="10"/>
  <c r="A957" i="10"/>
  <c r="H956" i="10"/>
  <c r="A956" i="10"/>
  <c r="H955" i="10"/>
  <c r="A955" i="10"/>
  <c r="H954" i="10"/>
  <c r="A954" i="10"/>
  <c r="H953" i="10"/>
  <c r="A953" i="10"/>
  <c r="H952" i="10"/>
  <c r="A952" i="10"/>
  <c r="H951" i="10"/>
  <c r="A951" i="10"/>
  <c r="H950" i="10"/>
  <c r="A950" i="10"/>
  <c r="H949" i="10"/>
  <c r="A949" i="10"/>
  <c r="H948" i="10"/>
  <c r="A948" i="10"/>
  <c r="H947" i="10"/>
  <c r="A947" i="10"/>
  <c r="H946" i="10"/>
  <c r="A946" i="10"/>
  <c r="H945" i="10"/>
  <c r="A945" i="10"/>
  <c r="H944" i="10"/>
  <c r="A944" i="10"/>
  <c r="H943" i="10"/>
  <c r="A943" i="10"/>
  <c r="H942" i="10"/>
  <c r="A942" i="10"/>
  <c r="H941" i="10"/>
  <c r="A941" i="10"/>
  <c r="H940" i="10"/>
  <c r="A940" i="10"/>
  <c r="H939" i="10"/>
  <c r="A939" i="10"/>
  <c r="H938" i="10"/>
  <c r="A938" i="10"/>
  <c r="H937" i="10"/>
  <c r="A937" i="10"/>
  <c r="H936" i="10"/>
  <c r="A936" i="10"/>
  <c r="H935" i="10"/>
  <c r="A935" i="10"/>
  <c r="H934" i="10"/>
  <c r="A934" i="10"/>
  <c r="H933" i="10"/>
  <c r="A933" i="10"/>
  <c r="H932" i="10"/>
  <c r="A932" i="10"/>
  <c r="H931" i="10"/>
  <c r="A931" i="10"/>
  <c r="H930" i="10"/>
  <c r="A930" i="10"/>
  <c r="H929" i="10"/>
  <c r="A929" i="10"/>
  <c r="H928" i="10"/>
  <c r="A928" i="10"/>
  <c r="H927" i="10"/>
  <c r="A927" i="10"/>
  <c r="H926" i="10"/>
  <c r="A926" i="10"/>
  <c r="H925" i="10"/>
  <c r="A925" i="10"/>
  <c r="H924" i="10"/>
  <c r="A924" i="10"/>
  <c r="H923" i="10"/>
  <c r="A923" i="10"/>
  <c r="H922" i="10"/>
  <c r="A922" i="10"/>
  <c r="H921" i="10"/>
  <c r="A921" i="10"/>
  <c r="H920" i="10"/>
  <c r="A920" i="10"/>
  <c r="H919" i="10"/>
  <c r="A919" i="10"/>
  <c r="H918" i="10"/>
  <c r="A918" i="10"/>
  <c r="H917" i="10"/>
  <c r="A917" i="10"/>
  <c r="H916" i="10"/>
  <c r="A916" i="10"/>
  <c r="H915" i="10"/>
  <c r="A915" i="10"/>
  <c r="H914" i="10"/>
  <c r="A914" i="10"/>
  <c r="H913" i="10"/>
  <c r="A913" i="10"/>
  <c r="H912" i="10"/>
  <c r="A912" i="10"/>
  <c r="H911" i="10"/>
  <c r="A911" i="10"/>
  <c r="H910" i="10"/>
  <c r="A910" i="10"/>
  <c r="H909" i="10"/>
  <c r="A909" i="10"/>
  <c r="H908" i="10"/>
  <c r="A908" i="10"/>
  <c r="H907" i="10"/>
  <c r="A907" i="10"/>
  <c r="H906" i="10"/>
  <c r="A906" i="10"/>
  <c r="H905" i="10"/>
  <c r="A905" i="10"/>
  <c r="H904" i="10"/>
  <c r="A904" i="10"/>
  <c r="H903" i="10"/>
  <c r="A903" i="10"/>
  <c r="H902" i="10"/>
  <c r="A902" i="10"/>
  <c r="H901" i="10"/>
  <c r="A901" i="10"/>
  <c r="H900" i="10"/>
  <c r="A900" i="10"/>
  <c r="H899" i="10"/>
  <c r="A899" i="10"/>
  <c r="H898" i="10"/>
  <c r="A898" i="10"/>
  <c r="H897" i="10"/>
  <c r="A897" i="10"/>
  <c r="H896" i="10"/>
  <c r="A896" i="10"/>
  <c r="H895" i="10"/>
  <c r="A895" i="10"/>
  <c r="H894" i="10"/>
  <c r="A894" i="10"/>
  <c r="H893" i="10"/>
  <c r="A893" i="10"/>
  <c r="H892" i="10"/>
  <c r="A892" i="10"/>
  <c r="H891" i="10"/>
  <c r="A891" i="10"/>
  <c r="H890" i="10"/>
  <c r="A890" i="10"/>
  <c r="H889" i="10"/>
  <c r="A889" i="10"/>
  <c r="H888" i="10"/>
  <c r="A888" i="10"/>
  <c r="H887" i="10"/>
  <c r="A887" i="10"/>
  <c r="H886" i="10"/>
  <c r="A886" i="10"/>
  <c r="H885" i="10"/>
  <c r="A885" i="10"/>
  <c r="H884" i="10"/>
  <c r="A884" i="10"/>
  <c r="H883" i="10"/>
  <c r="A883" i="10"/>
  <c r="H882" i="10"/>
  <c r="A882" i="10"/>
  <c r="H881" i="10"/>
  <c r="A881" i="10"/>
  <c r="H880" i="10"/>
  <c r="A880" i="10"/>
  <c r="H879" i="10"/>
  <c r="A879" i="10"/>
  <c r="H878" i="10"/>
  <c r="A878" i="10"/>
  <c r="H877" i="10"/>
  <c r="A877" i="10"/>
  <c r="H876" i="10"/>
  <c r="A876" i="10"/>
  <c r="H875" i="10"/>
  <c r="A875" i="10"/>
  <c r="H874" i="10"/>
  <c r="A874" i="10"/>
  <c r="H873" i="10"/>
  <c r="A873" i="10"/>
  <c r="H872" i="10"/>
  <c r="A872" i="10"/>
  <c r="H871" i="10"/>
  <c r="A871" i="10"/>
  <c r="H870" i="10"/>
  <c r="A870" i="10"/>
  <c r="H869" i="10"/>
  <c r="A869" i="10"/>
  <c r="H868" i="10"/>
  <c r="A868" i="10"/>
  <c r="H867" i="10"/>
  <c r="A867" i="10"/>
  <c r="H866" i="10"/>
  <c r="A866" i="10"/>
  <c r="H865" i="10"/>
  <c r="A865" i="10"/>
  <c r="H864" i="10"/>
  <c r="A864" i="10"/>
  <c r="H863" i="10"/>
  <c r="A863" i="10"/>
  <c r="H862" i="10"/>
  <c r="A862" i="10"/>
  <c r="H861" i="10"/>
  <c r="A861" i="10"/>
  <c r="H860" i="10"/>
  <c r="A860" i="10"/>
  <c r="H859" i="10"/>
  <c r="A859" i="10"/>
  <c r="H858" i="10"/>
  <c r="A858" i="10"/>
  <c r="H857" i="10"/>
  <c r="A857" i="10"/>
  <c r="H856" i="10"/>
  <c r="A856" i="10"/>
  <c r="H855" i="10"/>
  <c r="A855" i="10"/>
  <c r="H854" i="10"/>
  <c r="A854" i="10"/>
  <c r="H853" i="10"/>
  <c r="A853" i="10"/>
  <c r="H852" i="10"/>
  <c r="A852" i="10"/>
  <c r="H851" i="10"/>
  <c r="A851" i="10"/>
  <c r="H850" i="10"/>
  <c r="A850" i="10"/>
  <c r="H849" i="10"/>
  <c r="A849" i="10"/>
  <c r="H848" i="10"/>
  <c r="A848" i="10"/>
  <c r="H847" i="10"/>
  <c r="A847" i="10"/>
  <c r="H846" i="10"/>
  <c r="A846" i="10"/>
  <c r="H845" i="10"/>
  <c r="A845" i="10"/>
  <c r="H844" i="10"/>
  <c r="A844" i="10"/>
  <c r="H843" i="10"/>
  <c r="A843" i="10"/>
  <c r="H842" i="10"/>
  <c r="A842" i="10"/>
  <c r="H841" i="10"/>
  <c r="A841" i="10"/>
  <c r="H840" i="10"/>
  <c r="A840" i="10"/>
  <c r="H839" i="10"/>
  <c r="A839" i="10"/>
  <c r="H838" i="10"/>
  <c r="A838" i="10"/>
  <c r="H837" i="10"/>
  <c r="A837" i="10"/>
  <c r="H836" i="10"/>
  <c r="A836" i="10"/>
  <c r="H835" i="10"/>
  <c r="A835" i="10"/>
  <c r="H834" i="10"/>
  <c r="A834" i="10"/>
  <c r="H833" i="10"/>
  <c r="A833" i="10"/>
  <c r="H832" i="10"/>
  <c r="A832" i="10"/>
  <c r="H831" i="10"/>
  <c r="A831" i="10"/>
  <c r="H830" i="10"/>
  <c r="A830" i="10"/>
  <c r="H829" i="10"/>
  <c r="A829" i="10"/>
  <c r="H828" i="10"/>
  <c r="A828" i="10"/>
  <c r="H827" i="10"/>
  <c r="A827" i="10"/>
  <c r="H826" i="10"/>
  <c r="A826" i="10"/>
  <c r="H825" i="10"/>
  <c r="A825" i="10"/>
  <c r="H824" i="10"/>
  <c r="A824" i="10"/>
  <c r="H823" i="10"/>
  <c r="A823" i="10"/>
  <c r="H822" i="10"/>
  <c r="A822" i="10"/>
  <c r="H821" i="10"/>
  <c r="A821" i="10"/>
  <c r="H820" i="10"/>
  <c r="A820" i="10"/>
  <c r="H819" i="10"/>
  <c r="A819" i="10"/>
  <c r="H818" i="10"/>
  <c r="A818" i="10"/>
  <c r="H817" i="10"/>
  <c r="A817" i="10"/>
  <c r="H816" i="10"/>
  <c r="A816" i="10"/>
  <c r="H815" i="10"/>
  <c r="A815" i="10"/>
  <c r="H814" i="10"/>
  <c r="A814" i="10"/>
  <c r="H813" i="10"/>
  <c r="A813" i="10"/>
  <c r="H812" i="10"/>
  <c r="A812" i="10"/>
  <c r="H811" i="10"/>
  <c r="A811" i="10"/>
  <c r="H810" i="10"/>
  <c r="A810" i="10"/>
  <c r="H809" i="10"/>
  <c r="A809" i="10"/>
  <c r="H808" i="10"/>
  <c r="A808" i="10"/>
  <c r="H807" i="10"/>
  <c r="A807" i="10"/>
  <c r="H806" i="10"/>
  <c r="A806" i="10"/>
  <c r="H805" i="10"/>
  <c r="A805" i="10"/>
  <c r="H804" i="10"/>
  <c r="A804" i="10"/>
  <c r="H803" i="10"/>
  <c r="A803" i="10"/>
  <c r="H802" i="10"/>
  <c r="A802" i="10"/>
  <c r="H801" i="10"/>
  <c r="A801" i="10"/>
  <c r="H800" i="10"/>
  <c r="A800" i="10"/>
  <c r="H799" i="10"/>
  <c r="A799" i="10"/>
  <c r="H798" i="10"/>
  <c r="A798" i="10"/>
  <c r="H797" i="10"/>
  <c r="A797" i="10"/>
  <c r="H796" i="10"/>
  <c r="A796" i="10"/>
  <c r="H795" i="10"/>
  <c r="A795" i="10"/>
  <c r="H794" i="10"/>
  <c r="A794" i="10"/>
  <c r="H793" i="10"/>
  <c r="A793" i="10"/>
  <c r="H792" i="10"/>
  <c r="A792" i="10"/>
  <c r="H791" i="10"/>
  <c r="A791" i="10"/>
  <c r="H790" i="10"/>
  <c r="A790" i="10"/>
  <c r="H789" i="10"/>
  <c r="A789" i="10"/>
  <c r="H788" i="10"/>
  <c r="A788" i="10"/>
  <c r="H787" i="10"/>
  <c r="A787" i="10"/>
  <c r="H786" i="10"/>
  <c r="A786" i="10"/>
  <c r="H785" i="10"/>
  <c r="A785" i="10"/>
  <c r="H784" i="10"/>
  <c r="A784" i="10"/>
  <c r="H783" i="10"/>
  <c r="A783" i="10"/>
  <c r="H782" i="10"/>
  <c r="A782" i="10"/>
  <c r="H781" i="10"/>
  <c r="A781" i="10"/>
  <c r="H780" i="10"/>
  <c r="A780" i="10"/>
  <c r="H779" i="10"/>
  <c r="A779" i="10"/>
  <c r="H778" i="10"/>
  <c r="A778" i="10"/>
  <c r="H777" i="10"/>
  <c r="A777" i="10"/>
  <c r="H776" i="10"/>
  <c r="A776" i="10"/>
  <c r="H775" i="10"/>
  <c r="A775" i="10"/>
  <c r="H774" i="10"/>
  <c r="A774" i="10"/>
  <c r="H773" i="10"/>
  <c r="A773" i="10"/>
  <c r="H772" i="10"/>
  <c r="A772" i="10"/>
  <c r="H771" i="10"/>
  <c r="A771" i="10"/>
  <c r="H770" i="10"/>
  <c r="A770" i="10"/>
  <c r="H769" i="10"/>
  <c r="A769" i="10"/>
  <c r="H768" i="10"/>
  <c r="A768" i="10"/>
  <c r="H767" i="10"/>
  <c r="A767" i="10"/>
  <c r="H766" i="10"/>
  <c r="A766" i="10"/>
  <c r="H765" i="10"/>
  <c r="A765" i="10"/>
  <c r="H764" i="10"/>
  <c r="A764" i="10"/>
  <c r="H763" i="10"/>
  <c r="A763" i="10"/>
  <c r="H762" i="10"/>
  <c r="A762" i="10"/>
  <c r="H761" i="10"/>
  <c r="A761" i="10"/>
  <c r="H760" i="10"/>
  <c r="A760" i="10"/>
  <c r="H759" i="10"/>
  <c r="A759" i="10"/>
  <c r="H758" i="10"/>
  <c r="A758" i="10"/>
  <c r="H757" i="10"/>
  <c r="A757" i="10"/>
  <c r="H756" i="10"/>
  <c r="A756" i="10"/>
  <c r="H755" i="10"/>
  <c r="A755" i="10"/>
  <c r="H754" i="10"/>
  <c r="A754" i="10"/>
  <c r="H753" i="10"/>
  <c r="A753" i="10"/>
  <c r="H752" i="10"/>
  <c r="A752" i="10"/>
  <c r="H751" i="10"/>
  <c r="A751" i="10"/>
  <c r="H750" i="10"/>
  <c r="A750" i="10"/>
  <c r="H749" i="10"/>
  <c r="A749" i="10"/>
  <c r="H748" i="10"/>
  <c r="A748" i="10"/>
  <c r="H747" i="10"/>
  <c r="A747" i="10"/>
  <c r="H746" i="10"/>
  <c r="A746" i="10"/>
  <c r="H745" i="10"/>
  <c r="A745" i="10"/>
  <c r="H744" i="10"/>
  <c r="A744" i="10"/>
  <c r="H743" i="10"/>
  <c r="A743" i="10"/>
  <c r="H742" i="10"/>
  <c r="A742" i="10"/>
  <c r="H741" i="10"/>
  <c r="A741" i="10"/>
  <c r="H740" i="10"/>
  <c r="A740" i="10"/>
  <c r="H739" i="10"/>
  <c r="A739" i="10"/>
  <c r="H738" i="10"/>
  <c r="A738" i="10"/>
  <c r="H737" i="10"/>
  <c r="A737" i="10"/>
  <c r="H736" i="10"/>
  <c r="A736" i="10"/>
  <c r="H735" i="10"/>
  <c r="A735" i="10"/>
  <c r="H734" i="10"/>
  <c r="A734" i="10"/>
  <c r="H733" i="10"/>
  <c r="A733" i="10"/>
  <c r="H732" i="10"/>
  <c r="A732" i="10"/>
  <c r="H731" i="10"/>
  <c r="A731" i="10"/>
  <c r="H730" i="10"/>
  <c r="A730" i="10"/>
  <c r="H729" i="10"/>
  <c r="A729" i="10"/>
  <c r="H728" i="10"/>
  <c r="A728" i="10"/>
  <c r="H727" i="10"/>
  <c r="A727" i="10"/>
  <c r="H726" i="10"/>
  <c r="A726" i="10"/>
  <c r="H725" i="10"/>
  <c r="A725" i="10"/>
  <c r="H724" i="10"/>
  <c r="A724" i="10"/>
  <c r="H723" i="10"/>
  <c r="A723" i="10"/>
  <c r="H722" i="10"/>
  <c r="A722" i="10"/>
  <c r="H721" i="10"/>
  <c r="A721" i="10"/>
  <c r="H720" i="10"/>
  <c r="A720" i="10"/>
  <c r="H719" i="10"/>
  <c r="A719" i="10"/>
  <c r="H718" i="10"/>
  <c r="A718" i="10"/>
  <c r="H717" i="10"/>
  <c r="A717" i="10"/>
  <c r="H716" i="10"/>
  <c r="A716" i="10"/>
  <c r="H715" i="10"/>
  <c r="A715" i="10"/>
  <c r="H714" i="10"/>
  <c r="A714" i="10"/>
  <c r="H713" i="10"/>
  <c r="A713" i="10"/>
  <c r="H712" i="10"/>
  <c r="A712" i="10"/>
  <c r="H711" i="10"/>
  <c r="A711" i="10"/>
  <c r="H710" i="10"/>
  <c r="A710" i="10"/>
  <c r="H709" i="10"/>
  <c r="A709" i="10"/>
  <c r="H708" i="10"/>
  <c r="A708" i="10"/>
  <c r="H707" i="10"/>
  <c r="A707" i="10"/>
  <c r="H706" i="10"/>
  <c r="A706" i="10"/>
  <c r="H705" i="10"/>
  <c r="A705" i="10"/>
  <c r="H704" i="10"/>
  <c r="A704" i="10"/>
  <c r="H703" i="10"/>
  <c r="A703" i="10"/>
  <c r="H702" i="10"/>
  <c r="A702" i="10"/>
  <c r="H701" i="10"/>
  <c r="A701" i="10"/>
  <c r="H700" i="10"/>
  <c r="A700" i="10"/>
  <c r="H699" i="10"/>
  <c r="A699" i="10"/>
  <c r="H698" i="10"/>
  <c r="A698" i="10"/>
  <c r="H697" i="10"/>
  <c r="A697" i="10"/>
  <c r="H696" i="10"/>
  <c r="A696" i="10"/>
  <c r="H695" i="10"/>
  <c r="A695" i="10"/>
  <c r="H694" i="10"/>
  <c r="A694" i="10"/>
  <c r="H693" i="10"/>
  <c r="A693" i="10"/>
  <c r="H692" i="10"/>
  <c r="A692" i="10"/>
  <c r="H691" i="10"/>
  <c r="A691" i="10"/>
  <c r="H690" i="10"/>
  <c r="A690" i="10"/>
  <c r="H689" i="10"/>
  <c r="A689" i="10"/>
  <c r="H688" i="10"/>
  <c r="A688" i="10"/>
  <c r="H687" i="10"/>
  <c r="A687" i="10"/>
  <c r="H686" i="10"/>
  <c r="A686" i="10"/>
  <c r="H685" i="10"/>
  <c r="A685" i="10"/>
  <c r="H684" i="10"/>
  <c r="A684" i="10"/>
  <c r="H683" i="10"/>
  <c r="A683" i="10"/>
  <c r="H682" i="10"/>
  <c r="A682" i="10"/>
  <c r="H681" i="10"/>
  <c r="A681" i="10"/>
  <c r="H680" i="10"/>
  <c r="A680" i="10"/>
  <c r="H679" i="10"/>
  <c r="A679" i="10"/>
  <c r="H678" i="10"/>
  <c r="A678" i="10"/>
  <c r="H677" i="10"/>
  <c r="A677" i="10"/>
  <c r="H676" i="10"/>
  <c r="A676" i="10"/>
  <c r="H675" i="10"/>
  <c r="A675" i="10"/>
  <c r="H674" i="10"/>
  <c r="A674" i="10"/>
  <c r="H673" i="10"/>
  <c r="A673" i="10"/>
  <c r="H672" i="10"/>
  <c r="A672" i="10"/>
  <c r="H671" i="10"/>
  <c r="A671" i="10"/>
  <c r="H670" i="10"/>
  <c r="A670" i="10"/>
  <c r="H669" i="10"/>
  <c r="A669" i="10"/>
  <c r="H668" i="10"/>
  <c r="A668" i="10"/>
  <c r="H667" i="10"/>
  <c r="A667" i="10"/>
  <c r="H666" i="10"/>
  <c r="A666" i="10"/>
  <c r="H665" i="10"/>
  <c r="A665" i="10"/>
  <c r="H664" i="10"/>
  <c r="A664" i="10"/>
  <c r="H663" i="10"/>
  <c r="A663" i="10"/>
  <c r="H662" i="10"/>
  <c r="A662" i="10"/>
  <c r="H661" i="10"/>
  <c r="A661" i="10"/>
  <c r="H660" i="10"/>
  <c r="A660" i="10"/>
  <c r="H659" i="10"/>
  <c r="A659" i="10"/>
  <c r="H658" i="10"/>
  <c r="A658" i="10"/>
  <c r="H657" i="10"/>
  <c r="A657" i="10"/>
  <c r="H656" i="10"/>
  <c r="A656" i="10"/>
  <c r="H655" i="10"/>
  <c r="A655" i="10"/>
  <c r="H654" i="10"/>
  <c r="A654" i="10"/>
  <c r="H653" i="10"/>
  <c r="A653" i="10"/>
  <c r="H652" i="10"/>
  <c r="A652" i="10"/>
  <c r="H651" i="10"/>
  <c r="A651" i="10"/>
  <c r="H650" i="10"/>
  <c r="A650" i="10"/>
  <c r="H649" i="10"/>
  <c r="A649" i="10"/>
  <c r="H648" i="10"/>
  <c r="A648" i="10"/>
  <c r="H647" i="10"/>
  <c r="A647" i="10"/>
  <c r="H646" i="10"/>
  <c r="A646" i="10"/>
  <c r="H645" i="10"/>
  <c r="A645" i="10"/>
  <c r="H644" i="10"/>
  <c r="A644" i="10"/>
  <c r="H643" i="10"/>
  <c r="A643" i="10"/>
  <c r="H642" i="10"/>
  <c r="A642" i="10"/>
  <c r="H641" i="10"/>
  <c r="A641" i="10"/>
  <c r="H640" i="10"/>
  <c r="A640" i="10"/>
  <c r="H639" i="10"/>
  <c r="A639" i="10"/>
  <c r="H638" i="10"/>
  <c r="A638" i="10"/>
  <c r="H637" i="10"/>
  <c r="A637" i="10"/>
  <c r="H636" i="10"/>
  <c r="A636" i="10"/>
  <c r="H635" i="10"/>
  <c r="A635" i="10"/>
  <c r="H634" i="10"/>
  <c r="A634" i="10"/>
  <c r="H633" i="10"/>
  <c r="A633" i="10"/>
  <c r="H632" i="10"/>
  <c r="A632" i="10"/>
  <c r="H631" i="10"/>
  <c r="A631" i="10"/>
  <c r="H630" i="10"/>
  <c r="A630" i="10"/>
  <c r="H629" i="10"/>
  <c r="A629" i="10"/>
  <c r="H628" i="10"/>
  <c r="A628" i="10"/>
  <c r="H627" i="10"/>
  <c r="A627" i="10"/>
  <c r="H626" i="10"/>
  <c r="A626" i="10"/>
  <c r="H625" i="10"/>
  <c r="A625" i="10"/>
  <c r="H624" i="10"/>
  <c r="A624" i="10"/>
  <c r="H623" i="10"/>
  <c r="A623" i="10"/>
  <c r="H622" i="10"/>
  <c r="A622" i="10"/>
  <c r="H621" i="10"/>
  <c r="A621" i="10"/>
  <c r="H620" i="10"/>
  <c r="A620" i="10"/>
  <c r="H619" i="10"/>
  <c r="A619" i="10"/>
  <c r="H618" i="10"/>
  <c r="A618" i="10"/>
  <c r="H617" i="10"/>
  <c r="A617" i="10"/>
  <c r="H616" i="10"/>
  <c r="A616" i="10"/>
  <c r="H615" i="10"/>
  <c r="A615" i="10"/>
  <c r="H614" i="10"/>
  <c r="A614" i="10"/>
  <c r="H613" i="10"/>
  <c r="A613" i="10"/>
  <c r="H612" i="10"/>
  <c r="A612" i="10"/>
  <c r="H611" i="10"/>
  <c r="A611" i="10"/>
  <c r="H610" i="10"/>
  <c r="A610" i="10"/>
  <c r="H609" i="10"/>
  <c r="A609" i="10"/>
  <c r="H608" i="10"/>
  <c r="A608" i="10"/>
  <c r="H607" i="10"/>
  <c r="A607" i="10"/>
  <c r="H606" i="10"/>
  <c r="A606" i="10"/>
  <c r="H605" i="10"/>
  <c r="A605" i="10"/>
  <c r="H604" i="10"/>
  <c r="A604" i="10"/>
  <c r="H603" i="10"/>
  <c r="A603" i="10"/>
  <c r="H602" i="10"/>
  <c r="A602" i="10"/>
  <c r="H601" i="10"/>
  <c r="A601" i="10"/>
  <c r="H600" i="10"/>
  <c r="A600" i="10"/>
  <c r="H599" i="10"/>
  <c r="A599" i="10"/>
  <c r="H598" i="10"/>
  <c r="A598" i="10"/>
  <c r="H597" i="10"/>
  <c r="A597" i="10"/>
  <c r="H596" i="10"/>
  <c r="A596" i="10"/>
  <c r="H595" i="10"/>
  <c r="A595" i="10"/>
  <c r="H594" i="10"/>
  <c r="A594" i="10"/>
  <c r="H593" i="10"/>
  <c r="A593" i="10"/>
  <c r="H592" i="10"/>
  <c r="A592" i="10"/>
  <c r="H591" i="10"/>
  <c r="A591" i="10"/>
  <c r="H590" i="10"/>
  <c r="A590" i="10"/>
  <c r="H589" i="10"/>
  <c r="A589" i="10"/>
  <c r="H588" i="10"/>
  <c r="A588" i="10"/>
  <c r="H587" i="10"/>
  <c r="A587" i="10"/>
  <c r="H586" i="10"/>
  <c r="A586" i="10"/>
  <c r="H585" i="10"/>
  <c r="A585" i="10"/>
  <c r="H584" i="10"/>
  <c r="A584" i="10"/>
  <c r="H583" i="10"/>
  <c r="A583" i="10"/>
  <c r="H582" i="10"/>
  <c r="A582" i="10"/>
  <c r="H581" i="10"/>
  <c r="A581" i="10"/>
  <c r="H580" i="10"/>
  <c r="A580" i="10"/>
  <c r="H579" i="10"/>
  <c r="A579" i="10"/>
  <c r="H578" i="10"/>
  <c r="A578" i="10"/>
  <c r="H577" i="10"/>
  <c r="A577" i="10"/>
  <c r="H576" i="10"/>
  <c r="A576" i="10"/>
  <c r="H575" i="10"/>
  <c r="A575" i="10"/>
  <c r="H574" i="10"/>
  <c r="A574" i="10"/>
  <c r="H573" i="10"/>
  <c r="A573" i="10"/>
  <c r="H572" i="10"/>
  <c r="A572" i="10"/>
  <c r="H571" i="10"/>
  <c r="A571" i="10"/>
  <c r="H570" i="10"/>
  <c r="A570" i="10"/>
  <c r="H569" i="10"/>
  <c r="A569" i="10"/>
  <c r="H568" i="10"/>
  <c r="A568" i="10"/>
  <c r="H567" i="10"/>
  <c r="A567" i="10"/>
  <c r="H566" i="10"/>
  <c r="A566" i="10"/>
  <c r="H565" i="10"/>
  <c r="A565" i="10"/>
  <c r="H564" i="10"/>
  <c r="A564" i="10"/>
  <c r="H563" i="10"/>
  <c r="A563" i="10"/>
  <c r="H562" i="10"/>
  <c r="A562" i="10"/>
  <c r="H561" i="10"/>
  <c r="A561" i="10"/>
  <c r="H560" i="10"/>
  <c r="A560" i="10"/>
  <c r="H559" i="10"/>
  <c r="A559" i="10"/>
  <c r="H558" i="10"/>
  <c r="A558" i="10"/>
  <c r="H557" i="10"/>
  <c r="A557" i="10"/>
  <c r="H556" i="10"/>
  <c r="A556" i="10"/>
  <c r="H555" i="10"/>
  <c r="A555" i="10"/>
  <c r="H554" i="10"/>
  <c r="A554" i="10"/>
  <c r="H553" i="10"/>
  <c r="A553" i="10"/>
  <c r="H552" i="10"/>
  <c r="A552" i="10"/>
  <c r="H551" i="10"/>
  <c r="A551" i="10"/>
  <c r="H550" i="10"/>
  <c r="A550" i="10"/>
  <c r="H549" i="10"/>
  <c r="A549" i="10"/>
  <c r="H548" i="10"/>
  <c r="A548" i="10"/>
  <c r="H547" i="10"/>
  <c r="A547" i="10"/>
  <c r="H546" i="10"/>
  <c r="A546" i="10"/>
  <c r="H545" i="10"/>
  <c r="A545" i="10"/>
  <c r="H544" i="10"/>
  <c r="A544" i="10"/>
  <c r="H543" i="10"/>
  <c r="A543" i="10"/>
  <c r="H542" i="10"/>
  <c r="A542" i="10"/>
  <c r="H541" i="10"/>
  <c r="A541" i="10"/>
  <c r="H540" i="10"/>
  <c r="A540" i="10"/>
  <c r="H539" i="10"/>
  <c r="A539" i="10"/>
  <c r="H538" i="10"/>
  <c r="A538" i="10"/>
  <c r="H537" i="10"/>
  <c r="A537" i="10"/>
  <c r="H536" i="10"/>
  <c r="A536" i="10"/>
  <c r="H535" i="10"/>
  <c r="A535" i="10"/>
  <c r="H534" i="10"/>
  <c r="A534" i="10"/>
  <c r="H533" i="10"/>
  <c r="A533" i="10"/>
  <c r="H532" i="10"/>
  <c r="A532" i="10"/>
  <c r="H531" i="10"/>
  <c r="A531" i="10"/>
  <c r="H530" i="10"/>
  <c r="A530" i="10"/>
  <c r="H529" i="10"/>
  <c r="A529" i="10"/>
  <c r="H528" i="10"/>
  <c r="A528" i="10"/>
  <c r="H527" i="10"/>
  <c r="A527" i="10"/>
  <c r="H526" i="10"/>
  <c r="A526" i="10"/>
  <c r="H525" i="10"/>
  <c r="A525" i="10"/>
  <c r="H524" i="10"/>
  <c r="A524" i="10"/>
  <c r="H523" i="10"/>
  <c r="A523" i="10"/>
  <c r="H522" i="10"/>
  <c r="A522" i="10"/>
  <c r="H521" i="10"/>
  <c r="A521" i="10"/>
  <c r="H520" i="10"/>
  <c r="A520" i="10"/>
  <c r="H519" i="10"/>
  <c r="A519" i="10"/>
  <c r="H518" i="10"/>
  <c r="A518" i="10"/>
  <c r="H517" i="10"/>
  <c r="A517" i="10"/>
  <c r="H516" i="10"/>
  <c r="A516" i="10"/>
  <c r="H515" i="10"/>
  <c r="A515" i="10"/>
  <c r="H514" i="10"/>
  <c r="A514" i="10"/>
  <c r="H513" i="10"/>
  <c r="A513" i="10"/>
  <c r="H512" i="10"/>
  <c r="A512" i="10"/>
  <c r="H511" i="10"/>
  <c r="A511" i="10"/>
  <c r="H510" i="10"/>
  <c r="A510" i="10"/>
  <c r="H509" i="10"/>
  <c r="A509" i="10"/>
  <c r="H508" i="10"/>
  <c r="A508" i="10"/>
  <c r="H507" i="10"/>
  <c r="A507" i="10"/>
  <c r="H506" i="10"/>
  <c r="A506" i="10"/>
  <c r="H505" i="10"/>
  <c r="A505" i="10"/>
  <c r="H504" i="10"/>
  <c r="A504" i="10"/>
  <c r="H503" i="10"/>
  <c r="A503" i="10"/>
  <c r="H502" i="10"/>
  <c r="A502" i="10"/>
  <c r="H501" i="10"/>
  <c r="A501" i="10"/>
  <c r="H500" i="10"/>
  <c r="A500" i="10"/>
  <c r="H499" i="10"/>
  <c r="A499" i="10"/>
  <c r="H498" i="10"/>
  <c r="A498" i="10"/>
  <c r="H497" i="10"/>
  <c r="A497" i="10"/>
  <c r="H496" i="10"/>
  <c r="A496" i="10"/>
  <c r="H495" i="10"/>
  <c r="A495" i="10"/>
  <c r="H494" i="10"/>
  <c r="A494" i="10"/>
  <c r="H493" i="10"/>
  <c r="A493" i="10"/>
  <c r="H492" i="10"/>
  <c r="A492" i="10"/>
  <c r="H491" i="10"/>
  <c r="A491" i="10"/>
  <c r="H490" i="10"/>
  <c r="A490" i="10"/>
  <c r="H489" i="10"/>
  <c r="A489" i="10"/>
  <c r="H488" i="10"/>
  <c r="A488" i="10"/>
  <c r="H487" i="10"/>
  <c r="A487" i="10"/>
  <c r="H486" i="10"/>
  <c r="A486" i="10"/>
  <c r="H485" i="10"/>
  <c r="A485" i="10"/>
  <c r="H484" i="10"/>
  <c r="A484" i="10"/>
  <c r="H483" i="10"/>
  <c r="A483" i="10"/>
  <c r="H482" i="10"/>
  <c r="A482" i="10"/>
  <c r="H481" i="10"/>
  <c r="A481" i="10"/>
  <c r="H480" i="10"/>
  <c r="A480" i="10"/>
  <c r="H479" i="10"/>
  <c r="A479" i="10"/>
  <c r="H478" i="10"/>
  <c r="A478" i="10"/>
  <c r="H477" i="10"/>
  <c r="A477" i="10"/>
  <c r="H476" i="10"/>
  <c r="A476" i="10"/>
  <c r="H475" i="10"/>
  <c r="A475" i="10"/>
  <c r="H474" i="10"/>
  <c r="A474" i="10"/>
  <c r="H473" i="10"/>
  <c r="A473" i="10"/>
  <c r="H472" i="10"/>
  <c r="A472" i="10"/>
  <c r="H471" i="10"/>
  <c r="A471" i="10"/>
  <c r="H470" i="10"/>
  <c r="A470" i="10"/>
  <c r="H469" i="10"/>
  <c r="A469" i="10"/>
  <c r="H468" i="10"/>
  <c r="A468" i="10"/>
  <c r="H467" i="10"/>
  <c r="A467" i="10"/>
  <c r="H466" i="10"/>
  <c r="A466" i="10"/>
  <c r="H465" i="10"/>
  <c r="A465" i="10"/>
  <c r="H464" i="10"/>
  <c r="A464" i="10"/>
  <c r="H463" i="10"/>
  <c r="A463" i="10"/>
  <c r="H462" i="10"/>
  <c r="A462" i="10"/>
  <c r="H461" i="10"/>
  <c r="A461" i="10"/>
  <c r="H460" i="10"/>
  <c r="A460" i="10"/>
  <c r="H459" i="10"/>
  <c r="A459" i="10"/>
  <c r="H458" i="10"/>
  <c r="A458" i="10"/>
  <c r="H457" i="10"/>
  <c r="A457" i="10"/>
  <c r="H456" i="10"/>
  <c r="A456" i="10"/>
  <c r="H455" i="10"/>
  <c r="A455" i="10"/>
  <c r="H454" i="10"/>
  <c r="A454" i="10"/>
  <c r="H453" i="10"/>
  <c r="A453" i="10"/>
  <c r="H452" i="10"/>
  <c r="A452" i="10"/>
  <c r="H451" i="10"/>
  <c r="A451" i="10"/>
  <c r="H450" i="10"/>
  <c r="A450" i="10"/>
  <c r="H449" i="10"/>
  <c r="A449" i="10"/>
  <c r="H448" i="10"/>
  <c r="A448" i="10"/>
  <c r="H447" i="10"/>
  <c r="A447" i="10"/>
  <c r="H446" i="10"/>
  <c r="A446" i="10"/>
  <c r="H445" i="10"/>
  <c r="A445" i="10"/>
  <c r="H444" i="10"/>
  <c r="A444" i="10"/>
  <c r="H443" i="10"/>
  <c r="A443" i="10"/>
  <c r="H442" i="10"/>
  <c r="A442" i="10"/>
  <c r="H441" i="10"/>
  <c r="A441" i="10"/>
  <c r="H440" i="10"/>
  <c r="A440" i="10"/>
  <c r="H439" i="10"/>
  <c r="A439" i="10"/>
  <c r="H438" i="10"/>
  <c r="A438" i="10"/>
  <c r="H437" i="10"/>
  <c r="A437" i="10"/>
  <c r="H436" i="10"/>
  <c r="A436" i="10"/>
  <c r="H435" i="10"/>
  <c r="A435" i="10"/>
  <c r="H434" i="10"/>
  <c r="A434" i="10"/>
  <c r="H433" i="10"/>
  <c r="A433" i="10"/>
  <c r="H432" i="10"/>
  <c r="A432" i="10"/>
  <c r="H431" i="10"/>
  <c r="A431" i="10"/>
  <c r="H430" i="10"/>
  <c r="A430" i="10"/>
  <c r="H429" i="10"/>
  <c r="A429" i="10"/>
  <c r="H428" i="10"/>
  <c r="A428" i="10"/>
  <c r="H427" i="10"/>
  <c r="A427" i="10"/>
  <c r="H426" i="10"/>
  <c r="A426" i="10"/>
  <c r="H425" i="10"/>
  <c r="A425" i="10"/>
  <c r="H424" i="10"/>
  <c r="A424" i="10"/>
  <c r="H423" i="10"/>
  <c r="A423" i="10"/>
  <c r="H422" i="10"/>
  <c r="A422" i="10"/>
  <c r="H421" i="10"/>
  <c r="A421" i="10"/>
  <c r="H420" i="10"/>
  <c r="A420" i="10"/>
  <c r="H419" i="10"/>
  <c r="A419" i="10"/>
  <c r="H418" i="10"/>
  <c r="A418" i="10"/>
  <c r="H417" i="10"/>
  <c r="A417" i="10"/>
  <c r="H416" i="10"/>
  <c r="A416" i="10"/>
  <c r="H415" i="10"/>
  <c r="A415" i="10"/>
  <c r="H414" i="10"/>
  <c r="A414" i="10"/>
  <c r="H413" i="10"/>
  <c r="A413" i="10"/>
  <c r="H412" i="10"/>
  <c r="A412" i="10"/>
  <c r="H411" i="10"/>
  <c r="A411" i="10"/>
  <c r="H410" i="10"/>
  <c r="A410" i="10"/>
  <c r="H409" i="10"/>
  <c r="A409" i="10"/>
  <c r="H408" i="10"/>
  <c r="A408" i="10"/>
  <c r="H407" i="10"/>
  <c r="A407" i="10"/>
  <c r="H406" i="10"/>
  <c r="A406" i="10"/>
  <c r="H405" i="10"/>
  <c r="A405" i="10"/>
  <c r="H404" i="10"/>
  <c r="A404" i="10"/>
  <c r="H403" i="10"/>
  <c r="A403" i="10"/>
  <c r="H402" i="10"/>
  <c r="A402" i="10"/>
  <c r="H401" i="10"/>
  <c r="A401" i="10"/>
  <c r="H400" i="10"/>
  <c r="A400" i="10"/>
  <c r="H399" i="10"/>
  <c r="A399" i="10"/>
  <c r="H398" i="10"/>
  <c r="A398" i="10"/>
  <c r="H397" i="10"/>
  <c r="A397" i="10"/>
  <c r="H396" i="10"/>
  <c r="A396" i="10"/>
  <c r="H395" i="10"/>
  <c r="A395" i="10"/>
  <c r="H394" i="10"/>
  <c r="A394" i="10"/>
  <c r="H393" i="10"/>
  <c r="A393" i="10"/>
  <c r="H392" i="10"/>
  <c r="A392" i="10"/>
  <c r="H391" i="10"/>
  <c r="A391" i="10"/>
  <c r="H390" i="10"/>
  <c r="A390" i="10"/>
  <c r="H389" i="10"/>
  <c r="A389" i="10"/>
  <c r="H388" i="10"/>
  <c r="A388" i="10"/>
  <c r="H387" i="10"/>
  <c r="A387" i="10"/>
  <c r="H386" i="10"/>
  <c r="A386" i="10"/>
  <c r="H385" i="10"/>
  <c r="A385" i="10"/>
  <c r="H384" i="10"/>
  <c r="A384" i="10"/>
  <c r="H383" i="10"/>
  <c r="A383" i="10"/>
  <c r="H382" i="10"/>
  <c r="A382" i="10"/>
  <c r="H381" i="10"/>
  <c r="A381" i="10"/>
  <c r="H380" i="10"/>
  <c r="A380" i="10"/>
  <c r="H379" i="10"/>
  <c r="A379" i="10"/>
  <c r="H378" i="10"/>
  <c r="A378" i="10"/>
  <c r="H377" i="10"/>
  <c r="A377" i="10"/>
  <c r="H376" i="10"/>
  <c r="A376" i="10"/>
  <c r="H375" i="10"/>
  <c r="A375" i="10"/>
  <c r="H374" i="10"/>
  <c r="A374" i="10"/>
  <c r="H373" i="10"/>
  <c r="A373" i="10"/>
  <c r="H372" i="10"/>
  <c r="A372" i="10"/>
  <c r="H371" i="10"/>
  <c r="A371" i="10"/>
  <c r="H370" i="10"/>
  <c r="A370" i="10"/>
  <c r="H369" i="10"/>
  <c r="A369" i="10"/>
  <c r="H368" i="10"/>
  <c r="A368" i="10"/>
  <c r="H367" i="10"/>
  <c r="A367" i="10"/>
  <c r="H366" i="10"/>
  <c r="A366" i="10"/>
  <c r="H365" i="10"/>
  <c r="A365" i="10"/>
  <c r="H364" i="10"/>
  <c r="A364" i="10"/>
  <c r="H363" i="10"/>
  <c r="A363" i="10"/>
  <c r="H362" i="10"/>
  <c r="A362" i="10"/>
  <c r="H361" i="10"/>
  <c r="A361" i="10"/>
  <c r="H360" i="10"/>
  <c r="A360" i="10"/>
  <c r="H359" i="10"/>
  <c r="A359" i="10"/>
  <c r="H358" i="10"/>
  <c r="A358" i="10"/>
  <c r="H357" i="10"/>
  <c r="A357" i="10"/>
  <c r="H356" i="10"/>
  <c r="A356" i="10"/>
  <c r="H355" i="10"/>
  <c r="A355" i="10"/>
  <c r="H354" i="10"/>
  <c r="A354" i="10"/>
  <c r="H353" i="10"/>
  <c r="A353" i="10"/>
  <c r="H352" i="10"/>
  <c r="A352" i="10"/>
  <c r="H351" i="10"/>
  <c r="A351" i="10"/>
  <c r="H350" i="10"/>
  <c r="A350" i="10"/>
  <c r="H349" i="10"/>
  <c r="A349" i="10"/>
  <c r="H348" i="10"/>
  <c r="A348" i="10"/>
  <c r="H347" i="10"/>
  <c r="A347" i="10"/>
  <c r="H346" i="10"/>
  <c r="A346" i="10"/>
  <c r="H345" i="10"/>
  <c r="A345" i="10"/>
  <c r="H344" i="10"/>
  <c r="A344" i="10"/>
  <c r="H343" i="10"/>
  <c r="A343" i="10"/>
  <c r="H342" i="10"/>
  <c r="A342" i="10"/>
  <c r="H341" i="10"/>
  <c r="A341" i="10"/>
  <c r="H340" i="10"/>
  <c r="A340" i="10"/>
  <c r="H339" i="10"/>
  <c r="A339" i="10"/>
  <c r="H338" i="10"/>
  <c r="A338" i="10"/>
  <c r="H337" i="10"/>
  <c r="A337" i="10"/>
  <c r="H336" i="10"/>
  <c r="A336" i="10"/>
  <c r="H335" i="10"/>
  <c r="A335" i="10"/>
  <c r="H334" i="10"/>
  <c r="A334" i="10"/>
  <c r="H333" i="10"/>
  <c r="A333" i="10"/>
  <c r="H332" i="10"/>
  <c r="A332" i="10"/>
  <c r="H331" i="10"/>
  <c r="A331" i="10"/>
  <c r="H330" i="10"/>
  <c r="A330" i="10"/>
  <c r="H329" i="10"/>
  <c r="A329" i="10"/>
  <c r="H328" i="10"/>
  <c r="A328" i="10"/>
  <c r="H327" i="10"/>
  <c r="A327" i="10"/>
  <c r="H326" i="10"/>
  <c r="A326" i="10"/>
  <c r="H325" i="10"/>
  <c r="A325" i="10"/>
  <c r="H324" i="10"/>
  <c r="A324" i="10"/>
  <c r="H323" i="10"/>
  <c r="A323" i="10"/>
  <c r="H322" i="10"/>
  <c r="A322" i="10"/>
  <c r="H321" i="10"/>
  <c r="A321" i="10"/>
  <c r="H320" i="10"/>
  <c r="A320" i="10"/>
  <c r="H319" i="10"/>
  <c r="A319" i="10"/>
  <c r="H318" i="10"/>
  <c r="A318" i="10"/>
  <c r="H317" i="10"/>
  <c r="A317" i="10"/>
  <c r="H316" i="10"/>
  <c r="A316" i="10"/>
  <c r="H315" i="10"/>
  <c r="A315" i="10"/>
  <c r="H314" i="10"/>
  <c r="A314" i="10"/>
  <c r="H313" i="10"/>
  <c r="A313" i="10"/>
  <c r="H312" i="10"/>
  <c r="A312" i="10"/>
  <c r="H311" i="10"/>
  <c r="A311" i="10"/>
  <c r="H310" i="10"/>
  <c r="A310" i="10"/>
  <c r="H309" i="10"/>
  <c r="A309" i="10"/>
  <c r="H308" i="10"/>
  <c r="A308" i="10"/>
  <c r="H307" i="10"/>
  <c r="A307" i="10"/>
  <c r="H306" i="10"/>
  <c r="A306" i="10"/>
  <c r="H305" i="10"/>
  <c r="A305" i="10"/>
  <c r="H304" i="10"/>
  <c r="A304" i="10"/>
  <c r="H303" i="10"/>
  <c r="A303" i="10"/>
  <c r="H302" i="10"/>
  <c r="A302" i="10"/>
  <c r="H301" i="10"/>
  <c r="A301" i="10"/>
  <c r="H300" i="10"/>
  <c r="A300" i="10"/>
  <c r="H299" i="10"/>
  <c r="A299" i="10"/>
  <c r="H298" i="10"/>
  <c r="A298" i="10"/>
  <c r="H297" i="10"/>
  <c r="A297" i="10"/>
  <c r="H296" i="10"/>
  <c r="A296" i="10"/>
  <c r="H295" i="10"/>
  <c r="A295" i="10"/>
  <c r="H294" i="10"/>
  <c r="A294" i="10"/>
  <c r="H293" i="10"/>
  <c r="A293" i="10"/>
  <c r="H292" i="10"/>
  <c r="A292" i="10"/>
  <c r="H291" i="10"/>
  <c r="A291" i="10"/>
  <c r="H290" i="10"/>
  <c r="A290" i="10"/>
  <c r="H289" i="10"/>
  <c r="A289" i="10"/>
  <c r="H288" i="10"/>
  <c r="A288" i="10"/>
  <c r="H287" i="10"/>
  <c r="A287" i="10"/>
  <c r="H286" i="10"/>
  <c r="A286" i="10"/>
  <c r="H285" i="10"/>
  <c r="A285" i="10"/>
  <c r="H284" i="10"/>
  <c r="A284" i="10"/>
  <c r="H283" i="10"/>
  <c r="A283" i="10"/>
  <c r="H282" i="10"/>
  <c r="A282" i="10"/>
  <c r="H281" i="10"/>
  <c r="A281" i="10"/>
  <c r="H280" i="10"/>
  <c r="A280" i="10"/>
  <c r="H279" i="10"/>
  <c r="A279" i="10"/>
  <c r="H278" i="10"/>
  <c r="A278" i="10"/>
  <c r="H277" i="10"/>
  <c r="A277" i="10"/>
  <c r="H276" i="10"/>
  <c r="A276" i="10"/>
  <c r="H275" i="10"/>
  <c r="A275" i="10"/>
  <c r="H274" i="10"/>
  <c r="A274" i="10"/>
  <c r="H273" i="10"/>
  <c r="A273" i="10"/>
  <c r="H272" i="10"/>
  <c r="A272" i="10"/>
  <c r="H271" i="10"/>
  <c r="A271" i="10"/>
  <c r="H270" i="10"/>
  <c r="A270" i="10"/>
  <c r="H269" i="10"/>
  <c r="A269" i="10"/>
  <c r="H268" i="10"/>
  <c r="A268" i="10"/>
  <c r="H267" i="10"/>
  <c r="A267" i="10"/>
  <c r="H266" i="10"/>
  <c r="A266" i="10"/>
  <c r="H265" i="10"/>
  <c r="A265" i="10"/>
  <c r="H264" i="10"/>
  <c r="A264" i="10"/>
  <c r="H263" i="10"/>
  <c r="A263" i="10"/>
  <c r="H262" i="10"/>
  <c r="A262" i="10"/>
  <c r="H261" i="10"/>
  <c r="A261" i="10"/>
  <c r="H260" i="10"/>
  <c r="A260" i="10"/>
  <c r="H259" i="10"/>
  <c r="A259" i="10"/>
  <c r="H258" i="10"/>
  <c r="A258" i="10"/>
  <c r="H257" i="10"/>
  <c r="A257" i="10"/>
  <c r="H256" i="10"/>
  <c r="A256" i="10"/>
  <c r="H255" i="10"/>
  <c r="A255" i="10"/>
  <c r="H254" i="10"/>
  <c r="A254" i="10"/>
  <c r="H253" i="10"/>
  <c r="A253" i="10"/>
  <c r="H252" i="10"/>
  <c r="A252" i="10"/>
  <c r="H251" i="10"/>
  <c r="A251" i="10"/>
  <c r="H250" i="10"/>
  <c r="A250" i="10"/>
  <c r="H249" i="10"/>
  <c r="A249" i="10"/>
  <c r="H248" i="10"/>
  <c r="A248" i="10"/>
  <c r="H247" i="10"/>
  <c r="A247" i="10"/>
  <c r="H246" i="10"/>
  <c r="A246" i="10"/>
  <c r="H245" i="10"/>
  <c r="A245" i="10"/>
  <c r="H244" i="10"/>
  <c r="A244" i="10"/>
  <c r="H243" i="10"/>
  <c r="A243" i="10"/>
  <c r="H242" i="10"/>
  <c r="A242" i="10"/>
  <c r="H241" i="10"/>
  <c r="A241" i="10"/>
  <c r="H240" i="10"/>
  <c r="A240" i="10"/>
  <c r="H239" i="10"/>
  <c r="A239" i="10"/>
  <c r="H238" i="10"/>
  <c r="A238" i="10"/>
  <c r="H237" i="10"/>
  <c r="A237" i="10"/>
  <c r="H236" i="10"/>
  <c r="A236" i="10"/>
  <c r="H235" i="10"/>
  <c r="A235" i="10"/>
  <c r="H234" i="10"/>
  <c r="A234" i="10"/>
  <c r="H233" i="10"/>
  <c r="A233" i="10"/>
  <c r="H232" i="10"/>
  <c r="A232" i="10"/>
  <c r="H231" i="10"/>
  <c r="A231" i="10"/>
  <c r="H230" i="10"/>
  <c r="A230" i="10"/>
  <c r="H229" i="10"/>
  <c r="A229" i="10"/>
  <c r="H228" i="10"/>
  <c r="A228" i="10"/>
  <c r="H227" i="10"/>
  <c r="A227" i="10"/>
  <c r="H226" i="10"/>
  <c r="A226" i="10"/>
  <c r="H225" i="10"/>
  <c r="A225" i="10"/>
  <c r="H224" i="10"/>
  <c r="A224" i="10"/>
  <c r="H223" i="10"/>
  <c r="A223" i="10"/>
  <c r="H222" i="10"/>
  <c r="A222" i="10"/>
  <c r="H221" i="10"/>
  <c r="A221" i="10"/>
  <c r="H220" i="10"/>
  <c r="A220" i="10"/>
  <c r="H219" i="10"/>
  <c r="A219" i="10"/>
  <c r="H218" i="10"/>
  <c r="A218" i="10"/>
  <c r="H217" i="10"/>
  <c r="A217" i="10"/>
  <c r="H216" i="10"/>
  <c r="A216" i="10"/>
  <c r="H215" i="10"/>
  <c r="A215" i="10"/>
  <c r="H214" i="10"/>
  <c r="A214" i="10"/>
  <c r="H213" i="10"/>
  <c r="A213" i="10"/>
  <c r="H212" i="10"/>
  <c r="A212" i="10"/>
  <c r="H211" i="10"/>
  <c r="A211" i="10"/>
  <c r="H210" i="10"/>
  <c r="A210" i="10"/>
  <c r="H209" i="10"/>
  <c r="A209" i="10"/>
  <c r="H208" i="10"/>
  <c r="A208" i="10"/>
  <c r="H207" i="10"/>
  <c r="A207" i="10"/>
  <c r="H206" i="10"/>
  <c r="A206" i="10"/>
  <c r="H205" i="10"/>
  <c r="A205" i="10"/>
  <c r="H204" i="10"/>
  <c r="A204" i="10"/>
  <c r="H203" i="10"/>
  <c r="A203" i="10"/>
  <c r="H202" i="10"/>
  <c r="A202" i="10"/>
  <c r="H201" i="10"/>
  <c r="A201" i="10"/>
  <c r="H200" i="10"/>
  <c r="A200" i="10"/>
  <c r="H199" i="10"/>
  <c r="A199" i="10"/>
  <c r="H198" i="10"/>
  <c r="A198" i="10"/>
  <c r="H197" i="10"/>
  <c r="A197" i="10"/>
  <c r="H196" i="10"/>
  <c r="A196" i="10"/>
  <c r="H195" i="10"/>
  <c r="A195" i="10"/>
  <c r="H194" i="10"/>
  <c r="A194" i="10"/>
  <c r="H193" i="10"/>
  <c r="A193" i="10"/>
  <c r="H192" i="10"/>
  <c r="A192" i="10"/>
  <c r="H191" i="10"/>
  <c r="A191" i="10"/>
  <c r="H190" i="10"/>
  <c r="A190" i="10"/>
  <c r="H189" i="10"/>
  <c r="A189" i="10"/>
  <c r="H188" i="10"/>
  <c r="A188" i="10"/>
  <c r="H187" i="10"/>
  <c r="A187" i="10"/>
  <c r="H186" i="10"/>
  <c r="A186" i="10"/>
  <c r="H185" i="10"/>
  <c r="A185" i="10"/>
  <c r="H184" i="10"/>
  <c r="A184" i="10"/>
  <c r="H183" i="10"/>
  <c r="A183" i="10"/>
  <c r="H182" i="10"/>
  <c r="A182" i="10"/>
  <c r="H181" i="10"/>
  <c r="A181" i="10"/>
  <c r="H180" i="10"/>
  <c r="A180" i="10"/>
  <c r="H179" i="10"/>
  <c r="A179" i="10"/>
  <c r="H178" i="10"/>
  <c r="A178" i="10"/>
  <c r="H177" i="10"/>
  <c r="A177" i="10"/>
  <c r="H176" i="10"/>
  <c r="A176" i="10"/>
  <c r="H175" i="10"/>
  <c r="A175" i="10"/>
  <c r="H174" i="10"/>
  <c r="A174" i="10"/>
  <c r="H173" i="10"/>
  <c r="A173" i="10"/>
  <c r="H172" i="10"/>
  <c r="A172" i="10"/>
  <c r="H171" i="10"/>
  <c r="A171" i="10"/>
  <c r="H170" i="10"/>
  <c r="A170" i="10"/>
  <c r="H169" i="10"/>
  <c r="A169" i="10"/>
  <c r="H168" i="10"/>
  <c r="A168" i="10"/>
  <c r="H167" i="10"/>
  <c r="A167" i="10"/>
  <c r="H166" i="10"/>
  <c r="A166" i="10"/>
  <c r="H165" i="10"/>
  <c r="A165" i="10"/>
  <c r="H164" i="10"/>
  <c r="A164" i="10"/>
  <c r="H163" i="10"/>
  <c r="A163" i="10"/>
  <c r="H162" i="10"/>
  <c r="A162" i="10"/>
  <c r="H161" i="10"/>
  <c r="A161" i="10"/>
  <c r="H160" i="10"/>
  <c r="A160" i="10"/>
  <c r="H159" i="10"/>
  <c r="A159" i="10"/>
  <c r="H158" i="10"/>
  <c r="A158" i="10"/>
  <c r="H157" i="10"/>
  <c r="A157" i="10"/>
  <c r="H156" i="10"/>
  <c r="A156" i="10"/>
  <c r="H155" i="10"/>
  <c r="A155" i="10"/>
  <c r="H154" i="10"/>
  <c r="A154" i="10"/>
  <c r="H153" i="10"/>
  <c r="A153" i="10"/>
  <c r="H152" i="10"/>
  <c r="A152" i="10"/>
  <c r="H151" i="10"/>
  <c r="A151" i="10"/>
  <c r="H150" i="10"/>
  <c r="A150" i="10"/>
  <c r="H149" i="10"/>
  <c r="A149" i="10"/>
  <c r="H148" i="10"/>
  <c r="A148" i="10"/>
  <c r="H147" i="10"/>
  <c r="A147" i="10"/>
  <c r="H146" i="10"/>
  <c r="A146" i="10"/>
  <c r="H145" i="10"/>
  <c r="A145" i="10"/>
  <c r="H144" i="10"/>
  <c r="A144" i="10"/>
  <c r="H143" i="10"/>
  <c r="A143" i="10"/>
  <c r="H142" i="10"/>
  <c r="A142" i="10"/>
  <c r="H141" i="10"/>
  <c r="A141" i="10"/>
  <c r="H140" i="10"/>
  <c r="A140" i="10"/>
  <c r="H139" i="10"/>
  <c r="A139" i="10"/>
  <c r="H138" i="10"/>
  <c r="A138" i="10"/>
  <c r="H137" i="10"/>
  <c r="A137" i="10"/>
  <c r="H136" i="10"/>
  <c r="A136" i="10"/>
  <c r="H135" i="10"/>
  <c r="A135" i="10"/>
  <c r="H134" i="10"/>
  <c r="A134" i="10"/>
  <c r="H133" i="10"/>
  <c r="A133" i="10"/>
  <c r="H132" i="10"/>
  <c r="A132" i="10"/>
  <c r="H131" i="10"/>
  <c r="A131" i="10"/>
  <c r="H130" i="10"/>
  <c r="A130" i="10"/>
  <c r="H129" i="10"/>
  <c r="A129" i="10"/>
  <c r="H128" i="10"/>
  <c r="A128" i="10"/>
  <c r="H127" i="10"/>
  <c r="A127" i="10"/>
  <c r="H126" i="10"/>
  <c r="A126" i="10"/>
  <c r="H125" i="10"/>
  <c r="A125" i="10"/>
  <c r="H124" i="10"/>
  <c r="A124" i="10"/>
  <c r="H123" i="10"/>
  <c r="A123" i="10"/>
  <c r="H122" i="10"/>
  <c r="A122" i="10"/>
  <c r="H121" i="10"/>
  <c r="A121" i="10"/>
  <c r="H120" i="10"/>
  <c r="A120" i="10"/>
  <c r="H119" i="10"/>
  <c r="A119" i="10"/>
  <c r="H118" i="10"/>
  <c r="A118" i="10"/>
  <c r="H117" i="10"/>
  <c r="A117" i="10"/>
  <c r="H116" i="10"/>
  <c r="A116" i="10"/>
  <c r="H115" i="10"/>
  <c r="A115" i="10"/>
  <c r="H114" i="10"/>
  <c r="A114" i="10"/>
  <c r="H113" i="10"/>
  <c r="A113" i="10"/>
  <c r="H112" i="10"/>
  <c r="A112" i="10"/>
  <c r="H111" i="10"/>
  <c r="A111" i="10"/>
  <c r="H110" i="10"/>
  <c r="A110" i="10"/>
  <c r="H109" i="10"/>
  <c r="A109" i="10"/>
  <c r="H108" i="10"/>
  <c r="A108" i="10"/>
  <c r="H107" i="10"/>
  <c r="A107" i="10"/>
  <c r="H106" i="10"/>
  <c r="A106" i="10"/>
  <c r="H105" i="10"/>
  <c r="A105" i="10"/>
  <c r="H104" i="10"/>
  <c r="A104" i="10"/>
  <c r="H103" i="10"/>
  <c r="A103" i="10"/>
  <c r="H102" i="10"/>
  <c r="A102" i="10"/>
  <c r="H101" i="10"/>
  <c r="A101" i="10"/>
  <c r="H100" i="10"/>
  <c r="A100" i="10"/>
  <c r="H99" i="10"/>
  <c r="A99" i="10"/>
  <c r="H98" i="10"/>
  <c r="A98" i="10"/>
  <c r="H97" i="10"/>
  <c r="A97" i="10"/>
  <c r="H96" i="10"/>
  <c r="A96" i="10"/>
  <c r="H95" i="10"/>
  <c r="A95" i="10"/>
  <c r="H94" i="10"/>
  <c r="A94" i="10"/>
  <c r="H93" i="10"/>
  <c r="A93" i="10"/>
  <c r="H92" i="10"/>
  <c r="A92" i="10"/>
  <c r="H91" i="10"/>
  <c r="A91" i="10"/>
  <c r="H90" i="10"/>
  <c r="A90" i="10"/>
  <c r="H89" i="10"/>
  <c r="A89" i="10"/>
  <c r="H88" i="10"/>
  <c r="A88" i="10"/>
  <c r="H87" i="10"/>
  <c r="A87" i="10"/>
  <c r="H86" i="10"/>
  <c r="A86" i="10"/>
  <c r="H85" i="10"/>
  <c r="A85" i="10"/>
  <c r="H84" i="10"/>
  <c r="A84" i="10"/>
  <c r="H83" i="10"/>
  <c r="A83" i="10"/>
  <c r="H82" i="10"/>
  <c r="A82" i="10"/>
  <c r="H81" i="10"/>
  <c r="A81" i="10"/>
  <c r="H80" i="10"/>
  <c r="A80" i="10"/>
  <c r="H79" i="10"/>
  <c r="A79" i="10"/>
  <c r="H78" i="10"/>
  <c r="A78" i="10"/>
  <c r="H77" i="10"/>
  <c r="A77" i="10"/>
  <c r="H76" i="10"/>
  <c r="A76" i="10"/>
  <c r="H75" i="10"/>
  <c r="A75" i="10"/>
  <c r="H74" i="10"/>
  <c r="A74" i="10"/>
  <c r="H73" i="10"/>
  <c r="A73" i="10"/>
  <c r="H72" i="10"/>
  <c r="A72" i="10"/>
  <c r="H71" i="10"/>
  <c r="A71" i="10"/>
  <c r="H70" i="10"/>
  <c r="A70" i="10"/>
  <c r="H69" i="10"/>
  <c r="A69" i="10"/>
  <c r="H68" i="10"/>
  <c r="A68" i="10"/>
  <c r="H67" i="10"/>
  <c r="A67" i="10"/>
  <c r="H66" i="10"/>
  <c r="A66" i="10"/>
  <c r="H65" i="10"/>
  <c r="A65" i="10"/>
  <c r="H64" i="10"/>
  <c r="A64" i="10"/>
  <c r="H63" i="10"/>
  <c r="A63" i="10"/>
  <c r="H62" i="10"/>
  <c r="A62" i="10"/>
  <c r="H61" i="10"/>
  <c r="A61" i="10"/>
  <c r="H60" i="10"/>
  <c r="A60" i="10"/>
  <c r="H59" i="10"/>
  <c r="A59" i="10"/>
  <c r="H58" i="10"/>
  <c r="A58" i="10"/>
  <c r="H57" i="10"/>
  <c r="A57" i="10"/>
  <c r="H56" i="10"/>
  <c r="A56" i="10"/>
  <c r="H55" i="10"/>
  <c r="A55" i="10"/>
  <c r="H54" i="10"/>
  <c r="A54" i="10"/>
  <c r="H53" i="10"/>
  <c r="A53" i="10"/>
  <c r="H52" i="10"/>
  <c r="A52" i="10"/>
  <c r="H51" i="10"/>
  <c r="A51" i="10"/>
  <c r="H50" i="10"/>
  <c r="A50" i="10"/>
  <c r="H49" i="10"/>
  <c r="A49" i="10"/>
  <c r="H48" i="10"/>
  <c r="A48" i="10"/>
  <c r="H47" i="10"/>
  <c r="A47" i="10"/>
  <c r="H46" i="10"/>
  <c r="A46" i="10"/>
  <c r="H45" i="10"/>
  <c r="A45" i="10"/>
  <c r="H44" i="10"/>
  <c r="A44" i="10"/>
  <c r="H43" i="10"/>
  <c r="A43" i="10"/>
  <c r="H42" i="10"/>
  <c r="A42" i="10"/>
  <c r="H41" i="10"/>
  <c r="A41" i="10"/>
  <c r="H40" i="10"/>
  <c r="A40" i="10"/>
  <c r="H39" i="10"/>
  <c r="A39" i="10"/>
  <c r="H38" i="10"/>
  <c r="A38" i="10"/>
  <c r="H37" i="10"/>
  <c r="A37" i="10"/>
  <c r="H36" i="10"/>
  <c r="A36" i="10"/>
  <c r="H35" i="10"/>
  <c r="A35" i="10"/>
  <c r="H34" i="10"/>
  <c r="A34" i="10"/>
  <c r="H33" i="10"/>
  <c r="A33" i="10"/>
  <c r="H32" i="10"/>
  <c r="A32" i="10"/>
  <c r="H31" i="10"/>
  <c r="A31" i="10"/>
  <c r="H30" i="10"/>
  <c r="A30" i="10"/>
  <c r="H29" i="10"/>
  <c r="A29" i="10"/>
  <c r="H28" i="10"/>
  <c r="A28" i="10"/>
  <c r="H27" i="10"/>
  <c r="A27" i="10"/>
  <c r="H26" i="10"/>
  <c r="A26" i="10"/>
  <c r="H25" i="10"/>
  <c r="A25" i="10"/>
  <c r="H24" i="10"/>
  <c r="A24" i="10"/>
  <c r="H23" i="10"/>
  <c r="A23" i="10"/>
  <c r="H22" i="10"/>
  <c r="A22" i="10"/>
  <c r="H21" i="10"/>
  <c r="A21" i="10"/>
  <c r="H20" i="10"/>
  <c r="A20" i="10"/>
  <c r="H19" i="10"/>
  <c r="A19" i="10"/>
  <c r="H18" i="10"/>
  <c r="A18" i="10"/>
  <c r="H17" i="10"/>
  <c r="A17" i="10"/>
  <c r="H16" i="10"/>
  <c r="A16" i="10"/>
  <c r="H15" i="10"/>
  <c r="A15" i="10"/>
  <c r="H14" i="10"/>
  <c r="A14" i="10"/>
  <c r="H13" i="10"/>
  <c r="A13" i="10"/>
  <c r="H12" i="10"/>
  <c r="A12" i="10"/>
  <c r="H11" i="10"/>
  <c r="A11" i="10"/>
  <c r="H10" i="10"/>
  <c r="A10" i="10"/>
  <c r="H9" i="10"/>
  <c r="A9" i="10"/>
  <c r="H8" i="10"/>
  <c r="A8" i="10"/>
  <c r="H7" i="10"/>
  <c r="A7" i="10"/>
  <c r="H6" i="10"/>
  <c r="A6" i="10"/>
  <c r="H5" i="10"/>
  <c r="A5" i="10"/>
  <c r="H4" i="10"/>
  <c r="A4" i="10"/>
  <c r="H3" i="10"/>
  <c r="A3" i="10"/>
  <c r="H2" i="10"/>
  <c r="A2" i="10"/>
  <c r="K2" i="8"/>
  <c r="J2" i="8"/>
  <c r="N2" i="7"/>
  <c r="M2" i="7"/>
  <c r="L2" i="7"/>
  <c r="K2" i="7"/>
  <c r="C25" i="1"/>
  <c r="C22" i="1"/>
  <c r="D19" i="3" l="1"/>
  <c r="H19" i="3"/>
  <c r="G19" i="3"/>
  <c r="E19" i="3"/>
  <c r="D35" i="3"/>
  <c r="H35" i="3"/>
  <c r="G35" i="3"/>
  <c r="E35" i="3"/>
  <c r="S141" i="6"/>
  <c r="S157" i="6"/>
  <c r="S173" i="6"/>
  <c r="S189" i="6"/>
  <c r="S205" i="6"/>
  <c r="S221" i="6"/>
  <c r="S237" i="6"/>
  <c r="S265" i="6"/>
  <c r="S306" i="6"/>
  <c r="S370" i="6"/>
  <c r="S137" i="6"/>
  <c r="S153" i="6"/>
  <c r="S169" i="6"/>
  <c r="S185" i="6"/>
  <c r="S201" i="6"/>
  <c r="S217" i="6"/>
  <c r="S233" i="6"/>
  <c r="D27" i="3"/>
  <c r="H27" i="3"/>
  <c r="G27" i="3"/>
  <c r="E27" i="3"/>
  <c r="S135" i="6"/>
  <c r="S151" i="6"/>
  <c r="S167" i="6"/>
  <c r="S183" i="6"/>
  <c r="S199" i="6"/>
  <c r="S215" i="6"/>
  <c r="S231" i="6"/>
  <c r="S386" i="6"/>
  <c r="S266" i="6"/>
  <c r="S131" i="6"/>
  <c r="S147" i="6"/>
  <c r="S163" i="6"/>
  <c r="S179" i="6"/>
  <c r="S195" i="6"/>
  <c r="S211" i="6"/>
  <c r="S227" i="6"/>
  <c r="S243" i="6"/>
  <c r="S274" i="6"/>
  <c r="S338" i="6"/>
  <c r="S273" i="6"/>
  <c r="S289" i="6"/>
  <c r="S305" i="6"/>
  <c r="S321" i="6"/>
  <c r="S337" i="6"/>
  <c r="S353" i="6"/>
  <c r="S369" i="6"/>
  <c r="S385" i="6"/>
  <c r="H21" i="3"/>
  <c r="E21" i="3"/>
  <c r="H29" i="3"/>
  <c r="E29" i="3"/>
  <c r="H37" i="3"/>
  <c r="E37" i="3"/>
  <c r="S269" i="6"/>
  <c r="S285" i="6"/>
  <c r="S301" i="6"/>
  <c r="S317" i="6"/>
  <c r="S333" i="6"/>
  <c r="S349" i="6"/>
  <c r="S365" i="6"/>
  <c r="S381" i="6"/>
  <c r="S397" i="6"/>
  <c r="H18" i="3"/>
  <c r="G18" i="3"/>
  <c r="D18" i="3"/>
  <c r="D21" i="3"/>
  <c r="H26" i="3"/>
  <c r="G26" i="3"/>
  <c r="D26" i="3"/>
  <c r="D29" i="3"/>
  <c r="H34" i="3"/>
  <c r="G34" i="3"/>
  <c r="D34" i="3"/>
  <c r="D37" i="3"/>
  <c r="S267" i="6"/>
  <c r="S283" i="6"/>
  <c r="S299" i="6"/>
  <c r="S315" i="6"/>
  <c r="S331" i="6"/>
  <c r="S347" i="6"/>
  <c r="S363" i="6"/>
  <c r="S379" i="6"/>
  <c r="S395" i="6"/>
  <c r="G21" i="3"/>
  <c r="G29" i="3"/>
  <c r="G37" i="3"/>
  <c r="S277" i="6"/>
  <c r="S293" i="6"/>
  <c r="S309" i="6"/>
  <c r="S325" i="6"/>
  <c r="S341" i="6"/>
  <c r="S357" i="6"/>
  <c r="S373" i="6"/>
  <c r="S389" i="6"/>
  <c r="S275" i="6"/>
  <c r="S291" i="6"/>
  <c r="S307" i="6"/>
  <c r="S323" i="6"/>
  <c r="S339" i="6"/>
  <c r="S355" i="6"/>
  <c r="S371" i="6"/>
  <c r="S387" i="6"/>
  <c r="H20" i="3"/>
  <c r="E20" i="3"/>
  <c r="D20" i="3"/>
  <c r="H28" i="3"/>
  <c r="E28" i="3"/>
  <c r="D28" i="3"/>
  <c r="H36" i="3"/>
  <c r="E36" i="3"/>
  <c r="D36" i="3"/>
  <c r="H44" i="3"/>
  <c r="G44" i="3"/>
  <c r="E44" i="3"/>
  <c r="D44" i="3"/>
  <c r="D42" i="3"/>
  <c r="H43" i="3"/>
  <c r="E15" i="3"/>
  <c r="E23" i="3"/>
  <c r="E31" i="3"/>
  <c r="E39" i="3"/>
  <c r="G42" i="3"/>
  <c r="D17" i="3"/>
  <c r="D25" i="3"/>
  <c r="D33" i="3"/>
  <c r="D41" i="3"/>
  <c r="C23" i="1"/>
  <c r="C24" i="1" l="1"/>
</calcChain>
</file>

<file path=xl/sharedStrings.xml><?xml version="1.0" encoding="utf-8"?>
<sst xmlns="http://schemas.openxmlformats.org/spreadsheetml/2006/main" count="4715" uniqueCount="1927">
  <si>
    <t>27TS Panamá - Control de Inventario y Alquileres</t>
  </si>
  <si>
    <t>Use los botones para registrar productos, preparar alquileres, procesar retornos y revisar el calendario.</t>
  </si>
  <si>
    <t>PRODUCTOS</t>
  </si>
  <si>
    <t>NUEVO ALQUILER</t>
  </si>
  <si>
    <t>RETORNOS</t>
  </si>
  <si>
    <t>CALENDARIO</t>
  </si>
  <si>
    <t>TABLA DE PRODUCTOS</t>
  </si>
  <si>
    <t>EVENTOS</t>
  </si>
  <si>
    <t>MARCAR SALIDA</t>
  </si>
  <si>
    <t>CANCELAR EVENTO</t>
  </si>
  <si>
    <t>ACTUALIZAR TODO</t>
  </si>
  <si>
    <t>Indicador</t>
  </si>
  <si>
    <t>Valor</t>
  </si>
  <si>
    <t>Productos activos</t>
  </si>
  <si>
    <t>Unidades totales</t>
  </si>
  <si>
    <t>Unidades en almacén</t>
  </si>
  <si>
    <t>Eventos abiertos</t>
  </si>
  <si>
    <t>Producto</t>
  </si>
  <si>
    <t>Producto para cargar</t>
  </si>
  <si>
    <t>CARGAR</t>
  </si>
  <si>
    <t>ID del producto</t>
  </si>
  <si>
    <t>Se asigna automáticamente</t>
  </si>
  <si>
    <t>Nombre</t>
  </si>
  <si>
    <t>NUEVO</t>
  </si>
  <si>
    <t>Referencia interna</t>
  </si>
  <si>
    <t>Responsable</t>
  </si>
  <si>
    <t>Código de barras</t>
  </si>
  <si>
    <t>GUARDAR PRODUCTO</t>
  </si>
  <si>
    <t>Precio de venta</t>
  </si>
  <si>
    <t>Categoría</t>
  </si>
  <si>
    <t>Cantidad inicial</t>
  </si>
  <si>
    <t>SELECCIONAR FOTO</t>
  </si>
  <si>
    <t>Tipo de producto</t>
  </si>
  <si>
    <t>Unidad</t>
  </si>
  <si>
    <t>Activo</t>
  </si>
  <si>
    <t>Sí</t>
  </si>
  <si>
    <t>AGREGAR INVENTARIO</t>
  </si>
  <si>
    <t>Ubicación base</t>
  </si>
  <si>
    <t>Almacén</t>
  </si>
  <si>
    <t>La imagen se mostrará aquí cuando exista en la carpeta Imagenes.</t>
  </si>
  <si>
    <t>Archivo de foto</t>
  </si>
  <si>
    <t>Dato de excepción original</t>
  </si>
  <si>
    <t>VOLVER AL MENÚ</t>
  </si>
  <si>
    <t>Notas</t>
  </si>
  <si>
    <t>Agregar inventario</t>
  </si>
  <si>
    <t>Cantidad a ingresar</t>
  </si>
  <si>
    <t>Fecha</t>
  </si>
  <si>
    <t>Nota</t>
  </si>
  <si>
    <t>Nuevo alquiler o edición de evento</t>
  </si>
  <si>
    <t>Evento para cargar</t>
  </si>
  <si>
    <t>CARGAR EVENTO</t>
  </si>
  <si>
    <t>Nombre del evento</t>
  </si>
  <si>
    <t>Ubicación</t>
  </si>
  <si>
    <t>Fecha del evento</t>
  </si>
  <si>
    <t>VALIDAR</t>
  </si>
  <si>
    <t>GUARDAR ALQUILER</t>
  </si>
  <si>
    <t>Fecha de salida</t>
  </si>
  <si>
    <t>Fecha esperada de retorno</t>
  </si>
  <si>
    <t>LIMPIAR</t>
  </si>
  <si>
    <t>Línea</t>
  </si>
  <si>
    <t>ID</t>
  </si>
  <si>
    <t>Tipo</t>
  </si>
  <si>
    <t>Cantidad solicitada</t>
  </si>
  <si>
    <t>Disponible en período</t>
  </si>
  <si>
    <t>Validación</t>
  </si>
  <si>
    <t>Retorno de alquiler</t>
  </si>
  <si>
    <t>Evento</t>
  </si>
  <si>
    <t>GUARDAR RETORNO</t>
  </si>
  <si>
    <t>Solicitado</t>
  </si>
  <si>
    <t>Devuelto antes</t>
  </si>
  <si>
    <t>Consumido antes</t>
  </si>
  <si>
    <t>A reparación antes</t>
  </si>
  <si>
    <t>Pendiente</t>
  </si>
  <si>
    <t>Retorna ahora</t>
  </si>
  <si>
    <t>Consumido ahora</t>
  </si>
  <si>
    <t>A reparación ahora</t>
  </si>
  <si>
    <t>Calendario de alquileres</t>
  </si>
  <si>
    <t>Mes</t>
  </si>
  <si>
    <t>MES ANTERIOR</t>
  </si>
  <si>
    <t>ACTUALIZAR</t>
  </si>
  <si>
    <t>MES SIGUIENTE</t>
  </si>
  <si>
    <t>MENÚ</t>
  </si>
  <si>
    <t>Lunes</t>
  </si>
  <si>
    <t>Martes</t>
  </si>
  <si>
    <t>Miércoles</t>
  </si>
  <si>
    <t>Jueves</t>
  </si>
  <si>
    <t>Viernes</t>
  </si>
  <si>
    <t>Sábado</t>
  </si>
  <si>
    <t>Domingo</t>
  </si>
  <si>
    <t>El calendario usa el período completo desde la salida hasta el retorno esperado.</t>
  </si>
  <si>
    <t>Un evento vencido que sigue marcado como Entregado o Retorno parcial continúa bloqueando inventario.</t>
  </si>
  <si>
    <t>Use Actualizar después de guardar o modificar un evento.</t>
  </si>
  <si>
    <t>ID Producto</t>
  </si>
  <si>
    <t>Categoría de producto</t>
  </si>
  <si>
    <t>Total actual</t>
  </si>
  <si>
    <t>Alquilado actualmente</t>
  </si>
  <si>
    <t>En reparación</t>
  </si>
  <si>
    <t>Disponible en almacén</t>
  </si>
  <si>
    <t>P0001</t>
  </si>
  <si>
    <t>Body EW D Sennheiser</t>
  </si>
  <si>
    <t>PRO-AUD-BOD-4571</t>
  </si>
  <si>
    <t>Salvatore</t>
  </si>
  <si>
    <t>0273114250191</t>
  </si>
  <si>
    <t>All / Produccion / Audio / Bodypack</t>
  </si>
  <si>
    <t>Rentable</t>
  </si>
  <si>
    <t>BodyPack_EWD.png</t>
  </si>
  <si>
    <t>P0002</t>
  </si>
  <si>
    <t>Mic de Mano EW D Sennheiser (Inalámbrico)</t>
  </si>
  <si>
    <t>PRO-AUD-MIC-4514</t>
  </si>
  <si>
    <t>0273110251529</t>
  </si>
  <si>
    <t>All / Produccion / Audio / Microfonos</t>
  </si>
  <si>
    <t>Microfono_EWD.png</t>
  </si>
  <si>
    <t>P0003</t>
  </si>
  <si>
    <t>Mic de Mano EW DX Sennheiser (Inalámbrico)</t>
  </si>
  <si>
    <t>PRO-AUD-MIC-2517</t>
  </si>
  <si>
    <t>0273110251536</t>
  </si>
  <si>
    <t>Microfono_EWDX.png</t>
  </si>
  <si>
    <t>P0004</t>
  </si>
  <si>
    <t>AC ILUMINACION</t>
  </si>
  <si>
    <t>PRO-ELE-CAB-0262</t>
  </si>
  <si>
    <t>0273499250045</t>
  </si>
  <si>
    <t>All / Produccion / Electricidad / Cables</t>
  </si>
  <si>
    <t>AccesoriosLuces_AC-Iluminacion.jpg</t>
  </si>
  <si>
    <t>P0005</t>
  </si>
  <si>
    <t>AC LASER</t>
  </si>
  <si>
    <t>PRO-ELE-CAB-0768</t>
  </si>
  <si>
    <t>0273499250052</t>
  </si>
  <si>
    <t>P0006</t>
  </si>
  <si>
    <t>AUDIX Mic Podium con base</t>
  </si>
  <si>
    <t>PRO-AUD-MIC-5198</t>
  </si>
  <si>
    <t>0273110250027</t>
  </si>
  <si>
    <t>P0007</t>
  </si>
  <si>
    <t>Altavoz ES 802</t>
  </si>
  <si>
    <t>PRO-AUD-ALT-4615</t>
  </si>
  <si>
    <t>0273113250079</t>
  </si>
  <si>
    <t>All / Produccion / Audio / Altavoz activo</t>
  </si>
  <si>
    <t>P0008</t>
  </si>
  <si>
    <t>Altavoz Ig1</t>
  </si>
  <si>
    <t>PRO-AUD-ALT-1474</t>
  </si>
  <si>
    <t>0273113250086</t>
  </si>
  <si>
    <t>P0009</t>
  </si>
  <si>
    <t>Altavoz Ig4</t>
  </si>
  <si>
    <t>PRO-AUD-ALT-1510</t>
  </si>
  <si>
    <t>0273113250093</t>
  </si>
  <si>
    <t>P0010</t>
  </si>
  <si>
    <t>Altavoz VIO L208</t>
  </si>
  <si>
    <t>PRO-AUD-ALT-5273</t>
  </si>
  <si>
    <t>0273113250109</t>
  </si>
  <si>
    <t>Audio_VIOL208.png</t>
  </si>
  <si>
    <t>P0011</t>
  </si>
  <si>
    <t>Altavoz VIO L210</t>
  </si>
  <si>
    <t>PRO-AUD-ALT-5153</t>
  </si>
  <si>
    <t>0273113250116</t>
  </si>
  <si>
    <t>Audio_VIOL210.png</t>
  </si>
  <si>
    <t>P0012</t>
  </si>
  <si>
    <t>Art-Net EN6iP - obsidean</t>
  </si>
  <si>
    <t>PRO-ILU-ACC-8196</t>
  </si>
  <si>
    <t>0273311250123</t>
  </si>
  <si>
    <t>All / Produccion / Iluminacion / Accesorios</t>
  </si>
  <si>
    <t>P0013</t>
  </si>
  <si>
    <t>Asteras Leds</t>
  </si>
  <si>
    <t>PRO-ILU-LED-9956</t>
  </si>
  <si>
    <t>0273399250138</t>
  </si>
  <si>
    <t>All / Produccion / Iluminacion / LED</t>
  </si>
  <si>
    <t>P0014</t>
  </si>
  <si>
    <t>BATERIA RECARGABLE</t>
  </si>
  <si>
    <t>PRO-AUD-ACC-6897</t>
  </si>
  <si>
    <t>0273111250149</t>
  </si>
  <si>
    <t>All / Produccion / Audio / Accesorios</t>
  </si>
  <si>
    <t>AccesoriosAudio_BateriaRecargable.jpg</t>
  </si>
  <si>
    <t>P0015</t>
  </si>
  <si>
    <t>Batería Portátil GreCell T-330</t>
  </si>
  <si>
    <t>PRO-ELE-0658</t>
  </si>
  <si>
    <t>0273499253169</t>
  </si>
  <si>
    <t>All / Produccion / Electricidad</t>
  </si>
  <si>
    <t>P0016</t>
  </si>
  <si>
    <t>Batería Portátil GreCell T-500</t>
  </si>
  <si>
    <t>PRO-ELE-0716</t>
  </si>
  <si>
    <t>0273499253176</t>
  </si>
  <si>
    <t>P0017</t>
  </si>
  <si>
    <t>Beam 230W</t>
  </si>
  <si>
    <t>PRO-ILU-MOV-4649</t>
  </si>
  <si>
    <t>0273399250152</t>
  </si>
  <si>
    <t>All / Produccion / Iluminacion / Moving Head</t>
  </si>
  <si>
    <t>MovingHead_Beam230W.png</t>
  </si>
  <si>
    <t>P0018</t>
  </si>
  <si>
    <t>Beam 280W (3 en 1)</t>
  </si>
  <si>
    <t>PRO-ILU-LED-1712</t>
  </si>
  <si>
    <t>0273399250169</t>
  </si>
  <si>
    <t>MovingHead_BeamMn1BSW280.png</t>
  </si>
  <si>
    <t>P0019</t>
  </si>
  <si>
    <t>Big Bee 19x15w K10</t>
  </si>
  <si>
    <t>PRO-ILU-B-E-2599</t>
  </si>
  <si>
    <t>0273399250176</t>
  </si>
  <si>
    <t>All / Produccion / Iluminacion / B-eye</t>
  </si>
  <si>
    <t>P0020</t>
  </si>
  <si>
    <t>Bistro Led</t>
  </si>
  <si>
    <t>PRO-ILU-LED-0923</t>
  </si>
  <si>
    <t>0273399250183</t>
  </si>
  <si>
    <t>Led_Bistro.jpg</t>
  </si>
  <si>
    <t>P0021</t>
  </si>
  <si>
    <t>Body  GLXD4 Shure</t>
  </si>
  <si>
    <t>PRO-AUD-MIC-6889</t>
  </si>
  <si>
    <t>0273110251567</t>
  </si>
  <si>
    <t>P0022</t>
  </si>
  <si>
    <t>Body GLXD4 Shure</t>
  </si>
  <si>
    <t>PRO-AUD-BOD-3991</t>
  </si>
  <si>
    <t>0273114250207</t>
  </si>
  <si>
    <t>BodyPack_GLXD4.png</t>
  </si>
  <si>
    <t>P0023</t>
  </si>
  <si>
    <t>Body IEM EWD-X Sennheiser</t>
  </si>
  <si>
    <t>PRO-AUD-BOD-1772</t>
  </si>
  <si>
    <t>0273114250214</t>
  </si>
  <si>
    <t>BodyPack_EWDX.png</t>
  </si>
  <si>
    <t>P0024</t>
  </si>
  <si>
    <t>Body IEM G4 (in ear) Sennheiser</t>
  </si>
  <si>
    <t>PRO-AUD-BOD-4159</t>
  </si>
  <si>
    <t>0273114250221</t>
  </si>
  <si>
    <t>Receiver_SR-IEM-G4.jpg</t>
  </si>
  <si>
    <t>P0025</t>
  </si>
  <si>
    <t>Bola Disco</t>
  </si>
  <si>
    <t>PRO-UTI-BOL-6372</t>
  </si>
  <si>
    <t>0273899250232</t>
  </si>
  <si>
    <t>All / Produccion / Utilitarios / Bola Disco</t>
  </si>
  <si>
    <t>P0026</t>
  </si>
  <si>
    <t>Bumper ABSEN 0.50</t>
  </si>
  <si>
    <t>All</t>
  </si>
  <si>
    <t>P0027</t>
  </si>
  <si>
    <t>CHACLES</t>
  </si>
  <si>
    <t>PRO-AUD-ACC-5173</t>
  </si>
  <si>
    <t>0273111250248</t>
  </si>
  <si>
    <t>AccesoriosAudio_Chacles.jpg</t>
  </si>
  <si>
    <t>P0028</t>
  </si>
  <si>
    <t>CLIP DE MIC</t>
  </si>
  <si>
    <t>PRO-AUD-ACC-1712</t>
  </si>
  <si>
    <t>0273111250255</t>
  </si>
  <si>
    <t>AccesoriosAudio_ClipDeMic.jpg</t>
  </si>
  <si>
    <t>P0029</t>
  </si>
  <si>
    <t>CPU 27TS SDIX4 Sin Tarjeta de Video</t>
  </si>
  <si>
    <t>PRO-TRA-CÓM-8784</t>
  </si>
  <si>
    <t>0273599250266</t>
  </si>
  <si>
    <t>All / Produccion / Transmisiones / Cómputo</t>
  </si>
  <si>
    <t>P0030</t>
  </si>
  <si>
    <t>CVT4K-S</t>
  </si>
  <si>
    <t>PRO-VID-ESC-8962</t>
  </si>
  <si>
    <t>0273299250276</t>
  </si>
  <si>
    <t>All / Produccion / Video / Escaladores</t>
  </si>
  <si>
    <t>Transmisiones_CVT4K-S.jpg</t>
  </si>
  <si>
    <t>P0031</t>
  </si>
  <si>
    <t>Cable Cano</t>
  </si>
  <si>
    <t>PRO-AUD-ACC-7705</t>
  </si>
  <si>
    <t>0273499250281</t>
  </si>
  <si>
    <t>Electricidad_CabeCano.jpg</t>
  </si>
  <si>
    <t>P0032</t>
  </si>
  <si>
    <t>Cable HDMI</t>
  </si>
  <si>
    <t>PRO-ELE-CAB-9790</t>
  </si>
  <si>
    <t>0273499250298</t>
  </si>
  <si>
    <t>Electricidad_CableHDMI.jpg</t>
  </si>
  <si>
    <t>P0033</t>
  </si>
  <si>
    <t>Cable Ilda Splitter</t>
  </si>
  <si>
    <t>PRO-ILU-CON-7873</t>
  </si>
  <si>
    <t>0273399250305</t>
  </si>
  <si>
    <t>All / Produccion / Iluminacion / Controlador</t>
  </si>
  <si>
    <t>P0034</t>
  </si>
  <si>
    <t>Cable XLR - 3 pines</t>
  </si>
  <si>
    <t>PRO-ILU-ACC-6643</t>
  </si>
  <si>
    <t>0273499250311</t>
  </si>
  <si>
    <t>P0035</t>
  </si>
  <si>
    <t>Cable XLR - 5 pines</t>
  </si>
  <si>
    <t>PRO-ILU-ACC-6671</t>
  </si>
  <si>
    <t>0279999250325</t>
  </si>
  <si>
    <t>P0036</t>
  </si>
  <si>
    <t>Cable de Red</t>
  </si>
  <si>
    <t>PRO-TRA-CAB-0909</t>
  </si>
  <si>
    <t>0273599250334</t>
  </si>
  <si>
    <t>All / Produccion / Transmisiones / Cable</t>
  </si>
  <si>
    <t>P0037</t>
  </si>
  <si>
    <t>Caja Activa</t>
  </si>
  <si>
    <t>PRO-AUD-ACC-2406</t>
  </si>
  <si>
    <t>0273111250347</t>
  </si>
  <si>
    <t>AccesoriosAudio_CajaActiva.jpg</t>
  </si>
  <si>
    <t>P0038</t>
  </si>
  <si>
    <t>Caja Directa Direct100P Proel</t>
  </si>
  <si>
    <t>P0039</t>
  </si>
  <si>
    <t>Caja Directa Pasiva</t>
  </si>
  <si>
    <t>PRO-AUD-ACC-1972</t>
  </si>
  <si>
    <t>0273111250354</t>
  </si>
  <si>
    <t>AccesoriosAudio_CajaDirecta.jpg</t>
  </si>
  <si>
    <t>P0040</t>
  </si>
  <si>
    <t>Caja Directa Whirlwind EDB1</t>
  </si>
  <si>
    <t>P0041</t>
  </si>
  <si>
    <t>Caja de Prensa</t>
  </si>
  <si>
    <t>PRO-AUD-ACC-6219</t>
  </si>
  <si>
    <t>0273111250361</t>
  </si>
  <si>
    <t>AccesoriosAudio_CajaDePrensa.jpg</t>
  </si>
  <si>
    <t>P0042</t>
  </si>
  <si>
    <t>Caja de Prensa0273899250232</t>
  </si>
  <si>
    <t>Administrator</t>
  </si>
  <si>
    <t>P0043</t>
  </si>
  <si>
    <t>Caja de Prensa02738992502320273299250276</t>
  </si>
  <si>
    <t>P0044</t>
  </si>
  <si>
    <t>Cajas electricas Chica</t>
  </si>
  <si>
    <t>PRO-ELE-CAJ-3090</t>
  </si>
  <si>
    <t>0273499250373</t>
  </si>
  <si>
    <t>All / Produccion / Electricidad / CajasELEC</t>
  </si>
  <si>
    <t>P0045</t>
  </si>
  <si>
    <t>Cajas electricas grandes</t>
  </si>
  <si>
    <t>PRO-ELE-CAJ-6592</t>
  </si>
  <si>
    <t>0273499250380</t>
  </si>
  <si>
    <t>P0046</t>
  </si>
  <si>
    <t>Cajas electricas mediana</t>
  </si>
  <si>
    <t>PRO-ELE-CAJ-6096</t>
  </si>
  <si>
    <t>0273499250397</t>
  </si>
  <si>
    <t>P0047</t>
  </si>
  <si>
    <t>Camara PTZ 1080p USB</t>
  </si>
  <si>
    <t>PRO-TRA-CAM-5005</t>
  </si>
  <si>
    <t>0273599250402</t>
  </si>
  <si>
    <t>All / Produccion / Transmisiones / Camaras</t>
  </si>
  <si>
    <t>Transmisiones_CamaraPTZ1080p.png</t>
  </si>
  <si>
    <t>P0048</t>
  </si>
  <si>
    <t>Camara PTZ 4K NDI</t>
  </si>
  <si>
    <t>PRO-TRA-CAM-9406</t>
  </si>
  <si>
    <t>0273599250419</t>
  </si>
  <si>
    <t>Transmisiones_CamaraPTZ-4K-NDI.png</t>
  </si>
  <si>
    <t>P0049</t>
  </si>
  <si>
    <t>Camara PTZ FHD</t>
  </si>
  <si>
    <t>PRO-TRA-CAM-4059</t>
  </si>
  <si>
    <t>0273599250426</t>
  </si>
  <si>
    <t>P0050</t>
  </si>
  <si>
    <t>Camara PTZ NDI FHD</t>
  </si>
  <si>
    <t>PRO-TRA-CAM-5700</t>
  </si>
  <si>
    <t>0273599250433</t>
  </si>
  <si>
    <t>P0051</t>
  </si>
  <si>
    <t>Camara PTZ SD</t>
  </si>
  <si>
    <t>PRO-TRA-CAM-8797</t>
  </si>
  <si>
    <t>0273599250440</t>
  </si>
  <si>
    <t>P0052</t>
  </si>
  <si>
    <t>Camara Panasonic HC-X2000</t>
  </si>
  <si>
    <t>PRO-TRA-CAM-3789</t>
  </si>
  <si>
    <t>0273599250457</t>
  </si>
  <si>
    <t>Transmisiones_CamaraPanasonicHC-X2000.png</t>
  </si>
  <si>
    <t>P0053</t>
  </si>
  <si>
    <t>Camara Sony A7III</t>
  </si>
  <si>
    <t>PRO-TRA-CAM-0269</t>
  </si>
  <si>
    <t>0273599250464</t>
  </si>
  <si>
    <t>Transmisiones_CamaraSonyA7III.png</t>
  </si>
  <si>
    <t>P0054</t>
  </si>
  <si>
    <t>Camara Sony HXR-NX100</t>
  </si>
  <si>
    <t>PRO-TRA-CAM-1380</t>
  </si>
  <si>
    <t>0273599250471</t>
  </si>
  <si>
    <t>Transmisiones_CamaraSonyHXR-NX100.png</t>
  </si>
  <si>
    <t>P0055</t>
  </si>
  <si>
    <t>Carrito VIO DTT-L208</t>
  </si>
  <si>
    <t>PRO-AUD-ACC-3685</t>
  </si>
  <si>
    <t>0273111250484</t>
  </si>
  <si>
    <t>P0056</t>
  </si>
  <si>
    <t>Carrito VIO DTT-L210</t>
  </si>
  <si>
    <t>PRO-AUD-ACC-3537</t>
  </si>
  <si>
    <t>0273111250491</t>
  </si>
  <si>
    <t>P0057</t>
  </si>
  <si>
    <t>Cercas Gris  7x8 pies</t>
  </si>
  <si>
    <t>PRO-EST-CER-7994</t>
  </si>
  <si>
    <t>0273699250500</t>
  </si>
  <si>
    <t>All / Produccion / Estructuras / Cercas</t>
  </si>
  <si>
    <t>P0058</t>
  </si>
  <si>
    <t>Cercas Negras 7x8 pies</t>
  </si>
  <si>
    <t>PRO-EST-CER-9360</t>
  </si>
  <si>
    <t>0273699250517</t>
  </si>
  <si>
    <t>P0059</t>
  </si>
  <si>
    <t>Cercas Verdes 7x8 pies</t>
  </si>
  <si>
    <t>PRO-EST-CER-9437</t>
  </si>
  <si>
    <t>0273699250524</t>
  </si>
  <si>
    <t>P0060</t>
  </si>
  <si>
    <t>Cerebro Pixel</t>
  </si>
  <si>
    <t>PRO-ILU-CON-2755</t>
  </si>
  <si>
    <t>0273399250534</t>
  </si>
  <si>
    <t>P0061</t>
  </si>
  <si>
    <t>Chauvet Freedom Tri 6 (negras)</t>
  </si>
  <si>
    <t>PRO-ILU-PAR-6544</t>
  </si>
  <si>
    <t>0273399250541</t>
  </si>
  <si>
    <t>All / Produccion / Iluminacion / Par LED</t>
  </si>
  <si>
    <t>P0062</t>
  </si>
  <si>
    <t>Combinador de Antena</t>
  </si>
  <si>
    <t>PRO-AUD-ACC-6819</t>
  </si>
  <si>
    <t>0273111250552</t>
  </si>
  <si>
    <t>Receiver_CombinadorDeAntena.jpg</t>
  </si>
  <si>
    <t>P0063</t>
  </si>
  <si>
    <t>Consola 1204</t>
  </si>
  <si>
    <t>PRO-AUD-ACC-4434</t>
  </si>
  <si>
    <t>0273111250569</t>
  </si>
  <si>
    <t>Consola_1204.png</t>
  </si>
  <si>
    <t>P0064</t>
  </si>
  <si>
    <t>Consola AG03</t>
  </si>
  <si>
    <t>PRO-AUD-ACC-5484</t>
  </si>
  <si>
    <t>0273111250576</t>
  </si>
  <si>
    <t>Consola_AG03.png</t>
  </si>
  <si>
    <t>P0065</t>
  </si>
  <si>
    <t>Consola AG06</t>
  </si>
  <si>
    <t>PRO-AUD-ACC-5523</t>
  </si>
  <si>
    <t>0273111250583</t>
  </si>
  <si>
    <t>Consola_AG06.png</t>
  </si>
  <si>
    <t>P0066</t>
  </si>
  <si>
    <t>Consola Análoga</t>
  </si>
  <si>
    <t>PRO-AUD-ACC-3040</t>
  </si>
  <si>
    <t>0273111250590</t>
  </si>
  <si>
    <t>P0067</t>
  </si>
  <si>
    <t>Consola Behringer Xenyx 2442FX</t>
  </si>
  <si>
    <t>PRO-AUD-CON-7911</t>
  </si>
  <si>
    <t>0273112250605</t>
  </si>
  <si>
    <t>All / Produccion / Audio / Consolas</t>
  </si>
  <si>
    <t>P0068</t>
  </si>
  <si>
    <t>Consola China</t>
  </si>
  <si>
    <t>PRO-AUD-ACC-1645</t>
  </si>
  <si>
    <t>0273111250613</t>
  </si>
  <si>
    <t>P0069</t>
  </si>
  <si>
    <t>Consola DM3 YAMAHA</t>
  </si>
  <si>
    <t>PRO-AUD-ACC-5552</t>
  </si>
  <si>
    <t>0273111250620</t>
  </si>
  <si>
    <t>Consola_DM3.png</t>
  </si>
  <si>
    <t>P0070</t>
  </si>
  <si>
    <t>Consola DMX 512</t>
  </si>
  <si>
    <t>PRO-ILU-CON-7518</t>
  </si>
  <si>
    <t>0273312250634</t>
  </si>
  <si>
    <t>All / Produccion / Iluminación / Consolas</t>
  </si>
  <si>
    <t>P0071</t>
  </si>
  <si>
    <t>Consola DMX RM</t>
  </si>
  <si>
    <t>PRO-ILU-CON-4574</t>
  </si>
  <si>
    <t>0273312250641</t>
  </si>
  <si>
    <t>P0072</t>
  </si>
  <si>
    <t>Consola Fader Win</t>
  </si>
  <si>
    <t>PRO-ILU-ACC-7485</t>
  </si>
  <si>
    <t>0273311250659</t>
  </si>
  <si>
    <t>Consola_FaderWing.png</t>
  </si>
  <si>
    <t>P0073</t>
  </si>
  <si>
    <t>Consola MG10XU</t>
  </si>
  <si>
    <t>PRO-AUD-ACC-5654</t>
  </si>
  <si>
    <t>0273111250668</t>
  </si>
  <si>
    <t>P0074</t>
  </si>
  <si>
    <t>Consola MIDAS M32</t>
  </si>
  <si>
    <t>PRO-AUD-ACC-9054</t>
  </si>
  <si>
    <t>0273111250675</t>
  </si>
  <si>
    <t>Consola_MiraM32.png</t>
  </si>
  <si>
    <t>P0075</t>
  </si>
  <si>
    <t>Consola MQ 10FX</t>
  </si>
  <si>
    <t>PRO-AUD-ACC-9581</t>
  </si>
  <si>
    <t>0273111250682</t>
  </si>
  <si>
    <t>P0076</t>
  </si>
  <si>
    <t>Consola MQ 16USB</t>
  </si>
  <si>
    <t>PRO-AUD-ACC-4797</t>
  </si>
  <si>
    <t>0273111250699</t>
  </si>
  <si>
    <t>P0077</t>
  </si>
  <si>
    <t>Consola My DMX 3.0</t>
  </si>
  <si>
    <t>PRO-ILU-CON-3430</t>
  </si>
  <si>
    <t>0273312250702</t>
  </si>
  <si>
    <t>Consola_DMX3.png</t>
  </si>
  <si>
    <t>P0078</t>
  </si>
  <si>
    <t>Consola NX DMX</t>
  </si>
  <si>
    <t>PRO-AUD-ACC-6214</t>
  </si>
  <si>
    <t>0273111250712</t>
  </si>
  <si>
    <t>P0079</t>
  </si>
  <si>
    <t>Consola TF1</t>
  </si>
  <si>
    <t>PRO-AUD-ACC-1691</t>
  </si>
  <si>
    <t>0273111250729</t>
  </si>
  <si>
    <t>Consola_TF1.png</t>
  </si>
  <si>
    <t>P0080</t>
  </si>
  <si>
    <t>Consola X1622USB</t>
  </si>
  <si>
    <t>PRO-AUD-ALT-5665</t>
  </si>
  <si>
    <t>0273199250734</t>
  </si>
  <si>
    <t>All / Produccion / Audio / Altavos activo</t>
  </si>
  <si>
    <t>P0081</t>
  </si>
  <si>
    <t>Consola de Luces Grand MA2</t>
  </si>
  <si>
    <t>PRO-ILU-ACC-0371</t>
  </si>
  <si>
    <t>0273311250741</t>
  </si>
  <si>
    <t>Consola_GrandMA2Light.png</t>
  </si>
  <si>
    <t>P0082</t>
  </si>
  <si>
    <t>Contrapeso plástico</t>
  </si>
  <si>
    <t>PRO-EST-ELE-8705</t>
  </si>
  <si>
    <t>0273699250753</t>
  </si>
  <si>
    <t>All / Produccion / Estructuras / Elementos Truss</t>
  </si>
  <si>
    <t>Truss_ContrapesoPlastico.jpg</t>
  </si>
  <si>
    <t>P0083</t>
  </si>
  <si>
    <t>Control motor cable</t>
  </si>
  <si>
    <t>PRO-EST-MOT-3256</t>
  </si>
  <si>
    <t>0273699250760</t>
  </si>
  <si>
    <t>All / Produccion / Estructuras / Motores</t>
  </si>
  <si>
    <t>AccesoriosLuces_ControlMotorCable.jpg</t>
  </si>
  <si>
    <t>P0084</t>
  </si>
  <si>
    <t>Controlador  AC 26N Db technologies</t>
  </si>
  <si>
    <t>PRO-AUD-CON-9168</t>
  </si>
  <si>
    <t>0273199250772</t>
  </si>
  <si>
    <t>All / Produccion / Audio / Controlador Digital</t>
  </si>
  <si>
    <t>P0085</t>
  </si>
  <si>
    <t>Controlador laser FB3-QS</t>
  </si>
  <si>
    <t>PRO-ILU-LAS-3398</t>
  </si>
  <si>
    <t>0273399250787</t>
  </si>
  <si>
    <t>All / Produccion / Iluminacion / laser</t>
  </si>
  <si>
    <t>AccesoriosLuces_ControladorLaserFB3-QS.jpg</t>
  </si>
  <si>
    <t>P0086</t>
  </si>
  <si>
    <t>Convertidor 220-110</t>
  </si>
  <si>
    <t>PRO-ELE-ADA-4585</t>
  </si>
  <si>
    <t>0273499250793</t>
  </si>
  <si>
    <t>All / Produccion / Electricidad / Adaptadores</t>
  </si>
  <si>
    <t>Electricidad_Convertidor220-110.jpg</t>
  </si>
  <si>
    <t>P0087</t>
  </si>
  <si>
    <t>Counter Blanco Alto</t>
  </si>
  <si>
    <t>ALQ-MOB-DEC-7777</t>
  </si>
  <si>
    <t>0274299250808</t>
  </si>
  <si>
    <t>All / Alquiler / Mobiliario / Decorativos</t>
  </si>
  <si>
    <t>P0088</t>
  </si>
  <si>
    <t>Counter Blanco Bajo</t>
  </si>
  <si>
    <t>ALQ-MOB-DEC-7406</t>
  </si>
  <si>
    <t>0274299250815</t>
  </si>
  <si>
    <t>P0089</t>
  </si>
  <si>
    <t>Cubo Led LedArte</t>
  </si>
  <si>
    <t>ALQ-MOB-DEC-0819</t>
  </si>
  <si>
    <t>0274299250822</t>
  </si>
  <si>
    <t>P0090</t>
  </si>
  <si>
    <t>Cubo de truss</t>
  </si>
  <si>
    <t>PRO-EST-ELE-8336</t>
  </si>
  <si>
    <t>0273699250838</t>
  </si>
  <si>
    <t>P0091</t>
  </si>
  <si>
    <t>DB TECHNOLOGIES CONTROL 8</t>
  </si>
  <si>
    <t>PRO-AUD-ALT-9398</t>
  </si>
  <si>
    <t>0273113250840</t>
  </si>
  <si>
    <t>P0092</t>
  </si>
  <si>
    <t>DB25-PIN LASER</t>
  </si>
  <si>
    <t>PRO-ILU-LAS-0402</t>
  </si>
  <si>
    <t>0273399250855</t>
  </si>
  <si>
    <t>All / Produccion / Iluminacion / Laser</t>
  </si>
  <si>
    <t>AccesoriosLuces_DB25PinLaser.jpg</t>
  </si>
  <si>
    <t>P0093</t>
  </si>
  <si>
    <t>DOLLY L208</t>
  </si>
  <si>
    <t>PRO-AUD-ACC-6333</t>
  </si>
  <si>
    <t>0273111250866</t>
  </si>
  <si>
    <t>AccesoriosAudio_DollyL208.jpg</t>
  </si>
  <si>
    <t>P0094</t>
  </si>
  <si>
    <t>DOLLY S318</t>
  </si>
  <si>
    <t>PRO-AUD-ACC-6408</t>
  </si>
  <si>
    <t>0273111250033</t>
  </si>
  <si>
    <t>AccesoriosAudio_DollyS318.jpg</t>
  </si>
  <si>
    <t>P0095</t>
  </si>
  <si>
    <t>DSA VIO L208</t>
  </si>
  <si>
    <t>PRO-AUD-ALT-6362</t>
  </si>
  <si>
    <t>0273113250062</t>
  </si>
  <si>
    <t>All / Produccion / Audio / altavoz activo de columna</t>
  </si>
  <si>
    <t>AccesoriosAudio_DSA-VIO-L208.jpg</t>
  </si>
  <si>
    <t>P0096</t>
  </si>
  <si>
    <t>Dj Booth</t>
  </si>
  <si>
    <t>ALQ-MOB-DEC-0377</t>
  </si>
  <si>
    <t>0274299250877</t>
  </si>
  <si>
    <t>P0097</t>
  </si>
  <si>
    <t>Dracast</t>
  </si>
  <si>
    <t>PRO-ILU-REF-1023</t>
  </si>
  <si>
    <t>0273399250886</t>
  </si>
  <si>
    <t>All / Produccion / Iluminacion / reflectores</t>
  </si>
  <si>
    <t>Reflectores_Dracast.png</t>
  </si>
  <si>
    <t>P0098</t>
  </si>
  <si>
    <t>Driver IC REPUESTO</t>
  </si>
  <si>
    <t>All / Repuestos / Video</t>
  </si>
  <si>
    <t>Repuesto</t>
  </si>
  <si>
    <t>P0099</t>
  </si>
  <si>
    <t>EXTENDER XLR (IN-OUT)</t>
  </si>
  <si>
    <t>PRO-AUD-CON-8377</t>
  </si>
  <si>
    <t>0273112250896</t>
  </si>
  <si>
    <t>P0100</t>
  </si>
  <si>
    <t>Escalador LVP 100</t>
  </si>
  <si>
    <t>PRO-VID-ESC-3367</t>
  </si>
  <si>
    <t>0273299252003</t>
  </si>
  <si>
    <t>P0101</t>
  </si>
  <si>
    <t>Escalador Piso Interactivo Novastar 4K</t>
  </si>
  <si>
    <t>PRO-VID-ESC-7295</t>
  </si>
  <si>
    <t>0273299250900</t>
  </si>
  <si>
    <t>P0102</t>
  </si>
  <si>
    <t>Esfera Led Grande LedArte</t>
  </si>
  <si>
    <t>ALQ-MOB-DEC-3632</t>
  </si>
  <si>
    <t>0274299250914</t>
  </si>
  <si>
    <t>P0103</t>
  </si>
  <si>
    <t>Esfera Led Mediana LedArte</t>
  </si>
  <si>
    <t>ALQ-MOB-DEC-9975</t>
  </si>
  <si>
    <t>0274299250921</t>
  </si>
  <si>
    <t>P0104</t>
  </si>
  <si>
    <t>Esfera Led Pequeña LedArte</t>
  </si>
  <si>
    <t>ALQ-MOB-DEC-2827</t>
  </si>
  <si>
    <t>0274299250938</t>
  </si>
  <si>
    <t>P0105</t>
  </si>
  <si>
    <t>Estabilizador DJI Ronin</t>
  </si>
  <si>
    <t>PRO-TRA-EST-9031</t>
  </si>
  <si>
    <t>0273599250945</t>
  </si>
  <si>
    <t>All / Produccion / Transmisiones / Estabilizadores</t>
  </si>
  <si>
    <t>Transmisiones_EstabilizadorDJI-Ronin.png</t>
  </si>
  <si>
    <t>P0106</t>
  </si>
  <si>
    <t>Extender Orei EXB400</t>
  </si>
  <si>
    <t>PRO-VID-ACC-4132</t>
  </si>
  <si>
    <t>0273211250957</t>
  </si>
  <si>
    <t>All / Produccion / Video / Accesorios</t>
  </si>
  <si>
    <t>P0107</t>
  </si>
  <si>
    <t>Extensiones Chinas</t>
  </si>
  <si>
    <t>PRO-ELE-EXT-7645</t>
  </si>
  <si>
    <t>0273499250960</t>
  </si>
  <si>
    <t>All / Produccion / Electricidad / Extensiones</t>
  </si>
  <si>
    <t>P0108</t>
  </si>
  <si>
    <t>Extensiones Toma 4</t>
  </si>
  <si>
    <t>PRO-ELE-EXT-5464</t>
  </si>
  <si>
    <t>0273499250977</t>
  </si>
  <si>
    <t>Electricidad_EtensionesToma4.jpg</t>
  </si>
  <si>
    <t>P0109</t>
  </si>
  <si>
    <t>Extensor Fibra Óptica Hereta 4k</t>
  </si>
  <si>
    <t>PRO-TRA-CAB-2831</t>
  </si>
  <si>
    <t>0273599250983</t>
  </si>
  <si>
    <t>P0110</t>
  </si>
  <si>
    <t>Extensor Fibra Óptica KTVM 4K</t>
  </si>
  <si>
    <t>PRO-TRA-CAB-9855</t>
  </si>
  <si>
    <t>0273599250990</t>
  </si>
  <si>
    <t>P0111</t>
  </si>
  <si>
    <t>Extensor Fibra Óptica Novastar CVT4K-S</t>
  </si>
  <si>
    <t>PRO-TRA-CAB-4131</t>
  </si>
  <si>
    <t>0273599251003</t>
  </si>
  <si>
    <t>P0112</t>
  </si>
  <si>
    <t>FLY BAR VIO L208</t>
  </si>
  <si>
    <t>PRO-AUD-ALT-4696</t>
  </si>
  <si>
    <t>0273113251014</t>
  </si>
  <si>
    <t>P0113</t>
  </si>
  <si>
    <t>FLY BAR VIO L210</t>
  </si>
  <si>
    <t>PRO-AUD-ALT-4576</t>
  </si>
  <si>
    <t>0273113251021</t>
  </si>
  <si>
    <t>P0114</t>
  </si>
  <si>
    <t>FMX12 MONITOR DE PISO DB TECHNOLOGIES</t>
  </si>
  <si>
    <t>PRO-AUD-CON-7915</t>
  </si>
  <si>
    <t>0273112251039</t>
  </si>
  <si>
    <t>P0115</t>
  </si>
  <si>
    <t>Fiber Converter CVT4K-S</t>
  </si>
  <si>
    <t>P0116</t>
  </si>
  <si>
    <t>Flight Case 8 in 1 ABSEN REPUESTO</t>
  </si>
  <si>
    <t>P0117</t>
  </si>
  <si>
    <t>Flight Case p/Bumper 16 in 1 ABSEN REPUESTO</t>
  </si>
  <si>
    <t>P0118</t>
  </si>
  <si>
    <t>Frame Bumper PL-DW ABSEN REPUESTO</t>
  </si>
  <si>
    <t>P0119</t>
  </si>
  <si>
    <t>Fresnel Grande incandecente</t>
  </si>
  <si>
    <t>PRO-ILU-REF-9412</t>
  </si>
  <si>
    <t>0273399251043</t>
  </si>
  <si>
    <t>Relectores_FocoFresnel.jpg</t>
  </si>
  <si>
    <t>P0120</t>
  </si>
  <si>
    <t>Fuente de Alimentación REPUESTO</t>
  </si>
  <si>
    <t>P0121</t>
  </si>
  <si>
    <t>P0122</t>
  </si>
  <si>
    <t>Fuente de poder 3d floor dance</t>
  </si>
  <si>
    <t>PRO-ILU-ACC-7761</t>
  </si>
  <si>
    <t>0273311253124</t>
  </si>
  <si>
    <t>AccesoriosLuces_FuenteDePoder3DDanceFloor.jpg</t>
  </si>
  <si>
    <t>P0123</t>
  </si>
  <si>
    <t>Galon de Cumulus hp</t>
  </si>
  <si>
    <t>CON-LIQ-1096</t>
  </si>
  <si>
    <t>0272199251055</t>
  </si>
  <si>
    <t>All / Consumibles / Liquidos</t>
  </si>
  <si>
    <t>Consumible</t>
  </si>
  <si>
    <t>Galón</t>
  </si>
  <si>
    <t>Consumible_GalonCumulusHP.jpg</t>
  </si>
  <si>
    <t>P0124</t>
  </si>
  <si>
    <t>Galon de Entour Venue</t>
  </si>
  <si>
    <t>CON-LIQ-1041</t>
  </si>
  <si>
    <t>0272199251062</t>
  </si>
  <si>
    <t>Consumible_GalonEntourVenue.jpg</t>
  </si>
  <si>
    <t>P0125</t>
  </si>
  <si>
    <t>Galon de Jett fury</t>
  </si>
  <si>
    <t>CON-LIQ-6674</t>
  </si>
  <si>
    <t>0272199251079</t>
  </si>
  <si>
    <t>Consumible_GalonJettFury.jpg</t>
  </si>
  <si>
    <t>P0126</t>
  </si>
  <si>
    <t>Galon de Martin</t>
  </si>
  <si>
    <t>CON-LIQ-3725</t>
  </si>
  <si>
    <t>0272199251086</t>
  </si>
  <si>
    <t>Consumible_GalonMartin.jpg</t>
  </si>
  <si>
    <t>P0127</t>
  </si>
  <si>
    <t>Gobos Led</t>
  </si>
  <si>
    <t>PRO-ILU-GOB-7412</t>
  </si>
  <si>
    <t>0273399251098</t>
  </si>
  <si>
    <t>All / Produccion / Iluminacion / Gobos</t>
  </si>
  <si>
    <t>Led_Gobos.png</t>
  </si>
  <si>
    <t>P0128</t>
  </si>
  <si>
    <t>Grabador SD Blackmagic</t>
  </si>
  <si>
    <t>PRO-TRA-CAM-0591</t>
  </si>
  <si>
    <t>0273599251102</t>
  </si>
  <si>
    <t>P0129</t>
  </si>
  <si>
    <t>Green set ChromaKey</t>
  </si>
  <si>
    <t>PRO-TRA-ESC-7483</t>
  </si>
  <si>
    <t>0273599251119</t>
  </si>
  <si>
    <t>All / Produccion / Transmisiones / Escenografia</t>
  </si>
  <si>
    <t>Transmisiones_GreensetChroma.png</t>
  </si>
  <si>
    <t>P0130</t>
  </si>
  <si>
    <t>H2</t>
  </si>
  <si>
    <t>PRO-VID-ESC-9082</t>
  </si>
  <si>
    <t>0273299251129</t>
  </si>
  <si>
    <t>Transmisiones_H2.jpg</t>
  </si>
  <si>
    <t>P0131</t>
  </si>
  <si>
    <t>H5</t>
  </si>
  <si>
    <t>PRO-VID-ESC-9091</t>
  </si>
  <si>
    <t>0273299251136</t>
  </si>
  <si>
    <t>Transmisiones_H5.jpg</t>
  </si>
  <si>
    <t>P0132</t>
  </si>
  <si>
    <t>H5 Gabinete REPUESTO</t>
  </si>
  <si>
    <t>P0133</t>
  </si>
  <si>
    <t>HDMI Extender RX</t>
  </si>
  <si>
    <t>PRO-VID-ACC-6600</t>
  </si>
  <si>
    <t>0273211251145</t>
  </si>
  <si>
    <t>P0134</t>
  </si>
  <si>
    <t>Headset EW G4</t>
  </si>
  <si>
    <t>PRO-AUD-MIC-1054</t>
  </si>
  <si>
    <t>0273110251154</t>
  </si>
  <si>
    <t>P0135</t>
  </si>
  <si>
    <t>Ilda Control Box DB25</t>
  </si>
  <si>
    <t>PRO-ILU-ACC-8694</t>
  </si>
  <si>
    <t>0273311251175</t>
  </si>
  <si>
    <t>AccesoriosLuces_IldaControlBoxDB25.jpg</t>
  </si>
  <si>
    <t>P0136</t>
  </si>
  <si>
    <t>Input Card HDMI2.0 REPUESTO</t>
  </si>
  <si>
    <t>P0137</t>
  </si>
  <si>
    <t>Interface MyDmx 3.0</t>
  </si>
  <si>
    <t>PRO-ILU-ACC-6110</t>
  </si>
  <si>
    <t>0273311251182</t>
  </si>
  <si>
    <t>P0138</t>
  </si>
  <si>
    <t>Interface MyDmx RM</t>
  </si>
  <si>
    <t>PRO-ILU-ACC-3514</t>
  </si>
  <si>
    <t>0273311253148</t>
  </si>
  <si>
    <t>P0139</t>
  </si>
  <si>
    <t>Interface Onyx mx</t>
  </si>
  <si>
    <t>PRO-ILU-ACC-7825</t>
  </si>
  <si>
    <t>0273311251199</t>
  </si>
  <si>
    <t>P0140</t>
  </si>
  <si>
    <t>Intidimator Beam 140SR</t>
  </si>
  <si>
    <t>PRO-ILU-LED-6854</t>
  </si>
  <si>
    <t>0273399251203</t>
  </si>
  <si>
    <t>MovingHead_Intimidator140SR.png</t>
  </si>
  <si>
    <t>P0141</t>
  </si>
  <si>
    <t>Jem compact Hazer</t>
  </si>
  <si>
    <t>PRO-EFE-MAQ-8836</t>
  </si>
  <si>
    <t>0273799251216</t>
  </si>
  <si>
    <t>All / Produccion / Efectos Especiales / Maquina de Humo</t>
  </si>
  <si>
    <t>EfectosEspeciales_JemCompactHazer.png</t>
  </si>
  <si>
    <t>P0142</t>
  </si>
  <si>
    <t>Kit Fusionadora de Fibra Óptica</t>
  </si>
  <si>
    <t>PRO-TRA-CAB-6248</t>
  </si>
  <si>
    <t>0273599251225</t>
  </si>
  <si>
    <t>P0143</t>
  </si>
  <si>
    <t>LASER D1 20W</t>
  </si>
  <si>
    <t>PRO-ILU-LAS-9012</t>
  </si>
  <si>
    <t>0273399251234</t>
  </si>
  <si>
    <t>P0144</t>
  </si>
  <si>
    <t>LED Software Nova REPUESTO</t>
  </si>
  <si>
    <t>P0145</t>
  </si>
  <si>
    <t>Laptop blanca</t>
  </si>
  <si>
    <t>PRO-VID-COM-3701</t>
  </si>
  <si>
    <t>0273299251242</t>
  </si>
  <si>
    <t>All / Produccion / Video / Computadoras</t>
  </si>
  <si>
    <t>P0146</t>
  </si>
  <si>
    <t>Laser 20W</t>
  </si>
  <si>
    <t>PRO-ILU-LAS-6495</t>
  </si>
  <si>
    <t>0273399251258</t>
  </si>
  <si>
    <t>P0147</t>
  </si>
  <si>
    <t>Laser M10-10W</t>
  </si>
  <si>
    <t>PRO-ILU-LAS-3379</t>
  </si>
  <si>
    <t>0273399251265</t>
  </si>
  <si>
    <t>P0148</t>
  </si>
  <si>
    <t>Laser RGB moving head 10W</t>
  </si>
  <si>
    <t>PRO-ILU-LAS-7108</t>
  </si>
  <si>
    <t>0273399251272</t>
  </si>
  <si>
    <t>P0149</t>
  </si>
  <si>
    <t>Laser Sixscan laser bar 18W</t>
  </si>
  <si>
    <t>PRO-ILU-LAS-9461</t>
  </si>
  <si>
    <t>0273399251289</t>
  </si>
  <si>
    <t>Led_SixscanLaserBar18W.png</t>
  </si>
  <si>
    <t>P0150</t>
  </si>
  <si>
    <t>Lata Grande LedArte</t>
  </si>
  <si>
    <t>ALQ-MOB-DEC-7817</t>
  </si>
  <si>
    <t>0274299251294</t>
  </si>
  <si>
    <t>P0151</t>
  </si>
  <si>
    <t>Lata Pequeña LedArte</t>
  </si>
  <si>
    <t>ALQ-MOB-DEC-5470</t>
  </si>
  <si>
    <t>0274299251300</t>
  </si>
  <si>
    <t>P0152</t>
  </si>
  <si>
    <t>Led 36x3W (grandes)</t>
  </si>
  <si>
    <t>PRO-ILU-PAR-2158</t>
  </si>
  <si>
    <t>0273399251326</t>
  </si>
  <si>
    <t>P0153</t>
  </si>
  <si>
    <t>Led LED FLAT 18x10 (chicas)</t>
  </si>
  <si>
    <t>PRO-ILU-PAR-4928</t>
  </si>
  <si>
    <t>0273399251319</t>
  </si>
  <si>
    <t>Led_Flat.png</t>
  </si>
  <si>
    <t>P0154</t>
  </si>
  <si>
    <t>Led Pixel Infinite FAN de Colores</t>
  </si>
  <si>
    <t>PRO-ILU-LED-5179</t>
  </si>
  <si>
    <t>0273399251333</t>
  </si>
  <si>
    <t>Led_PixlInfiniteWindmillFan.jpg</t>
  </si>
  <si>
    <t>P0155</t>
  </si>
  <si>
    <t>Leko Led</t>
  </si>
  <si>
    <t>PRO-ILU-REF-5523</t>
  </si>
  <si>
    <t>0273399251340</t>
  </si>
  <si>
    <t>Reflectores_LekoLed.png</t>
  </si>
  <si>
    <t>P0156</t>
  </si>
  <si>
    <t>LetraLed "0" LedArte</t>
  </si>
  <si>
    <t>ALQ-MOB-DEC-1090</t>
  </si>
  <si>
    <t>0274299253182</t>
  </si>
  <si>
    <t>P0157</t>
  </si>
  <si>
    <t>LetraLed "1" LedArte</t>
  </si>
  <si>
    <t>ALQ-MOB-DEC-1102</t>
  </si>
  <si>
    <t>0274299253199</t>
  </si>
  <si>
    <t>P0158</t>
  </si>
  <si>
    <t>LetraLed "2" LedArte</t>
  </si>
  <si>
    <t>ALQ-MOB-DEC-1114</t>
  </si>
  <si>
    <t>0274299253205</t>
  </si>
  <si>
    <t>P0159</t>
  </si>
  <si>
    <t>LetraLed "3" LedArte</t>
  </si>
  <si>
    <t>ALQ-MOB-DEC-1126</t>
  </si>
  <si>
    <t>0274299253212</t>
  </si>
  <si>
    <t>P0160</t>
  </si>
  <si>
    <t>LetraLed "4" LedArte</t>
  </si>
  <si>
    <t>ALQ-MOB-DEC-1138</t>
  </si>
  <si>
    <t>0274299253229</t>
  </si>
  <si>
    <t>P0161</t>
  </si>
  <si>
    <t>LetraLed "5" LedArte</t>
  </si>
  <si>
    <t>ALQ-MOB-DEC-1150</t>
  </si>
  <si>
    <t>0274299253236</t>
  </si>
  <si>
    <t>P0162</t>
  </si>
  <si>
    <t>LetraLed "6" LedArte</t>
  </si>
  <si>
    <t>ALQ-MOB-DEC-1162</t>
  </si>
  <si>
    <t>0274299253243</t>
  </si>
  <si>
    <t>P0163</t>
  </si>
  <si>
    <t>LetraLed "7" LedArte</t>
  </si>
  <si>
    <t>ALQ-MOB-DEC-1174</t>
  </si>
  <si>
    <t>0274299253250</t>
  </si>
  <si>
    <t>P0164</t>
  </si>
  <si>
    <t>LetraLed "8" LedArte</t>
  </si>
  <si>
    <t>ALQ-MOB-DEC-1186</t>
  </si>
  <si>
    <t>0274299253267</t>
  </si>
  <si>
    <t>P0165</t>
  </si>
  <si>
    <t>LetraLed "9" LedArte</t>
  </si>
  <si>
    <t>ALQ-MOB-DEC-1198</t>
  </si>
  <si>
    <t>0274299253274</t>
  </si>
  <si>
    <t>P0166</t>
  </si>
  <si>
    <t>LetraLed "A" LedArte</t>
  </si>
  <si>
    <t>ALQ-MOB-DEC-1678</t>
  </si>
  <si>
    <t>0274299253281</t>
  </si>
  <si>
    <t>P0167</t>
  </si>
  <si>
    <t>LetraLed "B" LedArte</t>
  </si>
  <si>
    <t>ALQ-MOB-DEC-1690</t>
  </si>
  <si>
    <t>0274299253298</t>
  </si>
  <si>
    <t>P0168</t>
  </si>
  <si>
    <t>LetraLed "C" LedArte</t>
  </si>
  <si>
    <t>ALQ-MOB-DEC-1702</t>
  </si>
  <si>
    <t>0274299253304</t>
  </si>
  <si>
    <t>P0169</t>
  </si>
  <si>
    <t>LetraLed "D" LedArte</t>
  </si>
  <si>
    <t>ALQ-MOB-DEC-1714</t>
  </si>
  <si>
    <t>0274299253311</t>
  </si>
  <si>
    <t>P0170</t>
  </si>
  <si>
    <t>LetraLed "E" LedArte</t>
  </si>
  <si>
    <t>ALQ-MOB-DEC-1726</t>
  </si>
  <si>
    <t>0274299253328</t>
  </si>
  <si>
    <t>P0171</t>
  </si>
  <si>
    <t>LetraLed "F" LedArte</t>
  </si>
  <si>
    <t>ALQ-MOB-DEC-1738</t>
  </si>
  <si>
    <t>0274299253335</t>
  </si>
  <si>
    <t>P0172</t>
  </si>
  <si>
    <t>LetraLed "G" LedArte</t>
  </si>
  <si>
    <t>ALQ-MOB-DEC-1750</t>
  </si>
  <si>
    <t>0274299253342</t>
  </si>
  <si>
    <t>P0173</t>
  </si>
  <si>
    <t>LetraLed "H" LedArte</t>
  </si>
  <si>
    <t>ALQ-MOB-DEC-1762</t>
  </si>
  <si>
    <t>0274299253359</t>
  </si>
  <si>
    <t>P0174</t>
  </si>
  <si>
    <t>LetraLed "I" LedArte</t>
  </si>
  <si>
    <t>ALQ-MOB-DEC-1774</t>
  </si>
  <si>
    <t>0274299253366</t>
  </si>
  <si>
    <t>P0175</t>
  </si>
  <si>
    <t>LetraLed "J" LedArte</t>
  </si>
  <si>
    <t>ALQ-MOB-DEC-1786</t>
  </si>
  <si>
    <t>0274299253373</t>
  </si>
  <si>
    <t>P0176</t>
  </si>
  <si>
    <t>LetraLed "K" LedArte</t>
  </si>
  <si>
    <t>ALQ-MOB-DEC-1798</t>
  </si>
  <si>
    <t>0274299253380</t>
  </si>
  <si>
    <t>P0177</t>
  </si>
  <si>
    <t>LetraLed "L" LedArte</t>
  </si>
  <si>
    <t>ALQ-MOB-DEC-1810</t>
  </si>
  <si>
    <t>0274299253397</t>
  </si>
  <si>
    <t>P0178</t>
  </si>
  <si>
    <t>LetraLed "M" LedArte</t>
  </si>
  <si>
    <t>ALQ-MOB-DEC-1822</t>
  </si>
  <si>
    <t>0274299253403</t>
  </si>
  <si>
    <t>P0179</t>
  </si>
  <si>
    <t>LetraLed "N" LedArte</t>
  </si>
  <si>
    <t>ALQ-MOB-DEC-1834</t>
  </si>
  <si>
    <t>0274299253410</t>
  </si>
  <si>
    <t>P0180</t>
  </si>
  <si>
    <t>LetraLed "O" LedArte</t>
  </si>
  <si>
    <t>ALQ-MOB-DEC-1846</t>
  </si>
  <si>
    <t>0274299253427</t>
  </si>
  <si>
    <t>P0181</t>
  </si>
  <si>
    <t>LetraLed "P" LedArte</t>
  </si>
  <si>
    <t>ALQ-MOB-DEC-1858</t>
  </si>
  <si>
    <t>0274299253434</t>
  </si>
  <si>
    <t>P0182</t>
  </si>
  <si>
    <t>LetraLed "Q" LedArte</t>
  </si>
  <si>
    <t>ALQ-MOB-DEC-1870</t>
  </si>
  <si>
    <t>0274299253441</t>
  </si>
  <si>
    <t>P0183</t>
  </si>
  <si>
    <t>LetraLed "R" LedArte</t>
  </si>
  <si>
    <t>ALQ-MOB-DEC-1882</t>
  </si>
  <si>
    <t>0274299253458</t>
  </si>
  <si>
    <t>P0184</t>
  </si>
  <si>
    <t>LetraLed "S" LedArte</t>
  </si>
  <si>
    <t>ALQ-MOB-DEC-1894</t>
  </si>
  <si>
    <t>0274299253465</t>
  </si>
  <si>
    <t>P0185</t>
  </si>
  <si>
    <t>LetraLed "T" LedArte</t>
  </si>
  <si>
    <t>ALQ-MOB-DEC-1906</t>
  </si>
  <si>
    <t>0274299253472</t>
  </si>
  <si>
    <t>P0186</t>
  </si>
  <si>
    <t>LetraLed "U" LedArte</t>
  </si>
  <si>
    <t>ALQ-MOB-DEC-1918</t>
  </si>
  <si>
    <t>0274299253489</t>
  </si>
  <si>
    <t>P0187</t>
  </si>
  <si>
    <t>LetraLed "V" LedArte</t>
  </si>
  <si>
    <t>ALQ-MOB-DEC-1930</t>
  </si>
  <si>
    <t>0274299253496</t>
  </si>
  <si>
    <t>P0188</t>
  </si>
  <si>
    <t>LetraLed "W" LedArte</t>
  </si>
  <si>
    <t>ALQ-MOB-DEC-1942</t>
  </si>
  <si>
    <t>0274299253502</t>
  </si>
  <si>
    <t>P0189</t>
  </si>
  <si>
    <t>LetraLed "X" LedArte</t>
  </si>
  <si>
    <t>ALQ-MOB-DEC-1954</t>
  </si>
  <si>
    <t>0274299253519</t>
  </si>
  <si>
    <t>P0190</t>
  </si>
  <si>
    <t>LetraLed "Y" LedArte</t>
  </si>
  <si>
    <t>ALQ-MOB-DEC-1966</t>
  </si>
  <si>
    <t>0274299253526</t>
  </si>
  <si>
    <t>P0191</t>
  </si>
  <si>
    <t>LetraLed "Z" LedArte</t>
  </si>
  <si>
    <t>ALQ-MOB-DEC-1978</t>
  </si>
  <si>
    <t>0274299253533</t>
  </si>
  <si>
    <t>P0192</t>
  </si>
  <si>
    <t>Lona Protectora Azul 12'x18'</t>
  </si>
  <si>
    <t>P0193</t>
  </si>
  <si>
    <t>Luces inalámbricas (blancas)</t>
  </si>
  <si>
    <t>PRO-ILU-LUC-4943</t>
  </si>
  <si>
    <t>0273399251357</t>
  </si>
  <si>
    <t>All / Produccion / Iluminacion / Luces inalambricas</t>
  </si>
  <si>
    <t>Led_WhiteUplight.png</t>
  </si>
  <si>
    <t>P0194</t>
  </si>
  <si>
    <t>Lámpara LED SMD 1921 REPUESTO</t>
  </si>
  <si>
    <t>P0195</t>
  </si>
  <si>
    <t>MIC SHURE PGA98H (CLIP CABLE)</t>
  </si>
  <si>
    <t>PRO-AUD-MIC-5183</t>
  </si>
  <si>
    <t>0273110251369</t>
  </si>
  <si>
    <t>Microfono_PGA98H.jpg</t>
  </si>
  <si>
    <t>P0196</t>
  </si>
  <si>
    <t>MIC VINCHA (Shure)</t>
  </si>
  <si>
    <t>PRO-AUD-MIC-5868</t>
  </si>
  <si>
    <t>0273110251383</t>
  </si>
  <si>
    <t>Microfono_Vincha(Shura).jpg</t>
  </si>
  <si>
    <t>P0197</t>
  </si>
  <si>
    <t>MIC VINCHA Sennheiser</t>
  </si>
  <si>
    <t>PRO-AUD-MIC-4623</t>
  </si>
  <si>
    <t>0273110251376</t>
  </si>
  <si>
    <t>Microfono_Vincha(Sennheiser).jpg</t>
  </si>
  <si>
    <t>P0198</t>
  </si>
  <si>
    <t>Martin Exterior Wash 310</t>
  </si>
  <si>
    <t>PRO-ILU-LED-7004</t>
  </si>
  <si>
    <t>0273399251395</t>
  </si>
  <si>
    <t>Led_MartinExteiorWash310.png</t>
  </si>
  <si>
    <t>P0199</t>
  </si>
  <si>
    <t>Mesa  Coctelera - negra</t>
  </si>
  <si>
    <t>ALQ-MOB-MES-3371</t>
  </si>
  <si>
    <t>0274299251447</t>
  </si>
  <si>
    <t>All / Alquiler / Mobiliario / Mesas</t>
  </si>
  <si>
    <t>P0200</t>
  </si>
  <si>
    <t>Mesa Alta Plástica Cuadrada Blanca</t>
  </si>
  <si>
    <t>ALQ-MOB-MES-7632</t>
  </si>
  <si>
    <t>0274299251409</t>
  </si>
  <si>
    <t>P0201</t>
  </si>
  <si>
    <t>Mesa Blanca Redonda Baja</t>
  </si>
  <si>
    <t>ALQ-MOB-MES-4959</t>
  </si>
  <si>
    <t>0274299251416</t>
  </si>
  <si>
    <t>P0202</t>
  </si>
  <si>
    <t>Mesa Regular</t>
  </si>
  <si>
    <t>ALQ-MOB-MES-6550</t>
  </si>
  <si>
    <t>0274299251423</t>
  </si>
  <si>
    <t>P0203</t>
  </si>
  <si>
    <t>Mesa Tipo Plegable</t>
  </si>
  <si>
    <t>ALQ-MOB-MES-4577</t>
  </si>
  <si>
    <t>0274299251454</t>
  </si>
  <si>
    <t>P0204</t>
  </si>
  <si>
    <t>Mic Cuello de Ganzo (Inalámbrico)</t>
  </si>
  <si>
    <t>PRO-AUD-MIC-7777</t>
  </si>
  <si>
    <t>0273110251482</t>
  </si>
  <si>
    <t>P0205</t>
  </si>
  <si>
    <t>Mic Inalámbrico GLXD4 Shure</t>
  </si>
  <si>
    <t>PRO-AUD-MIC-9259</t>
  </si>
  <si>
    <t>0273110251468</t>
  </si>
  <si>
    <t>Microfono_GLXD4.jpg</t>
  </si>
  <si>
    <t>P0206</t>
  </si>
  <si>
    <t>Mic Podium empotrable Shure</t>
  </si>
  <si>
    <t>PRO-AUD-MIC-9738</t>
  </si>
  <si>
    <t>0273110251475</t>
  </si>
  <si>
    <t>Microfono_PodiumEmpotrable.jpg</t>
  </si>
  <si>
    <t>P0207</t>
  </si>
  <si>
    <t>Mic de Body EW 100G3</t>
  </si>
  <si>
    <t>PRO-AUD-MIC-2722</t>
  </si>
  <si>
    <t>0273110251512</t>
  </si>
  <si>
    <t>P0208</t>
  </si>
  <si>
    <t>Mic de Cable E614 8</t>
  </si>
  <si>
    <t>PRO-AUD-MIC-6842</t>
  </si>
  <si>
    <t>0273110251499</t>
  </si>
  <si>
    <t>Microfono_E614.jpg</t>
  </si>
  <si>
    <t>P0209</t>
  </si>
  <si>
    <t>Mic de Cable E835</t>
  </si>
  <si>
    <t>PRO-AUD-MIC-8516</t>
  </si>
  <si>
    <t>0273110251505</t>
  </si>
  <si>
    <t>Microfono_E835.jpg</t>
  </si>
  <si>
    <t>P0210</t>
  </si>
  <si>
    <t>Mic de Mano EW G3 Sennheiser (Inalámbrico)</t>
  </si>
  <si>
    <t>PRO-AUD-MIC-1326</t>
  </si>
  <si>
    <t>0273110251543</t>
  </si>
  <si>
    <t>P0211</t>
  </si>
  <si>
    <t>Mic de Mano EW G4 Sennheiser (Inalámbrico)</t>
  </si>
  <si>
    <t>PRO-AUD-MIC-1344</t>
  </si>
  <si>
    <t>0273110251550</t>
  </si>
  <si>
    <t>Microfono_EWG4.png</t>
  </si>
  <si>
    <t>P0212</t>
  </si>
  <si>
    <t>Microfono FDUCE</t>
  </si>
  <si>
    <t>PRO-AUD-MIC-2436</t>
  </si>
  <si>
    <t>0273110251574</t>
  </si>
  <si>
    <t>P0213</t>
  </si>
  <si>
    <t>Microfono Phenyx pro</t>
  </si>
  <si>
    <t>PRO-AUD-MIC-8929</t>
  </si>
  <si>
    <t>0273110251581</t>
  </si>
  <si>
    <t>P0214</t>
  </si>
  <si>
    <t>Micrófono Recargable Gemini</t>
  </si>
  <si>
    <t>PRO-AUD-MIC-9905</t>
  </si>
  <si>
    <t>0273110251598</t>
  </si>
  <si>
    <t>P0215</t>
  </si>
  <si>
    <t>Micrófono e908B-ew Sennheiser</t>
  </si>
  <si>
    <t>P0216</t>
  </si>
  <si>
    <t>Mini Bee Eye</t>
  </si>
  <si>
    <t>PRO-ILU-LED-9280</t>
  </si>
  <si>
    <t>0273399251609</t>
  </si>
  <si>
    <t>P0217</t>
  </si>
  <si>
    <t>Mini Led spot</t>
  </si>
  <si>
    <t>PRO-ILU-LED-4350</t>
  </si>
  <si>
    <t>0273399251616</t>
  </si>
  <si>
    <t>MovingHead_MiniLedSpot.jpg</t>
  </si>
  <si>
    <t>P0218</t>
  </si>
  <si>
    <t>Mixer Roland Pro A/V - V-02HD</t>
  </si>
  <si>
    <t>PRO-VID-ACC-0912</t>
  </si>
  <si>
    <t>0273211251626</t>
  </si>
  <si>
    <t>P0219</t>
  </si>
  <si>
    <t>Modem Hotspot HWAEI B311-521</t>
  </si>
  <si>
    <t>PRO-TRA-RED-1080</t>
  </si>
  <si>
    <t>0273599251638</t>
  </si>
  <si>
    <t>All / Produccion / Transmisiones / Red</t>
  </si>
  <si>
    <t>P0220</t>
  </si>
  <si>
    <t>Monitor Hollyland Mars M1</t>
  </si>
  <si>
    <t>PRO-TRA-CÓM-9282</t>
  </si>
  <si>
    <t>0273599251645</t>
  </si>
  <si>
    <t>P0221</t>
  </si>
  <si>
    <t>Monitor KL10</t>
  </si>
  <si>
    <t>PRO-AUD-MON-1713</t>
  </si>
  <si>
    <t>0273115251654</t>
  </si>
  <si>
    <t>All / Produccion / Audio / Monitores</t>
  </si>
  <si>
    <t>P0222</t>
  </si>
  <si>
    <t>Monitor KL12</t>
  </si>
  <si>
    <t>PRO-AUD-MON-1739</t>
  </si>
  <si>
    <t>0273115251661</t>
  </si>
  <si>
    <t>P0223</t>
  </si>
  <si>
    <t>Monitor LG 20MK400H</t>
  </si>
  <si>
    <t>PRO-TRA-CÓM-8722</t>
  </si>
  <si>
    <t>0273599251676</t>
  </si>
  <si>
    <t>P0224</t>
  </si>
  <si>
    <t>Monitor LG 27MP59G</t>
  </si>
  <si>
    <t>PRO-TRA-CÓM-3990</t>
  </si>
  <si>
    <t>0273599251683</t>
  </si>
  <si>
    <t>P0225</t>
  </si>
  <si>
    <t>Monitor LG 32MN600P</t>
  </si>
  <si>
    <t>PRO-TRA-CÓM-9005</t>
  </si>
  <si>
    <t>0273599251690</t>
  </si>
  <si>
    <t>P0226</t>
  </si>
  <si>
    <t>Monitor LG Ultrawide 34WK650</t>
  </si>
  <si>
    <t>PRO-TRA-CÓM-5519</t>
  </si>
  <si>
    <t>0273599251706</t>
  </si>
  <si>
    <t>P0227</t>
  </si>
  <si>
    <t>Motor Cable JDP</t>
  </si>
  <si>
    <t>PRO-EST-MOT-0628</t>
  </si>
  <si>
    <t>0273699251712</t>
  </si>
  <si>
    <t>P0228</t>
  </si>
  <si>
    <t>Motor Cable Mode</t>
  </si>
  <si>
    <t>PRO-EST-MOT-6082</t>
  </si>
  <si>
    <t>0273699251729</t>
  </si>
  <si>
    <t>P0229</t>
  </si>
  <si>
    <t>Motor Freehoist 1T</t>
  </si>
  <si>
    <t>PRO-EST-MOT-6892</t>
  </si>
  <si>
    <t>0273699251736</t>
  </si>
  <si>
    <t>P0230</t>
  </si>
  <si>
    <t>Motor bateria</t>
  </si>
  <si>
    <t>PRO-EST-MOT-0966</t>
  </si>
  <si>
    <t>0273699251743</t>
  </si>
  <si>
    <t>P0231</t>
  </si>
  <si>
    <t>Mouse USB</t>
  </si>
  <si>
    <t>PRO-TRA-CÓM-7362</t>
  </si>
  <si>
    <t>0273599251751</t>
  </si>
  <si>
    <t>P0232</t>
  </si>
  <si>
    <t>Máscara REPUESTO</t>
  </si>
  <si>
    <t>P0233</t>
  </si>
  <si>
    <t>Módulo (gratuito) REPUESTO</t>
  </si>
  <si>
    <t>P0234</t>
  </si>
  <si>
    <t>Módulo REPUESTO</t>
  </si>
  <si>
    <t>P0235</t>
  </si>
  <si>
    <t>Módulo Óptico 10G SFP Module-S REPUESTO</t>
  </si>
  <si>
    <t>P0236</t>
  </si>
  <si>
    <t>NT 3.9 outdoor       500 x 1000</t>
  </si>
  <si>
    <t>PRO-VID-PAN-9701</t>
  </si>
  <si>
    <t>0273299251785</t>
  </si>
  <si>
    <t>All / Produccion / Video / Pantallas LED</t>
  </si>
  <si>
    <t>Pantalla_NT3.9Outdoor.png</t>
  </si>
  <si>
    <t>P0237</t>
  </si>
  <si>
    <t>Orei Audio extracor</t>
  </si>
  <si>
    <t>PRO-VID-ACC-2765</t>
  </si>
  <si>
    <t>0273211251794</t>
  </si>
  <si>
    <t>P0238</t>
  </si>
  <si>
    <t>Outdoor Metal 100W</t>
  </si>
  <si>
    <t>PRO-ILU-PAR-6468</t>
  </si>
  <si>
    <t>0273399251807</t>
  </si>
  <si>
    <t>P0239</t>
  </si>
  <si>
    <t>Output Card 16xRJ45+2x REPUESTO</t>
  </si>
  <si>
    <t>P0240</t>
  </si>
  <si>
    <t>PANTALLA LED Flexible FL 2.9 ABSEN</t>
  </si>
  <si>
    <t>PRO-VID-PAN-2574</t>
  </si>
  <si>
    <t>0273299251877</t>
  </si>
  <si>
    <t>P0241</t>
  </si>
  <si>
    <t>PANTALLA LED NT 2.6          500 X 500 ABSEN</t>
  </si>
  <si>
    <t>PRO-VID-PAN-0198</t>
  </si>
  <si>
    <t>0273299251761</t>
  </si>
  <si>
    <t>P0242</t>
  </si>
  <si>
    <t>PANTALLA LED NT 2.6 Esquina         500 X 500 ABSEN</t>
  </si>
  <si>
    <t>P0243</t>
  </si>
  <si>
    <t>PANTALLA LED NT 2.9        500 x 1000 ABSEN</t>
  </si>
  <si>
    <t>P0244</t>
  </si>
  <si>
    <t>PANTALLA LED NT 2.9        500 x 500 ABSEN</t>
  </si>
  <si>
    <t>P0245</t>
  </si>
  <si>
    <t>PANTALLA LED NT 2.9 Esquina       500 x 500 ABSEN</t>
  </si>
  <si>
    <t>P0246</t>
  </si>
  <si>
    <t>PANTALLA LED PL 2.9        500 x 500 ABSEN</t>
  </si>
  <si>
    <t>PRO-VID-PAN-0160</t>
  </si>
  <si>
    <t>0273299251778</t>
  </si>
  <si>
    <t>P0247</t>
  </si>
  <si>
    <t>PANTALLA LED PL 3.9 500x1000 ABSEN</t>
  </si>
  <si>
    <t>P0248</t>
  </si>
  <si>
    <t>PANTALLA LED PL 3.9 ABSEN</t>
  </si>
  <si>
    <t>PRO-VID-PAN-5854</t>
  </si>
  <si>
    <t>0273299251860</t>
  </si>
  <si>
    <t>P0249</t>
  </si>
  <si>
    <t>PEDESTAL DE MONITOR JBL</t>
  </si>
  <si>
    <t>PRO-AUD-MIC-4475</t>
  </si>
  <si>
    <t>0273110251819</t>
  </si>
  <si>
    <t>AccesoriosAudio_Pedestal_JBL.jpg</t>
  </si>
  <si>
    <t>P0250</t>
  </si>
  <si>
    <t>PEDESTAL DE MONITOR PROEL</t>
  </si>
  <si>
    <t>PRO-AUD-MIC-7062</t>
  </si>
  <si>
    <t>0273110251826</t>
  </si>
  <si>
    <t>AccesoriosAudio_PedestalProel.jpg</t>
  </si>
  <si>
    <t>P0251</t>
  </si>
  <si>
    <t>PEDESTAL DE MONITOR X</t>
  </si>
  <si>
    <t>PRO-AUD-MIC-3255</t>
  </si>
  <si>
    <t>0273110251833</t>
  </si>
  <si>
    <t>AccesoriosAudio_PedestalX.jpg</t>
  </si>
  <si>
    <t>P0252</t>
  </si>
  <si>
    <t>Panel de control PTZ</t>
  </si>
  <si>
    <t>PRO-TRA-SWI-5348</t>
  </si>
  <si>
    <t>0273599251843</t>
  </si>
  <si>
    <t>All / Produccion / Transmisiones / Switchers</t>
  </si>
  <si>
    <t>P0253</t>
  </si>
  <si>
    <t>Panta</t>
  </si>
  <si>
    <t>P0254</t>
  </si>
  <si>
    <t>Pantalla De Proyección</t>
  </si>
  <si>
    <t>PRO-VID-PAN-5881</t>
  </si>
  <si>
    <t>0273299251853</t>
  </si>
  <si>
    <t>All / Produccion / Video / Pantallas de Proyeccion</t>
  </si>
  <si>
    <t>P0255</t>
  </si>
  <si>
    <t>Pantalla Inflable 7x3</t>
  </si>
  <si>
    <t>P0256</t>
  </si>
  <si>
    <t>Pantalla Led 2.6 ABSEN REPUESTO</t>
  </si>
  <si>
    <t>P0257</t>
  </si>
  <si>
    <t>Pc piso Interactivo</t>
  </si>
  <si>
    <t>PRO-TRA-CÓM-4271</t>
  </si>
  <si>
    <t>0273599251881</t>
  </si>
  <si>
    <t>P0258</t>
  </si>
  <si>
    <t>Pedestal Bombo</t>
  </si>
  <si>
    <t>PRO-AUD-MIC-7479</t>
  </si>
  <si>
    <t>0273110251895</t>
  </si>
  <si>
    <t>AccesoriosAudio_PedestalBombo.jpg</t>
  </si>
  <si>
    <t>P0259</t>
  </si>
  <si>
    <t>Pedestal Micrófono Proel</t>
  </si>
  <si>
    <t>PRO-AUD-MIC-3797</t>
  </si>
  <si>
    <t>0273110251901</t>
  </si>
  <si>
    <t>AccesoriosAudio_PedestalMicrofonoJoel.jpg</t>
  </si>
  <si>
    <t>P0260</t>
  </si>
  <si>
    <t>Pedestal Micrófono X</t>
  </si>
  <si>
    <t>PRO-AUD-MIC-0416</t>
  </si>
  <si>
    <t>0273110251918</t>
  </si>
  <si>
    <t>AccesoriosAudio_PedestalMicrofonoX.jpg</t>
  </si>
  <si>
    <t>P0261</t>
  </si>
  <si>
    <t>Photo booth 360</t>
  </si>
  <si>
    <t>PRO-EFE-PHO-2336</t>
  </si>
  <si>
    <t>0273799251926</t>
  </si>
  <si>
    <t>All / Produccion / Efectos Especiales / Photo Booth 360</t>
  </si>
  <si>
    <t>EfectosEspeciales_PhotoBoot360.jpg</t>
  </si>
  <si>
    <t>P0262</t>
  </si>
  <si>
    <t>Piso Led Infinito 3D</t>
  </si>
  <si>
    <t>PRO-ILU-LED-7492</t>
  </si>
  <si>
    <t>0273399251937</t>
  </si>
  <si>
    <t>P0263</t>
  </si>
  <si>
    <t>Piso Led Infinito 3D EDGE</t>
  </si>
  <si>
    <t>PRO-ILU-LED-4165</t>
  </si>
  <si>
    <t>0273399251944</t>
  </si>
  <si>
    <t>P0264</t>
  </si>
  <si>
    <t>Piso Led Infinito 3D EDGE AC</t>
  </si>
  <si>
    <t>PRO-ILU-LED-0243</t>
  </si>
  <si>
    <t>0273399251951</t>
  </si>
  <si>
    <t>P0265</t>
  </si>
  <si>
    <t>Piso Led Infinito 3D esquinas</t>
  </si>
  <si>
    <t>PRO-ILU-LED-0205</t>
  </si>
  <si>
    <t>0273399251968</t>
  </si>
  <si>
    <t>P0266</t>
  </si>
  <si>
    <t>Piso Led Interactivo 2.9  500x1000mm</t>
  </si>
  <si>
    <t>PRO-ILU-LED-5436</t>
  </si>
  <si>
    <t>0273399251975</t>
  </si>
  <si>
    <t>P0267</t>
  </si>
  <si>
    <t>Pistola CO2</t>
  </si>
  <si>
    <t>PRO-EFE-PIS-2469</t>
  </si>
  <si>
    <t>0273799251988</t>
  </si>
  <si>
    <t>All / Produccion / Efectos Especiales / Pistola CO2</t>
  </si>
  <si>
    <t>EfectosEspeciales_PistolaCO2.png</t>
  </si>
  <si>
    <t>P0268</t>
  </si>
  <si>
    <t>Pixeles bar (1 metro)</t>
  </si>
  <si>
    <t>PRO-ILU-LED-0985</t>
  </si>
  <si>
    <t>0273399251999</t>
  </si>
  <si>
    <t>Led_PixelTube.png</t>
  </si>
  <si>
    <t>P0269</t>
  </si>
  <si>
    <t>Poste Chico</t>
  </si>
  <si>
    <t>PRO-AUD-ACC-2415</t>
  </si>
  <si>
    <t>0273111252013</t>
  </si>
  <si>
    <t>P0270</t>
  </si>
  <si>
    <t>Poste Grande</t>
  </si>
  <si>
    <t>PRO-AUD-ACC-7080</t>
  </si>
  <si>
    <t>0273111252020</t>
  </si>
  <si>
    <t>P0271</t>
  </si>
  <si>
    <t>Poste Separador</t>
  </si>
  <si>
    <t>ALQ-MOB-DEC-6208</t>
  </si>
  <si>
    <t>0274299252031</t>
  </si>
  <si>
    <t>P0272</t>
  </si>
  <si>
    <t>Proyector</t>
  </si>
  <si>
    <t>PRO-VID-PRO-0963</t>
  </si>
  <si>
    <t>0273299252058</t>
  </si>
  <si>
    <t>All / Produccion / Video / Proyectores</t>
  </si>
  <si>
    <t>P0273</t>
  </si>
  <si>
    <t>RGB Link PTZ Camera Controller</t>
  </si>
  <si>
    <t>PRO-TRA-SWI-3685</t>
  </si>
  <si>
    <t>0273599252062</t>
  </si>
  <si>
    <t>Transmisiones_RGB-LinkPTZ-Camera Controller.png</t>
  </si>
  <si>
    <t>P0274</t>
  </si>
  <si>
    <t>Receptor EW D Sennheiser</t>
  </si>
  <si>
    <t>PRO-AUD-REC-3736</t>
  </si>
  <si>
    <t>0273116252087</t>
  </si>
  <si>
    <t>All / Produccion / Audio / Receivers</t>
  </si>
  <si>
    <t>P0275</t>
  </si>
  <si>
    <t>Receptor EW DX Sennheiser</t>
  </si>
  <si>
    <t>PRO-AUD-REC-9866</t>
  </si>
  <si>
    <t>0273116252070</t>
  </si>
  <si>
    <t>Receiver_EWDX.png</t>
  </si>
  <si>
    <t>P0276</t>
  </si>
  <si>
    <t>Receptor EW G3</t>
  </si>
  <si>
    <t>PRO-AUD-REC-9786</t>
  </si>
  <si>
    <t>0273116252094</t>
  </si>
  <si>
    <t>Receiver_EWG3.png</t>
  </si>
  <si>
    <t>P0277</t>
  </si>
  <si>
    <t>Receptor EW G4</t>
  </si>
  <si>
    <t>PRO-AUD-REC-9801</t>
  </si>
  <si>
    <t>0273116252100</t>
  </si>
  <si>
    <t>Receiver_EWG4.png</t>
  </si>
  <si>
    <t>P0278</t>
  </si>
  <si>
    <t>Receptor GLXD4 Shure</t>
  </si>
  <si>
    <t>PRO-AUD-REC-1088</t>
  </si>
  <si>
    <t>Gerencia</t>
  </si>
  <si>
    <t>0273116252117</t>
  </si>
  <si>
    <t>Receiver_GLDX4.png</t>
  </si>
  <si>
    <t>P0279</t>
  </si>
  <si>
    <t>Receptor shure SM58 GLDX4</t>
  </si>
  <si>
    <t>PRO-AUD-REC-5941</t>
  </si>
  <si>
    <t>0273116252124</t>
  </si>
  <si>
    <t>Microfono_SM58.jpg</t>
  </si>
  <si>
    <t>P0280</t>
  </si>
  <si>
    <t>Regleta</t>
  </si>
  <si>
    <t>PRO-ELE-EXT-6139</t>
  </si>
  <si>
    <t>0273499252131</t>
  </si>
  <si>
    <t>Electricidad_Regleta.jpg</t>
  </si>
  <si>
    <t>P0281</t>
  </si>
  <si>
    <t>Retro Blinder</t>
  </si>
  <si>
    <t>PRO-ILU-LED-4780</t>
  </si>
  <si>
    <t>0273399252149</t>
  </si>
  <si>
    <t>Led_RetroBlinder.png</t>
  </si>
  <si>
    <t>P0282</t>
  </si>
  <si>
    <t>Rockville / Mapara de Controles</t>
  </si>
  <si>
    <t>ALQ-MOB-DEC-3124</t>
  </si>
  <si>
    <t>0274299252154</t>
  </si>
  <si>
    <t>P0283</t>
  </si>
  <si>
    <t>Rotafolio</t>
  </si>
  <si>
    <t>PRO-OFI-ROT-8607</t>
  </si>
  <si>
    <t>0273899252168</t>
  </si>
  <si>
    <t>All / Produccion / Oficina  / Rotafolio</t>
  </si>
  <si>
    <t>P0284</t>
  </si>
  <si>
    <t>Router Cudy WR1300</t>
  </si>
  <si>
    <t>PRO-TRA-RED-8804</t>
  </si>
  <si>
    <t>0273599252178</t>
  </si>
  <si>
    <t>Transmisones_Router.png</t>
  </si>
  <si>
    <t>P0285</t>
  </si>
  <si>
    <t>SCARLETT 2I2</t>
  </si>
  <si>
    <t>PRO-AUD-ACC-5702</t>
  </si>
  <si>
    <t>0273111252181</t>
  </si>
  <si>
    <t>P0286</t>
  </si>
  <si>
    <t>SE 8</t>
  </si>
  <si>
    <t>PRO-AUD-MIC-3144</t>
  </si>
  <si>
    <t>0273110252199</t>
  </si>
  <si>
    <t>Microfono_SE8.jpg</t>
  </si>
  <si>
    <t>P0287</t>
  </si>
  <si>
    <t>SE BV BEAT</t>
  </si>
  <si>
    <t>PRO-AUD-MIC-8271</t>
  </si>
  <si>
    <t>0273110252205</t>
  </si>
  <si>
    <t>P0288</t>
  </si>
  <si>
    <t>SE V KICK</t>
  </si>
  <si>
    <t>PRO-AUD-MIC-3901</t>
  </si>
  <si>
    <t>0273110252212</t>
  </si>
  <si>
    <t>P0289</t>
  </si>
  <si>
    <t>SE V7 X</t>
  </si>
  <si>
    <t>PRO-AUD-MIC-4991</t>
  </si>
  <si>
    <t>0273110252229</t>
  </si>
  <si>
    <t>Microfono_V7X.jpg</t>
  </si>
  <si>
    <t>P0290</t>
  </si>
  <si>
    <t>SENNHEISER CARGADOR/ ADAPTADOR</t>
  </si>
  <si>
    <t>PRO-AUD-ACC-6377</t>
  </si>
  <si>
    <t>0273111252235</t>
  </si>
  <si>
    <t>AccesoriosAudio_CargadorAdaptador.jpg</t>
  </si>
  <si>
    <t>P0291</t>
  </si>
  <si>
    <t>SNAKE 24-4</t>
  </si>
  <si>
    <t>PRO-AUD-REC-0789</t>
  </si>
  <si>
    <t>0273116252247</t>
  </si>
  <si>
    <t>AccesoriosAudio_Snake24-4.jpg</t>
  </si>
  <si>
    <t>P0292</t>
  </si>
  <si>
    <t>Servidor 27TS SDIX4</t>
  </si>
  <si>
    <t>PRO-TRA-SER-0160</t>
  </si>
  <si>
    <t>0273599252253</t>
  </si>
  <si>
    <t>All / Produccion / Transmisiones / Servidor</t>
  </si>
  <si>
    <t>P0293</t>
  </si>
  <si>
    <t>Servidor 27TS-3070 SDIX4</t>
  </si>
  <si>
    <t>PRO-TRA-SER-7114</t>
  </si>
  <si>
    <t>0273599252260</t>
  </si>
  <si>
    <t>P0294</t>
  </si>
  <si>
    <t>Servidor 27TS-5060 HDMIX4</t>
  </si>
  <si>
    <t>PRO-TRA-SER-3706</t>
  </si>
  <si>
    <t>0273599252277</t>
  </si>
  <si>
    <t>P0295</t>
  </si>
  <si>
    <t>Silla Blanca Ruedas</t>
  </si>
  <si>
    <t>ALQ-MOB-SIL-5703</t>
  </si>
  <si>
    <t>0274299252284</t>
  </si>
  <si>
    <t>All / Alquiler / Mobiliario / Sillas</t>
  </si>
  <si>
    <t>P0296</t>
  </si>
  <si>
    <t>Silla Coctelera blanca</t>
  </si>
  <si>
    <t>ALQ-MOB-SIL-1656</t>
  </si>
  <si>
    <t>0274299252291</t>
  </si>
  <si>
    <t>P0297</t>
  </si>
  <si>
    <t>Silla Coctelera blanca con patas de madera</t>
  </si>
  <si>
    <t>ALQ-MOB-SIL-7137</t>
  </si>
  <si>
    <t>0274299252307</t>
  </si>
  <si>
    <t>P0298</t>
  </si>
  <si>
    <t>Silla Colchon Baja</t>
  </si>
  <si>
    <t>ALQ-MOB-SIL-0047</t>
  </si>
  <si>
    <t>0274299252314</t>
  </si>
  <si>
    <t>P0299</t>
  </si>
  <si>
    <t>Silla Plegable</t>
  </si>
  <si>
    <t>ALQ-MOB-SIL-1004</t>
  </si>
  <si>
    <t>0274299252321</t>
  </si>
  <si>
    <t>Silla_Pegable.jpg</t>
  </si>
  <si>
    <t>P0300</t>
  </si>
  <si>
    <t>Silla Plástica Blanca Alta</t>
  </si>
  <si>
    <t>ALQ-MOB-SIL-4926</t>
  </si>
  <si>
    <t>0274299252338</t>
  </si>
  <si>
    <t>P0301</t>
  </si>
  <si>
    <t>Silla coctelera - negra con colchón</t>
  </si>
  <si>
    <t>ALQ-MOB-MES-5547</t>
  </si>
  <si>
    <t>0274299251430</t>
  </si>
  <si>
    <t>P0302</t>
  </si>
  <si>
    <t>Sistema Hollyland Cosmo C1</t>
  </si>
  <si>
    <t>PRO-TRA-SIS-4724</t>
  </si>
  <si>
    <t>0273599252345</t>
  </si>
  <si>
    <t>All / Produccion / Transmisiones / Sistemas Inalambricos</t>
  </si>
  <si>
    <t>Transmisiones_SistemaHollylandCosmoC1.png</t>
  </si>
  <si>
    <t>P0303</t>
  </si>
  <si>
    <t>Sistema Hollyland MARS 400S PRO</t>
  </si>
  <si>
    <t>PRO-TRA-SIS-3191</t>
  </si>
  <si>
    <t>0273599252352</t>
  </si>
  <si>
    <t>P0304</t>
  </si>
  <si>
    <t>Sistema Micrófono Inl Lavalier Solapa AVX-ME2</t>
  </si>
  <si>
    <t>PRO-TRA-AUD-8835</t>
  </si>
  <si>
    <t>0273199252363</t>
  </si>
  <si>
    <t>All / Produccion / Transmisiones / Audio</t>
  </si>
  <si>
    <t>P0305</t>
  </si>
  <si>
    <t>Sistema Micrófono Mano AVX-835</t>
  </si>
  <si>
    <t>PRO-TRA-AUD-5292</t>
  </si>
  <si>
    <t>0273199252370</t>
  </si>
  <si>
    <t>P0306</t>
  </si>
  <si>
    <t>Slinga XPANCER</t>
  </si>
  <si>
    <t>PRO-EFE-PHO-8970</t>
  </si>
  <si>
    <t>0273799252381</t>
  </si>
  <si>
    <t>AccesoriosAudio_Xpancer.jpg</t>
  </si>
  <si>
    <t>P0307</t>
  </si>
  <si>
    <t>Soporte Monitor On-Stage</t>
  </si>
  <si>
    <t>PRO-AUD-ACC-9956</t>
  </si>
  <si>
    <t>0273111252396</t>
  </si>
  <si>
    <t>P0308</t>
  </si>
  <si>
    <t>Soporte Monitor Proel</t>
  </si>
  <si>
    <t>PRO-AUD-ACC-3709</t>
  </si>
  <si>
    <t>0273111252402</t>
  </si>
  <si>
    <t>P0309</t>
  </si>
  <si>
    <t>Soporte Tv</t>
  </si>
  <si>
    <t>PRO-VID-ACC-8215</t>
  </si>
  <si>
    <t>0273211252418</t>
  </si>
  <si>
    <t>P0310</t>
  </si>
  <si>
    <t>Soporte Tv de piso</t>
  </si>
  <si>
    <t>PRO-VID-ACC-6157</t>
  </si>
  <si>
    <t>0273211252425</t>
  </si>
  <si>
    <t>P0311</t>
  </si>
  <si>
    <t>Splitter Dj Chauvet</t>
  </si>
  <si>
    <t>PRO-AUD-ACC-2180</t>
  </si>
  <si>
    <t>0273111252433</t>
  </si>
  <si>
    <t>AccesoriosLuces_SplitterDjChauvet.jpg</t>
  </si>
  <si>
    <t>P0312</t>
  </si>
  <si>
    <t>Splitter Iluminación</t>
  </si>
  <si>
    <t>PRO-ILU-ACC-9623</t>
  </si>
  <si>
    <t>0273311252448</t>
  </si>
  <si>
    <t>P0313</t>
  </si>
  <si>
    <t>Splitter y Extensor HDMI 2X</t>
  </si>
  <si>
    <t>PRO-VID-ACC-5762</t>
  </si>
  <si>
    <t>0273211252456</t>
  </si>
  <si>
    <t>Transmisiones_SplitterYExtensorHDMI-2X.png</t>
  </si>
  <si>
    <t>P0314</t>
  </si>
  <si>
    <t>Spots Waterproof 350w</t>
  </si>
  <si>
    <t>PRO-ILU-MOV-0951</t>
  </si>
  <si>
    <t>0273399252460</t>
  </si>
  <si>
    <t>P0315</t>
  </si>
  <si>
    <t>Stand By Me Android</t>
  </si>
  <si>
    <t>ALQ-MOB-STA-3692</t>
  </si>
  <si>
    <t>0274299252475</t>
  </si>
  <si>
    <t>All / Alquiler / Mobiliario / StandByMe</t>
  </si>
  <si>
    <t>P0316</t>
  </si>
  <si>
    <t>Stand By Me LG</t>
  </si>
  <si>
    <t>ALQ-MOB-STA-6515</t>
  </si>
  <si>
    <t>0274299252482</t>
  </si>
  <si>
    <t>P0317</t>
  </si>
  <si>
    <t>Subwoofe SUB915</t>
  </si>
  <si>
    <t>PRO-AUD-SUB-4920</t>
  </si>
  <si>
    <t>0273199252493</t>
  </si>
  <si>
    <t>All / Produccion / Audio / Subwoofer</t>
  </si>
  <si>
    <t>P0318</t>
  </si>
  <si>
    <t>Subwoofer SUB218</t>
  </si>
  <si>
    <t>PRO-AUD-SUB-9769</t>
  </si>
  <si>
    <t>0273199252509</t>
  </si>
  <si>
    <t>P0319</t>
  </si>
  <si>
    <t>Subwoofer SUB918</t>
  </si>
  <si>
    <t>PRO-AUD-SUB-9874</t>
  </si>
  <si>
    <t>0273199252516</t>
  </si>
  <si>
    <t>P0320</t>
  </si>
  <si>
    <t>Subwoofer VIO S318</t>
  </si>
  <si>
    <t>PRO-AUD-SUB-8962</t>
  </si>
  <si>
    <t>0273199252523</t>
  </si>
  <si>
    <t>P0321</t>
  </si>
  <si>
    <t>Switcher Blackmagic Atem mini</t>
  </si>
  <si>
    <t>PRO-TRA-SWI-4408</t>
  </si>
  <si>
    <t>0273599252536</t>
  </si>
  <si>
    <t>Transmisiones_SwitcherBlackmagicAtemMini.png</t>
  </si>
  <si>
    <t>P0322</t>
  </si>
  <si>
    <t>Switcher Blackmagic Atem mini EXTREME ISO</t>
  </si>
  <si>
    <t>PRO-TRA-SWI-6478</t>
  </si>
  <si>
    <t>0273599252543</t>
  </si>
  <si>
    <t>P0323</t>
  </si>
  <si>
    <t>Switcher Blackmagic Atem mini HDMIX4</t>
  </si>
  <si>
    <t>PRO-TRA-SWI-4598</t>
  </si>
  <si>
    <t>0273599252550</t>
  </si>
  <si>
    <t>P0324</t>
  </si>
  <si>
    <t>TV 32 Pulgadas</t>
  </si>
  <si>
    <t>ALQ-VID-TEL-2726</t>
  </si>
  <si>
    <t>0274499252565</t>
  </si>
  <si>
    <t>All / Alquiler / Video  / Televisores</t>
  </si>
  <si>
    <t>P0325</t>
  </si>
  <si>
    <t>TV 55 Pulgadas</t>
  </si>
  <si>
    <t>ALQ-VID-TEL-2754</t>
  </si>
  <si>
    <t>0274499252572</t>
  </si>
  <si>
    <t>P0326</t>
  </si>
  <si>
    <t>TV 65 Pulgadas</t>
  </si>
  <si>
    <t>ALQ-VID-TEL-2759</t>
  </si>
  <si>
    <t>0274499252589</t>
  </si>
  <si>
    <t>P0327</t>
  </si>
  <si>
    <t>TV 70 Pulgadas</t>
  </si>
  <si>
    <t>ALQ-VID-TEL-2734</t>
  </si>
  <si>
    <t>0274499252596</t>
  </si>
  <si>
    <t>P0328</t>
  </si>
  <si>
    <t>TV 75 Pulgadas</t>
  </si>
  <si>
    <t>ALQ-VID-TEL-2764</t>
  </si>
  <si>
    <t>0274499252602</t>
  </si>
  <si>
    <t>P0329</t>
  </si>
  <si>
    <t>Taburete Blanco</t>
  </si>
  <si>
    <t>ALQ-MOB-SIL-5909</t>
  </si>
  <si>
    <t>0274299252611</t>
  </si>
  <si>
    <t>P0330</t>
  </si>
  <si>
    <t>Taburete Blanco Alto</t>
  </si>
  <si>
    <t>ALQ-MOB-SIL-1002</t>
  </si>
  <si>
    <t>0274299252628</t>
  </si>
  <si>
    <t>P0331</t>
  </si>
  <si>
    <t>Tarima Cajas de Niveles</t>
  </si>
  <si>
    <t>All / Produccion / Estructuras / Tarima</t>
  </si>
  <si>
    <t>P0332</t>
  </si>
  <si>
    <t>Tarima Cruceta de 4</t>
  </si>
  <si>
    <t>P0333</t>
  </si>
  <si>
    <t>Tarima Escalera</t>
  </si>
  <si>
    <t>P0334</t>
  </si>
  <si>
    <t>Tarima Módulo 1x1m</t>
  </si>
  <si>
    <t>P0335</t>
  </si>
  <si>
    <t>Tarima Módulo de 2x1m</t>
  </si>
  <si>
    <t>P0336</t>
  </si>
  <si>
    <t>Tarima Niveles</t>
  </si>
  <si>
    <t>P0337</t>
  </si>
  <si>
    <t>Tarima Pasamanos</t>
  </si>
  <si>
    <t>P0338</t>
  </si>
  <si>
    <t>Tarima Pata de 1m</t>
  </si>
  <si>
    <t>P0339</t>
  </si>
  <si>
    <t>Tarima Platina+Tornillo</t>
  </si>
  <si>
    <t>P0340</t>
  </si>
  <si>
    <t>Tarima Refuerzo Doble</t>
  </si>
  <si>
    <t>P0341</t>
  </si>
  <si>
    <t>Tarima Sargentos</t>
  </si>
  <si>
    <t>P0342</t>
  </si>
  <si>
    <t>Tarima Tornillos</t>
  </si>
  <si>
    <t>P0343</t>
  </si>
  <si>
    <t>Tarima patas de 40cm</t>
  </si>
  <si>
    <t>P0344</t>
  </si>
  <si>
    <t>Tarjeta Receptora NOVA A8S-N</t>
  </si>
  <si>
    <t>P0345</t>
  </si>
  <si>
    <t>P0346</t>
  </si>
  <si>
    <t>Tarjeta Receptora NOVA A8S-N REPUESTO</t>
  </si>
  <si>
    <t>P0347</t>
  </si>
  <si>
    <t>Teclado USB</t>
  </si>
  <si>
    <t>PRO-TRA-CÓM-7635</t>
  </si>
  <si>
    <t>0273599252635</t>
  </si>
  <si>
    <t>P0348</t>
  </si>
  <si>
    <t>Teclado inalámbrico</t>
  </si>
  <si>
    <t>PRO-TRA-CÓM-5566</t>
  </si>
  <si>
    <t>0273599252642</t>
  </si>
  <si>
    <t>P0349</t>
  </si>
  <si>
    <t>Teleprompter</t>
  </si>
  <si>
    <t>ALQ-VID-TEL-4927</t>
  </si>
  <si>
    <t>0274499252657</t>
  </si>
  <si>
    <t>P0350</t>
  </si>
  <si>
    <t>Touchmix 16 QSC</t>
  </si>
  <si>
    <t>PRO-AUD-CON-8968</t>
  </si>
  <si>
    <t>0273112252661</t>
  </si>
  <si>
    <t>P0351</t>
  </si>
  <si>
    <t>Tripode Cámara PTZ</t>
  </si>
  <si>
    <t>PRO-TRA-ACC-9642</t>
  </si>
  <si>
    <t>0273511252675</t>
  </si>
  <si>
    <t>All / Produccion / Transmisiones / Accesorios</t>
  </si>
  <si>
    <t>P0352</t>
  </si>
  <si>
    <t>Tripode Cámara Video</t>
  </si>
  <si>
    <t>PRO-TRA-ACC-1907</t>
  </si>
  <si>
    <t>0273511252682</t>
  </si>
  <si>
    <t>P0353</t>
  </si>
  <si>
    <t>Tripode Cámara Video con Estuche</t>
  </si>
  <si>
    <t>PRO-TRA-ACC-4253</t>
  </si>
  <si>
    <t>0273511252699</t>
  </si>
  <si>
    <t>P0354</t>
  </si>
  <si>
    <t>Tripode Pequeño para Transmisor</t>
  </si>
  <si>
    <t>PRO-TRA-ACC-0284</t>
  </si>
  <si>
    <t>0273511252705</t>
  </si>
  <si>
    <t>P0355</t>
  </si>
  <si>
    <t>Truss Conexiones 90 grados</t>
  </si>
  <si>
    <t>PRO-EST-ELE-1878</t>
  </si>
  <si>
    <t>0273699253150</t>
  </si>
  <si>
    <t>P0356</t>
  </si>
  <si>
    <t>Truss Curvo 45°</t>
  </si>
  <si>
    <t>PRO-EST-ELE-9882</t>
  </si>
  <si>
    <t>0273699252719</t>
  </si>
  <si>
    <t>P0357</t>
  </si>
  <si>
    <t>Truss Curvo 90°</t>
  </si>
  <si>
    <t>PRO-EST-ELE-9877</t>
  </si>
  <si>
    <t>0273699252726</t>
  </si>
  <si>
    <t>P0358</t>
  </si>
  <si>
    <t>Truss Plancha hierro</t>
  </si>
  <si>
    <t>PRO-EST-ELE-2612</t>
  </si>
  <si>
    <t>0273699252733</t>
  </si>
  <si>
    <t>Truss_Hierro.jpg</t>
  </si>
  <si>
    <t>P0359</t>
  </si>
  <si>
    <t>Truss Plano Medida 1.5M</t>
  </si>
  <si>
    <t>PRO-EST-ELE-8101</t>
  </si>
  <si>
    <t>0273699252740</t>
  </si>
  <si>
    <t>P0360</t>
  </si>
  <si>
    <t>Truss Plano Medida 1M</t>
  </si>
  <si>
    <t>PRO-EST-ELE-6600</t>
  </si>
  <si>
    <t>0273699252757</t>
  </si>
  <si>
    <t>P0361</t>
  </si>
  <si>
    <t>Truss Plano Medida 2M</t>
  </si>
  <si>
    <t>PRO-EST-ELE-6621</t>
  </si>
  <si>
    <t>0273699252764</t>
  </si>
  <si>
    <t>P0362</t>
  </si>
  <si>
    <t>Truss Plano Medida 3M</t>
  </si>
  <si>
    <t>PRO-EST-ELE-6642</t>
  </si>
  <si>
    <t>0273699252771</t>
  </si>
  <si>
    <t>P0363</t>
  </si>
  <si>
    <t>Truss Plano Tipo L</t>
  </si>
  <si>
    <t>PRO-EST-ELE-8392</t>
  </si>
  <si>
    <t>0273699252788</t>
  </si>
  <si>
    <t>P0364</t>
  </si>
  <si>
    <t>Truss Plato aluminio</t>
  </si>
  <si>
    <t>PRO-EST-ELE-3118</t>
  </si>
  <si>
    <t>0273699252795</t>
  </si>
  <si>
    <t>P0365</t>
  </si>
  <si>
    <t>Truss30  3 vias (esquinas)</t>
  </si>
  <si>
    <t>PRO-EST-ELE-3324</t>
  </si>
  <si>
    <t>0273699252801</t>
  </si>
  <si>
    <t>P0366</t>
  </si>
  <si>
    <t>Truss30  Tipo T</t>
  </si>
  <si>
    <t>PRO-EST-ELE-3081</t>
  </si>
  <si>
    <t>0273699252818</t>
  </si>
  <si>
    <t>P0367</t>
  </si>
  <si>
    <t>Truss30 4 vías Tipo Cruz</t>
  </si>
  <si>
    <t>PRO-EST-ELE-9555</t>
  </si>
  <si>
    <t>0273699252825</t>
  </si>
  <si>
    <t>P0368</t>
  </si>
  <si>
    <t>Truss30 Medida 0.5M</t>
  </si>
  <si>
    <t>PRO-EST-ELE-1385</t>
  </si>
  <si>
    <t>0273699252832</t>
  </si>
  <si>
    <t>Truss_0.5m.png</t>
  </si>
  <si>
    <t>P0369</t>
  </si>
  <si>
    <t>Truss30 Medida 1.5</t>
  </si>
  <si>
    <t>PRO-EST-ELE-4696</t>
  </si>
  <si>
    <t>0273699252849</t>
  </si>
  <si>
    <t>P0370</t>
  </si>
  <si>
    <t>Truss30 Medida 1M</t>
  </si>
  <si>
    <t>PRO-EST-ELE-0297</t>
  </si>
  <si>
    <t>0273699252856</t>
  </si>
  <si>
    <t>P0371</t>
  </si>
  <si>
    <t>Truss30 Medida 2.5M</t>
  </si>
  <si>
    <t>PRO-EST-ELE-1419</t>
  </si>
  <si>
    <t>0273699252863</t>
  </si>
  <si>
    <t>P0372</t>
  </si>
  <si>
    <t>Truss30 Medida 2M</t>
  </si>
  <si>
    <t>PRO-EST-ELE-0314</t>
  </si>
  <si>
    <t>0273699252870</t>
  </si>
  <si>
    <t>P0373</t>
  </si>
  <si>
    <t>Truss30 Medida 3M</t>
  </si>
  <si>
    <t>PRO-EST-ELE-0331</t>
  </si>
  <si>
    <t>0273699252887</t>
  </si>
  <si>
    <t>P0374</t>
  </si>
  <si>
    <t>Truss30 Triangulo</t>
  </si>
  <si>
    <t>PRO-EST-ELE-3095</t>
  </si>
  <si>
    <t>0273699252894</t>
  </si>
  <si>
    <t>P0375</t>
  </si>
  <si>
    <t>Tu 20 PRO</t>
  </si>
  <si>
    <t>PRO-VID-ESC-7148</t>
  </si>
  <si>
    <t>0273299252904</t>
  </si>
  <si>
    <t>Transmisiones_Tu20PRO.jpg</t>
  </si>
  <si>
    <t>P0376</t>
  </si>
  <si>
    <t>Tubo 1.5M</t>
  </si>
  <si>
    <t>PRO-EST-ELE-3825</t>
  </si>
  <si>
    <t>0273699252917</t>
  </si>
  <si>
    <t>Truss_Tubo.png</t>
  </si>
  <si>
    <t>P0377</t>
  </si>
  <si>
    <t>Tubo 21 centímetros</t>
  </si>
  <si>
    <t>PRO-EST-ELE-7768</t>
  </si>
  <si>
    <t>0273699252924</t>
  </si>
  <si>
    <t>P0378</t>
  </si>
  <si>
    <t>UPS 3K TrippLite</t>
  </si>
  <si>
    <t>PRO-TRA-SER-4684</t>
  </si>
  <si>
    <t>0273599252932</t>
  </si>
  <si>
    <t>P0379</t>
  </si>
  <si>
    <t>Ultrastudio HD MINI Blackmagic</t>
  </si>
  <si>
    <t>PRO-TRA-CÓM-5147</t>
  </si>
  <si>
    <t>0273599252949</t>
  </si>
  <si>
    <t>P0380</t>
  </si>
  <si>
    <t>Union Truss</t>
  </si>
  <si>
    <t>PRO-EST-SEG-7480</t>
  </si>
  <si>
    <t>0273699252955</t>
  </si>
  <si>
    <t>All / Produccion / Estructuras / Segmentos Truss</t>
  </si>
  <si>
    <t>P0381</t>
  </si>
  <si>
    <t>VIO DOLLY L210</t>
  </si>
  <si>
    <t>PRO-AUD-ALT-8432</t>
  </si>
  <si>
    <t>0273113252967</t>
  </si>
  <si>
    <t>P0382</t>
  </si>
  <si>
    <t>VIO TRANSITION</t>
  </si>
  <si>
    <t>PRO-AUD-REC-2155</t>
  </si>
  <si>
    <t>0273116252049</t>
  </si>
  <si>
    <t>P0383</t>
  </si>
  <si>
    <t>Ventilador Regular</t>
  </si>
  <si>
    <t>PRO-UTI-VEN-0238</t>
  </si>
  <si>
    <t>0273899252977</t>
  </si>
  <si>
    <t>All / Produccion / Utilitarios / Ventiladores</t>
  </si>
  <si>
    <t>P0384</t>
  </si>
  <si>
    <t>Vx 1000</t>
  </si>
  <si>
    <t>PRO-VID-ESC-7786</t>
  </si>
  <si>
    <t>0273299252980</t>
  </si>
  <si>
    <t>Escaladores_Vx1000.png</t>
  </si>
  <si>
    <t>P0385</t>
  </si>
  <si>
    <t>Vx 400S</t>
  </si>
  <si>
    <t>PRO-VID-ESC-8337</t>
  </si>
  <si>
    <t>0273299252997</t>
  </si>
  <si>
    <t>P0386</t>
  </si>
  <si>
    <t>Vx 600</t>
  </si>
  <si>
    <t>PRO-VID-ESC-4010</t>
  </si>
  <si>
    <t>0273299253000</t>
  </si>
  <si>
    <t>Escaladores_Vx600.png</t>
  </si>
  <si>
    <t>P0387</t>
  </si>
  <si>
    <t>Vx-1000</t>
  </si>
  <si>
    <t>PRO-VID-ESC-7838</t>
  </si>
  <si>
    <t>0273299253017</t>
  </si>
  <si>
    <t>P0388</t>
  </si>
  <si>
    <t>Vx-400</t>
  </si>
  <si>
    <t>PRO-VID-ESC-4052</t>
  </si>
  <si>
    <t>0273299253024</t>
  </si>
  <si>
    <t>Escaladores_Vx400.png</t>
  </si>
  <si>
    <t>P0389</t>
  </si>
  <si>
    <t>Vx-400 Pro</t>
  </si>
  <si>
    <t>P0390</t>
  </si>
  <si>
    <t>Vx-4S</t>
  </si>
  <si>
    <t>PRO-VID-ESC-0701</t>
  </si>
  <si>
    <t>0273299253031</t>
  </si>
  <si>
    <t>Escaladores_Vx4S.png</t>
  </si>
  <si>
    <t>P0391</t>
  </si>
  <si>
    <t>Vx-600</t>
  </si>
  <si>
    <t>PRO-VID-ESC-4062</t>
  </si>
  <si>
    <t>0273299253048</t>
  </si>
  <si>
    <t>P0392</t>
  </si>
  <si>
    <t>Washlight 101 Martin</t>
  </si>
  <si>
    <t>PRO-ILU-LED-7264</t>
  </si>
  <si>
    <t>0273399253054</t>
  </si>
  <si>
    <t>P0393</t>
  </si>
  <si>
    <t>XLR ILUMINACION 3PIN</t>
  </si>
  <si>
    <t>PRO-ILU-CAB-9741</t>
  </si>
  <si>
    <t>0273399253061</t>
  </si>
  <si>
    <t>All / Produccion / Iluminacion / Cables DMX</t>
  </si>
  <si>
    <t>AccesoriosLuces_XLR-Iluminacion3Pin.jpg</t>
  </si>
  <si>
    <t>P0394</t>
  </si>
  <si>
    <t>XLR ILUMINACION 5PIN</t>
  </si>
  <si>
    <t>PRO-ILU-CAB-9777</t>
  </si>
  <si>
    <t>0273399253078</t>
  </si>
  <si>
    <t>AccesoriosLuces_XLR-Iluminacion5Pin.jpg</t>
  </si>
  <si>
    <t>P0395</t>
  </si>
  <si>
    <t>XLR LASER 3 PIN</t>
  </si>
  <si>
    <t>PRO-ILU-CAB-0016</t>
  </si>
  <si>
    <t>0273399253085</t>
  </si>
  <si>
    <t>AccesoriosLuces_XLR-Laser-3Pin.jpg</t>
  </si>
  <si>
    <t>P0396</t>
  </si>
  <si>
    <t>antenas de señal DMX</t>
  </si>
  <si>
    <t>PRO-ILU-ACC-6632</t>
  </si>
  <si>
    <t>0273311253094</t>
  </si>
  <si>
    <t>AccesoriosLuces_AntenasDeSeñalDMX.jpg</t>
  </si>
  <si>
    <t>P0397</t>
  </si>
  <si>
    <t>ar-net series  EN6 IP</t>
  </si>
  <si>
    <t>PRO-ILU-ACC-3429</t>
  </si>
  <si>
    <t>0273311253100</t>
  </si>
  <si>
    <t>AccesoriosLuces_AR-NET-SeriesEN6IP.jpg</t>
  </si>
  <si>
    <t>P0398</t>
  </si>
  <si>
    <t>controlador 3d floor dance</t>
  </si>
  <si>
    <t>PRO-ILU-CON-0638</t>
  </si>
  <si>
    <t>0273399253115</t>
  </si>
  <si>
    <t>AccesoriosLuces_Controlador3FloorDance.jpg</t>
  </si>
  <si>
    <t>P0399</t>
  </si>
  <si>
    <t>galon agua destilada cumulus hp</t>
  </si>
  <si>
    <t>CON-LIQ-3523</t>
  </si>
  <si>
    <t>0272199253134</t>
  </si>
  <si>
    <t>Consumible_GalonAguaDestiladaCumulusHP.jpg</t>
  </si>
  <si>
    <t>ID Evento</t>
  </si>
  <si>
    <t>Retorno esperado</t>
  </si>
  <si>
    <t>Cierre real</t>
  </si>
  <si>
    <t>Estado</t>
  </si>
  <si>
    <t>Días</t>
  </si>
  <si>
    <t>Líneas</t>
  </si>
  <si>
    <t>Unidades reservadas</t>
  </si>
  <si>
    <t>Unidades pendientes</t>
  </si>
  <si>
    <t>ID Línea</t>
  </si>
  <si>
    <t>Devuelto</t>
  </si>
  <si>
    <t>Consumido</t>
  </si>
  <si>
    <t>A reparación</t>
  </si>
  <si>
    <t>Estado de línea</t>
  </si>
  <si>
    <t>ID Movimiento</t>
  </si>
  <si>
    <t>Fecha y hora</t>
  </si>
  <si>
    <t>Tipo de movimiento</t>
  </si>
  <si>
    <t>Cantidad</t>
  </si>
  <si>
    <t>Desde</t>
  </si>
  <si>
    <t>Hacia</t>
  </si>
  <si>
    <t>Usuario</t>
  </si>
  <si>
    <t>Selector de producto</t>
  </si>
  <si>
    <t>Categorías</t>
  </si>
  <si>
    <t>Tipos de producto</t>
  </si>
  <si>
    <t>Unidades</t>
  </si>
  <si>
    <t>Ubicaciones</t>
  </si>
  <si>
    <t>Estados de evento</t>
  </si>
  <si>
    <t>Selector de evento</t>
  </si>
  <si>
    <t>Tipos de movimiento</t>
  </si>
  <si>
    <t>Archivos de foto disponibles</t>
  </si>
  <si>
    <t>Producto vinculado</t>
  </si>
  <si>
    <t>Confirmado</t>
  </si>
  <si>
    <t>Ingreso inventario</t>
  </si>
  <si>
    <t>No</t>
  </si>
  <si>
    <t>Entregado</t>
  </si>
  <si>
    <t>Ajuste</t>
  </si>
  <si>
    <t>Metro</t>
  </si>
  <si>
    <t>Reparación</t>
  </si>
  <si>
    <t>Retorno parcial</t>
  </si>
  <si>
    <t>Salida alquiler</t>
  </si>
  <si>
    <t>Kit</t>
  </si>
  <si>
    <t>Baja</t>
  </si>
  <si>
    <t>Cerrado</t>
  </si>
  <si>
    <t>Retorno alquiler</t>
  </si>
  <si>
    <t>Caja</t>
  </si>
  <si>
    <t>Cancelado</t>
  </si>
  <si>
    <t>Consumido en evento</t>
  </si>
  <si>
    <t>Borrador</t>
  </si>
  <si>
    <t>Consumo interno</t>
  </si>
  <si>
    <t>Retorno reparación</t>
  </si>
  <si>
    <t>AccesoriosAudio_DollyL210.jpg</t>
  </si>
  <si>
    <t>Baja desde reparación</t>
  </si>
  <si>
    <t>AccesoriosAudio_DTT-L208.jpg</t>
  </si>
  <si>
    <t>AccesoriosAudio_ExtenderXLR.jpg</t>
  </si>
  <si>
    <t>AccesoriosAudio_FlyBarL208.jpg</t>
  </si>
  <si>
    <t>AccesoriosAudio_FlyBarL210.jpg</t>
  </si>
  <si>
    <t>AccesoriosAudio_Poste.jpg</t>
  </si>
  <si>
    <t>AccesoriosAudio_PreiAudioExtractor.jpg</t>
  </si>
  <si>
    <t>AccesoriosAudio_Scarlet212.jpg</t>
  </si>
  <si>
    <t>AccesoriosAudio_Transition.jpg</t>
  </si>
  <si>
    <t>AccesoriosLuces_ControladorPixelStageBar.jpg</t>
  </si>
  <si>
    <t>AccesoriosLuces_XLR-Laser5Pin.jpg</t>
  </si>
  <si>
    <t>Audio_Action12A.png</t>
  </si>
  <si>
    <t>Audio_Altea12A.png</t>
  </si>
  <si>
    <t>Audio_DB-AC-26N.jpg</t>
  </si>
  <si>
    <t>Audio_ES802.png</t>
  </si>
  <si>
    <t>Audio_Ig1.png</t>
  </si>
  <si>
    <t>Audio_Ig4.png</t>
  </si>
  <si>
    <t>Audio_RD-Bet2-DB.jpg</t>
  </si>
  <si>
    <t>Audio_Vantec20A.png</t>
  </si>
  <si>
    <t>B-eye_Big19x15w.png</t>
  </si>
  <si>
    <t>B-eye_Mini7x40W.png</t>
  </si>
  <si>
    <t>BodyPack_EW100G3.png</t>
  </si>
  <si>
    <t>BodyPack_IEMBody.jpg</t>
  </si>
  <si>
    <t>Conosla_TouchMix16.png</t>
  </si>
  <si>
    <t>Consola_DMX-RM.png</t>
  </si>
  <si>
    <t>Consola_DMX512.jpg</t>
  </si>
  <si>
    <t>Consola_MG10XU.png</t>
  </si>
  <si>
    <t>Consola_MQ10FX.png</t>
  </si>
  <si>
    <t>Consola_MQ16USB.png</t>
  </si>
  <si>
    <t>Consola_NX-DMX.png</t>
  </si>
  <si>
    <t>Consola_X1622USB.png</t>
  </si>
  <si>
    <t>Cubo_Regular.png</t>
  </si>
  <si>
    <t>Curva 45°.png</t>
  </si>
  <si>
    <t>Curva 90°.png</t>
  </si>
  <si>
    <t>EfectosEspeciales_BolaDisco.jpg</t>
  </si>
  <si>
    <t>EfectosEspeciales_ChauvetCumulus.png</t>
  </si>
  <si>
    <t>EfectosEspeciales_EntureVenue.png</t>
  </si>
  <si>
    <t>EfectosEspeciales_FogFuryJett.png</t>
  </si>
  <si>
    <t>EfectosEspeciales_MáquinaSparkle.png</t>
  </si>
  <si>
    <t>EfectosEspeciales_PisoInfinito6x6.jpg</t>
  </si>
  <si>
    <t>Electricidad_Extensiones.jpg</t>
  </si>
  <si>
    <t>Esfera.png</t>
  </si>
  <si>
    <t>Lata.png</t>
  </si>
  <si>
    <t>Led_36x3W.png</t>
  </si>
  <si>
    <t>Led_Asteras.jpg</t>
  </si>
  <si>
    <t>Led_ChauvetFreedomTri6.png</t>
  </si>
  <si>
    <t>Led_D1-20W.png</t>
  </si>
  <si>
    <t>Led_M10-10W.png</t>
  </si>
  <si>
    <t>Led_M17-20W-RGB.png</t>
  </si>
  <si>
    <t>Led_Piso.png</t>
  </si>
  <si>
    <t>Mesa_Plegable.png</t>
  </si>
  <si>
    <t>Mesa_regular.png</t>
  </si>
  <si>
    <t>Microfono_PodiumBase.jpg</t>
  </si>
  <si>
    <t>Microfono_VBeat.jpg</t>
  </si>
  <si>
    <t>Microfono_VKick.jpg</t>
  </si>
  <si>
    <t>Monitor.png</t>
  </si>
  <si>
    <t>Monitor_FMX12.png</t>
  </si>
  <si>
    <t>Monitor_KL10-12.png</t>
  </si>
  <si>
    <t>Motor_Bateria.jpg</t>
  </si>
  <si>
    <t>Motor_Cable.jpg</t>
  </si>
  <si>
    <t>Motor_Freehoist 1T.png</t>
  </si>
  <si>
    <t>MovingHead_RGBMovingHead10W.png</t>
  </si>
  <si>
    <t>MovingHead_Wash.png</t>
  </si>
  <si>
    <t>MovingHead_Washlight101.png</t>
  </si>
  <si>
    <t>MovingHead_Waterproof350w.png</t>
  </si>
  <si>
    <t>Pantalla_AW3.9.png</t>
  </si>
  <si>
    <t>Pantalla_CPS1.8Poster LED.png</t>
  </si>
  <si>
    <t>Pantalla_Fronter.png</t>
  </si>
  <si>
    <t>Pantalla_NT2.6.png</t>
  </si>
  <si>
    <t>Pantalla_NT2.9.png</t>
  </si>
  <si>
    <t>Receiver_EW.png</t>
  </si>
  <si>
    <t>Silla_CocteleraBlanca.png</t>
  </si>
  <si>
    <t>Subwoofer_SUB218.png</t>
  </si>
  <si>
    <t>Subwoofer_SUB915.png</t>
  </si>
  <si>
    <t>Subwoofer_SUB918.png</t>
  </si>
  <si>
    <t>Subwoofer_VIOS318.png</t>
  </si>
  <si>
    <t>Televisor.png</t>
  </si>
  <si>
    <t>Truss_1-3Plano.jpg</t>
  </si>
  <si>
    <t>Truss_1.5-2m.png</t>
  </si>
  <si>
    <t>Truss_2.5-3m.png</t>
  </si>
  <si>
    <t>Truss_Cubo.png</t>
  </si>
  <si>
    <t>Truss_Esquina 2 vías.png</t>
  </si>
  <si>
    <t>Truss_Esquina3Vias.jpg</t>
  </si>
  <si>
    <t>Truss_Esquina4Vias.jpg</t>
  </si>
  <si>
    <t>Truss_PlatoAluminio.jpg</t>
  </si>
  <si>
    <t>Truss_Triángulo.png</t>
  </si>
  <si>
    <t>Truss_Union.jpg</t>
  </si>
  <si>
    <t>Ventilador_Regular.jpg</t>
  </si>
  <si>
    <t>Estado del sistema</t>
  </si>
  <si>
    <t>Sistema listo. Abra siempre 27TS_Inventario.xlsm y habilite el contenido cuando Excel lo solicite.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</si>
</sst>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mmmm\ yyyy"/>
    <numFmt numFmtId="166" formatCode="dd/mm/yyyy\ hh:mm"/>
  </numFmts>
  <fonts count="9">
    <font>
      <sz val="11"/>
      <name val="Carlito"/>
    </font>
    <font>
      <b/>
      <sz val="16"/>
      <color rgb="FF17324D"/>
      <name val="Arial"/>
    </font>
    <font>
      <i/>
      <sz val="10"/>
      <color rgb="FF52606D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17324D"/>
      <name val="Arial"/>
    </font>
    <font>
      <sz val="10"/>
      <color rgb="FF1F2933"/>
      <name val="Arial"/>
    </font>
    <font>
      <b/>
      <sz val="11"/>
      <color rgb="FF17324D"/>
      <name val="Arial"/>
    </font>
    <font>
      <sz val="10"/>
      <color rgb="FF52606D"/>
      <name val="Arial"/>
    </font>
  </fonts>
  <fills count="10">
    <fill>
      <patternFill patternType="none"/>
    </fill>
    <fill>
      <patternFill patternType="gray125"/>
    </fill>
    <fill>
      <patternFill patternType="solid">
        <fgColor rgb="FF2676B8"/>
      </patternFill>
    </fill>
    <fill>
      <patternFill patternType="solid">
        <fgColor rgb="FF17324D"/>
      </patternFill>
    </fill>
    <fill>
      <patternFill patternType="solid">
        <fgColor rgb="FFFFF2CC"/>
      </patternFill>
    </fill>
    <fill>
      <patternFill patternType="solid">
        <fgColor rgb="FFDCEAF7"/>
      </patternFill>
    </fill>
    <fill>
      <patternFill patternType="solid">
        <fgColor rgb="FFF4F7FA"/>
      </patternFill>
    </fill>
    <fill>
      <patternFill patternType="solid">
        <fgColor rgb="FFE7EBEF"/>
      </patternFill>
    </fill>
    <fill>
      <patternFill patternType="solid">
        <fgColor rgb="FFE7EBEF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2676B8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D6DEE7"/>
      </right>
      <top/>
      <bottom style="thin">
        <color rgb="FFD6DEE7"/>
      </bottom>
      <diagonal/>
    </border>
    <border>
      <left style="thin">
        <color rgb="FFD6DEE7"/>
      </left>
      <right/>
      <top/>
      <bottom style="thin">
        <color rgb="FFD6DEE7"/>
      </bottom>
      <diagonal/>
    </border>
    <border>
      <left/>
      <right style="thin">
        <color rgb="FFD6DEE7"/>
      </right>
      <top style="thin">
        <color rgb="FFD6DEE7"/>
      </top>
      <bottom style="thin">
        <color rgb="FFD6DEE7"/>
      </bottom>
      <diagonal/>
    </border>
    <border>
      <left style="thin">
        <color rgb="FFD6DEE7"/>
      </left>
      <right/>
      <top style="thin">
        <color rgb="FFD6DEE7"/>
      </top>
      <bottom style="thin">
        <color rgb="FFD6DEE7"/>
      </bottom>
      <diagonal/>
    </border>
    <border>
      <left/>
      <right style="thin">
        <color rgb="FFD6DEE7"/>
      </right>
      <top style="thin">
        <color rgb="FFD6DEE7"/>
      </top>
      <bottom/>
      <diagonal/>
    </border>
    <border>
      <left style="thin">
        <color rgb="FFD6DEE7"/>
      </left>
      <right/>
      <top style="thin">
        <color rgb="FFD6DEE7"/>
      </top>
      <bottom/>
      <diagonal/>
    </border>
    <border>
      <left style="thin">
        <color rgb="FFD6DEE7"/>
      </left>
      <right style="thin">
        <color rgb="FFD6DEE7"/>
      </right>
      <top style="thin">
        <color rgb="FFD6DEE7"/>
      </top>
      <bottom style="thin">
        <color rgb="FFD6DEE7"/>
      </bottom>
      <diagonal/>
    </border>
    <border>
      <left/>
      <right/>
      <top style="thin">
        <color rgb="FFD6DEE7"/>
      </top>
      <bottom/>
      <diagonal/>
    </border>
    <border>
      <left style="thin">
        <color rgb="FFD6DEE7"/>
      </left>
      <right/>
      <top/>
      <bottom/>
      <diagonal/>
    </border>
    <border>
      <left/>
      <right style="thin">
        <color rgb="FFD6DEE7"/>
      </right>
      <top/>
      <bottom/>
      <diagonal/>
    </border>
    <border>
      <left/>
      <right/>
      <top/>
      <bottom style="thin">
        <color rgb="FFD6DEE7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D6DEE7"/>
      </left>
      <right style="thin">
        <color rgb="FFD6DEE7"/>
      </right>
      <top/>
      <bottom style="thin">
        <color rgb="FFD6DEE7"/>
      </bottom>
      <diagonal/>
    </border>
    <border>
      <left style="thin">
        <color rgb="FFD6DEE7"/>
      </left>
      <right style="thin">
        <color rgb="FFD6DEE7"/>
      </right>
      <top style="thin">
        <color rgb="FFD6DEE7"/>
      </top>
      <bottom/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medium">
        <color rgb="FFF4B183"/>
      </left>
      <right style="medium">
        <color rgb="FFF4B183"/>
      </right>
      <top style="medium">
        <color rgb="FFF4B183"/>
      </top>
      <bottom style="medium">
        <color rgb="FFF4B183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0" fillId="0" borderId="1" xfId="0" applyBorder="1"/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0" borderId="11" xfId="0" applyNumberFormat="1" applyBorder="1"/>
    <xf numFmtId="3" fontId="0" fillId="0" borderId="13" xfId="0" applyNumberFormat="1" applyBorder="1"/>
    <xf numFmtId="3" fontId="0" fillId="0" borderId="15" xfId="0" applyNumberFormat="1" applyBorder="1"/>
    <xf numFmtId="0" fontId="5" fillId="0" borderId="0" xfId="0" applyFont="1"/>
    <xf numFmtId="0" fontId="0" fillId="4" borderId="0" xfId="0" applyFill="1"/>
    <xf numFmtId="0" fontId="6" fillId="4" borderId="16" xfId="0" applyFont="1" applyFill="1" applyBorder="1" applyAlignment="1">
      <alignment vertical="center"/>
    </xf>
    <xf numFmtId="0" fontId="7" fillId="5" borderId="0" xfId="0" applyFont="1" applyFill="1"/>
    <xf numFmtId="164" fontId="6" fillId="4" borderId="16" xfId="0" applyNumberFormat="1" applyFont="1" applyFill="1" applyBorder="1" applyAlignment="1">
      <alignment vertical="center"/>
    </xf>
    <xf numFmtId="0" fontId="0" fillId="6" borderId="0" xfId="0" applyFill="1"/>
    <xf numFmtId="0" fontId="0" fillId="6" borderId="15" xfId="0" applyFill="1" applyBorder="1"/>
    <xf numFmtId="0" fontId="0" fillId="6" borderId="17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11" xfId="0" applyFill="1" applyBorder="1"/>
    <xf numFmtId="0" fontId="0" fillId="6" borderId="20" xfId="0" applyFill="1" applyBorder="1"/>
    <xf numFmtId="0" fontId="0" fillId="6" borderId="10" xfId="0" applyFill="1" applyBorder="1"/>
    <xf numFmtId="0" fontId="2" fillId="7" borderId="0" xfId="0" applyFont="1" applyFill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0" fillId="4" borderId="22" xfId="0" applyFill="1" applyBorder="1"/>
    <xf numFmtId="0" fontId="0" fillId="6" borderId="22" xfId="0" applyFill="1" applyBorder="1"/>
    <xf numFmtId="0" fontId="0" fillId="4" borderId="11" xfId="0" applyFill="1" applyBorder="1"/>
    <xf numFmtId="0" fontId="0" fillId="4" borderId="16" xfId="0" applyFill="1" applyBorder="1"/>
    <xf numFmtId="0" fontId="0" fillId="6" borderId="16" xfId="0" applyFill="1" applyBorder="1"/>
    <xf numFmtId="0" fontId="0" fillId="4" borderId="13" xfId="0" applyFill="1" applyBorder="1"/>
    <xf numFmtId="0" fontId="0" fillId="4" borderId="23" xfId="0" applyFill="1" applyBorder="1"/>
    <xf numFmtId="0" fontId="0" fillId="6" borderId="23" xfId="0" applyFill="1" applyBorder="1"/>
    <xf numFmtId="0" fontId="0" fillId="4" borderId="15" xfId="0" applyFill="1" applyBorder="1"/>
    <xf numFmtId="0" fontId="0" fillId="6" borderId="12" xfId="0" applyFill="1" applyBorder="1"/>
    <xf numFmtId="165" fontId="6" fillId="4" borderId="16" xfId="0" applyNumberFormat="1" applyFont="1" applyFill="1" applyBorder="1" applyAlignment="1">
      <alignment vertical="center"/>
    </xf>
    <xf numFmtId="0" fontId="3" fillId="2" borderId="24" xfId="0" applyFont="1" applyFill="1" applyBorder="1" applyAlignment="1">
      <alignment horizontal="center" vertical="center"/>
    </xf>
    <xf numFmtId="49" fontId="0" fillId="4" borderId="0" xfId="0" applyNumberFormat="1" applyFill="1"/>
    <xf numFmtId="4" fontId="0" fillId="4" borderId="0" xfId="0" applyNumberFormat="1" applyFill="1"/>
    <xf numFmtId="3" fontId="0" fillId="4" borderId="0" xfId="0" applyNumberFormat="1" applyFill="1"/>
    <xf numFmtId="3" fontId="0" fillId="6" borderId="0" xfId="0" applyNumberFormat="1" applyFill="1"/>
    <xf numFmtId="164" fontId="0" fillId="0" borderId="0" xfId="0" applyNumberFormat="1"/>
    <xf numFmtId="166" fontId="0" fillId="0" borderId="0" xfId="0" applyNumberFormat="1"/>
    <xf numFmtId="49" fontId="6" fillId="4" borderId="16" xfId="0" applyNumberFormat="1" applyFont="1" applyFill="1" applyBorder="1" applyAlignment="1">
      <alignment vertical="center"/>
    </xf>
    <xf numFmtId="0" fontId="2" fillId="0" borderId="0" xfId="0" applyFont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8" fillId="6" borderId="0" xfId="0" applyFont="1" applyFill="1" applyAlignment="1">
      <alignment wrapText="1"/>
    </xf>
    <xf numFmtId="0" fontId="0" fillId="8" borderId="16" xfId="0" applyFill="1" applyBorder="1" applyAlignment="1">
      <alignment vertical="top" wrapText="1"/>
    </xf>
    <xf numFmtId="0" fontId="0" fillId="9" borderId="16" xfId="0" applyFill="1" applyBorder="1" applyAlignment="1">
      <alignment vertical="top" wrapText="1"/>
    </xf>
    <xf numFmtId="0" fontId="0" fillId="9" borderId="25" xfId="0" applyFill="1" applyBorder="1" applyAlignment="1">
      <alignment vertical="top" wrapText="1"/>
    </xf>
  </cellXfs>
  <cellStyles count="1">
    <cellStyle name="Normal" xfId="0" builtinId="0"/>
  </cellStyles>
  <dxfs count="3">
    <dxf>
      <font>
        <b/>
        <color rgb="FFA61B1B"/>
      </font>
      <fill>
        <patternFill>
          <bgColor rgb="FFFCE4D6"/>
        </patternFill>
      </fill>
    </dxf>
    <dxf>
      <font>
        <b/>
        <color rgb="FFA61B1B"/>
      </font>
      <fill>
        <patternFill>
          <bgColor rgb="FFFCE4D6"/>
        </patternFill>
      </fill>
    </dxf>
    <dxf>
      <font>
        <b/>
        <color rgb="FF2F641C"/>
      </font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4</xdr:col>
      <xdr:colOff>0</xdr:colOff>
      <xdr:row>9</xdr:row>
      <xdr:rowOff>0</xdr:rowOff>
    </xdr:to>
    <xdr:sp macro="[0]!GoProductForm" textlink="">
      <xdr:nvSpPr>
        <xdr:cNvPr id="2" name="btn_ProductForm">
          <a:extLst>
            <a:ext uri="{FF2B5EF4-FFF2-40B4-BE49-F238E27FC236}">
              <a16:creationId xmlns:a16="http://schemas.microsoft.com/office/drawing/2014/main" id="{37E9DB7D-1D65-EA97-1C6F-CAA10232A5E0}"/>
            </a:ext>
          </a:extLst>
        </xdr:cNvPr>
        <xdr:cNvSpPr/>
      </xdr:nvSpPr>
      <xdr:spPr>
        <a:xfrm>
          <a:off x="1066800" y="1320800"/>
          <a:ext cx="3962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PRODUCTOS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[0]!GoRentalForm" textlink="">
      <xdr:nvSpPr>
        <xdr:cNvPr id="3" name="btn_RentalForm">
          <a:extLst>
            <a:ext uri="{FF2B5EF4-FFF2-40B4-BE49-F238E27FC236}">
              <a16:creationId xmlns:a16="http://schemas.microsoft.com/office/drawing/2014/main" id="{C6F05810-7997-4D84-503A-97AACBFB6CCF}"/>
            </a:ext>
          </a:extLst>
        </xdr:cNvPr>
        <xdr:cNvSpPr/>
      </xdr:nvSpPr>
      <xdr:spPr>
        <a:xfrm>
          <a:off x="6096000" y="1320800"/>
          <a:ext cx="3200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NUEVO ALQUILER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GoReturnForm" textlink="">
      <xdr:nvSpPr>
        <xdr:cNvPr id="4" name="btn_ReturnForm">
          <a:extLst>
            <a:ext uri="{FF2B5EF4-FFF2-40B4-BE49-F238E27FC236}">
              <a16:creationId xmlns:a16="http://schemas.microsoft.com/office/drawing/2014/main" id="{160B7263-C7CB-D070-8A47-14FAA9642F51}"/>
            </a:ext>
          </a:extLst>
        </xdr:cNvPr>
        <xdr:cNvSpPr/>
      </xdr:nvSpPr>
      <xdr:spPr>
        <a:xfrm>
          <a:off x="10363200" y="1320800"/>
          <a:ext cx="3200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RETORNOS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[0]!GoCalendar" textlink="">
      <xdr:nvSpPr>
        <xdr:cNvPr id="5" name="btn_Calendar">
          <a:extLst>
            <a:ext uri="{FF2B5EF4-FFF2-40B4-BE49-F238E27FC236}">
              <a16:creationId xmlns:a16="http://schemas.microsoft.com/office/drawing/2014/main" id="{A6873DE5-4381-5DA9-FA2D-76A8FB41D9D5}"/>
            </a:ext>
          </a:extLst>
        </xdr:cNvPr>
        <xdr:cNvSpPr/>
      </xdr:nvSpPr>
      <xdr:spPr>
        <a:xfrm>
          <a:off x="1066800" y="2590800"/>
          <a:ext cx="3962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CALENDARIO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8</xdr:col>
      <xdr:colOff>0</xdr:colOff>
      <xdr:row>13</xdr:row>
      <xdr:rowOff>0</xdr:rowOff>
    </xdr:to>
    <xdr:sp macro="[0]!GoProducts" textlink="">
      <xdr:nvSpPr>
        <xdr:cNvPr id="6" name="btn_ProductTable">
          <a:extLst>
            <a:ext uri="{FF2B5EF4-FFF2-40B4-BE49-F238E27FC236}">
              <a16:creationId xmlns:a16="http://schemas.microsoft.com/office/drawing/2014/main" id="{BF17B5C9-887A-A2E6-20DD-0469B7B284EB}"/>
            </a:ext>
          </a:extLst>
        </xdr:cNvPr>
        <xdr:cNvSpPr/>
      </xdr:nvSpPr>
      <xdr:spPr>
        <a:xfrm>
          <a:off x="6096000" y="2590800"/>
          <a:ext cx="3200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TABLA DE PRODUCTOS</a:t>
          </a: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12</xdr:col>
      <xdr:colOff>0</xdr:colOff>
      <xdr:row>13</xdr:row>
      <xdr:rowOff>0</xdr:rowOff>
    </xdr:to>
    <xdr:sp macro="[0]!GoEvents" textlink="">
      <xdr:nvSpPr>
        <xdr:cNvPr id="7" name="btn_Events">
          <a:extLst>
            <a:ext uri="{FF2B5EF4-FFF2-40B4-BE49-F238E27FC236}">
              <a16:creationId xmlns:a16="http://schemas.microsoft.com/office/drawing/2014/main" id="{5BF3DD79-49C4-2754-5E94-6260F279F375}"/>
            </a:ext>
          </a:extLst>
        </xdr:cNvPr>
        <xdr:cNvSpPr/>
      </xdr:nvSpPr>
      <xdr:spPr>
        <a:xfrm>
          <a:off x="10363200" y="2590800"/>
          <a:ext cx="3200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EVENTOS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4</xdr:col>
      <xdr:colOff>0</xdr:colOff>
      <xdr:row>17</xdr:row>
      <xdr:rowOff>0</xdr:rowOff>
    </xdr:to>
    <xdr:sp macro="[0]!MarkEventOut" textlink="">
      <xdr:nvSpPr>
        <xdr:cNvPr id="8" name="btn_MarkOut">
          <a:extLst>
            <a:ext uri="{FF2B5EF4-FFF2-40B4-BE49-F238E27FC236}">
              <a16:creationId xmlns:a16="http://schemas.microsoft.com/office/drawing/2014/main" id="{726F2A83-768A-FB94-7F2B-B9FEA1CB1FEF}"/>
            </a:ext>
          </a:extLst>
        </xdr:cNvPr>
        <xdr:cNvSpPr/>
      </xdr:nvSpPr>
      <xdr:spPr>
        <a:xfrm>
          <a:off x="1066800" y="3860800"/>
          <a:ext cx="3962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MARCAR SALIDA</a:t>
          </a:r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8</xdr:col>
      <xdr:colOff>0</xdr:colOff>
      <xdr:row>17</xdr:row>
      <xdr:rowOff>0</xdr:rowOff>
    </xdr:to>
    <xdr:sp macro="[0]!CancelEvent" textlink="">
      <xdr:nvSpPr>
        <xdr:cNvPr id="9" name="btn_Cancel">
          <a:extLst>
            <a:ext uri="{FF2B5EF4-FFF2-40B4-BE49-F238E27FC236}">
              <a16:creationId xmlns:a16="http://schemas.microsoft.com/office/drawing/2014/main" id="{9E81D601-BD5E-9B93-4CC9-A6E22C96A783}"/>
            </a:ext>
          </a:extLst>
        </xdr:cNvPr>
        <xdr:cNvSpPr/>
      </xdr:nvSpPr>
      <xdr:spPr>
        <a:xfrm>
          <a:off x="6096000" y="3860800"/>
          <a:ext cx="3200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CANCELAR EVENTO</a:t>
          </a: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RefreshAllInventory" textlink="">
      <xdr:nvSpPr>
        <xdr:cNvPr id="10" name="btn_Refresh">
          <a:extLst>
            <a:ext uri="{FF2B5EF4-FFF2-40B4-BE49-F238E27FC236}">
              <a16:creationId xmlns:a16="http://schemas.microsoft.com/office/drawing/2014/main" id="{8E0328B8-3940-1549-47CA-CECE958C4F29}"/>
            </a:ext>
          </a:extLst>
        </xdr:cNvPr>
        <xdr:cNvSpPr/>
      </xdr:nvSpPr>
      <xdr:spPr>
        <a:xfrm>
          <a:off x="10363200" y="3860800"/>
          <a:ext cx="3200400" cy="6350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ACTUALIZAR TODO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[0]!LoadProduct" textlink="">
      <xdr:nvSpPr>
        <xdr:cNvPr id="2" name="btn_LoadProduct">
          <a:extLst>
            <a:ext uri="{FF2B5EF4-FFF2-40B4-BE49-F238E27FC236}">
              <a16:creationId xmlns:a16="http://schemas.microsoft.com/office/drawing/2014/main" id="{56D39C79-EA7A-AE13-7C11-CD8A72DDEDE1}"/>
            </a:ext>
          </a:extLst>
        </xdr:cNvPr>
        <xdr:cNvSpPr/>
      </xdr:nvSpPr>
      <xdr:spPr>
        <a:xfrm>
          <a:off x="5943600" y="609600"/>
          <a:ext cx="2438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CARGAR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5</xdr:col>
      <xdr:colOff>0</xdr:colOff>
      <xdr:row>8</xdr:row>
      <xdr:rowOff>0</xdr:rowOff>
    </xdr:to>
    <xdr:sp macro="[0]!ClearProductForm" textlink="">
      <xdr:nvSpPr>
        <xdr:cNvPr id="3" name="btn_NewProduct">
          <a:extLst>
            <a:ext uri="{FF2B5EF4-FFF2-40B4-BE49-F238E27FC236}">
              <a16:creationId xmlns:a16="http://schemas.microsoft.com/office/drawing/2014/main" id="{7E951724-D30B-AB0C-9585-3AAB939E4820}"/>
            </a:ext>
          </a:extLst>
        </xdr:cNvPr>
        <xdr:cNvSpPr/>
      </xdr:nvSpPr>
      <xdr:spPr>
        <a:xfrm>
          <a:off x="5943600" y="1143000"/>
          <a:ext cx="2438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NUEVO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SaveProduct" textlink="">
      <xdr:nvSpPr>
        <xdr:cNvPr id="4" name="btn_SaveProduct">
          <a:extLst>
            <a:ext uri="{FF2B5EF4-FFF2-40B4-BE49-F238E27FC236}">
              <a16:creationId xmlns:a16="http://schemas.microsoft.com/office/drawing/2014/main" id="{401D9910-A56F-4DCA-E470-10EA7A7EC572}"/>
            </a:ext>
          </a:extLst>
        </xdr:cNvPr>
        <xdr:cNvSpPr/>
      </xdr:nvSpPr>
      <xdr:spPr>
        <a:xfrm>
          <a:off x="5943600" y="1676400"/>
          <a:ext cx="2438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GUARDAR PRODUCTO</a:t>
          </a:r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5</xdr:col>
      <xdr:colOff>0</xdr:colOff>
      <xdr:row>14</xdr:row>
      <xdr:rowOff>0</xdr:rowOff>
    </xdr:to>
    <xdr:sp macro="[0]!SelectProductPhoto" textlink="">
      <xdr:nvSpPr>
        <xdr:cNvPr id="5" name="btn_Photo">
          <a:extLst>
            <a:ext uri="{FF2B5EF4-FFF2-40B4-BE49-F238E27FC236}">
              <a16:creationId xmlns:a16="http://schemas.microsoft.com/office/drawing/2014/main" id="{833C4712-EB8F-217C-EE65-EA470C2418CB}"/>
            </a:ext>
          </a:extLst>
        </xdr:cNvPr>
        <xdr:cNvSpPr/>
      </xdr:nvSpPr>
      <xdr:spPr>
        <a:xfrm>
          <a:off x="5943600" y="2209800"/>
          <a:ext cx="2438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SELECCIONAR FOTO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</xdr:col>
      <xdr:colOff>0</xdr:colOff>
      <xdr:row>17</xdr:row>
      <xdr:rowOff>0</xdr:rowOff>
    </xdr:to>
    <xdr:sp macro="[0]!AddInventoryFromForm" textlink="">
      <xdr:nvSpPr>
        <xdr:cNvPr id="6" name="btn_AddStock">
          <a:extLst>
            <a:ext uri="{FF2B5EF4-FFF2-40B4-BE49-F238E27FC236}">
              <a16:creationId xmlns:a16="http://schemas.microsoft.com/office/drawing/2014/main" id="{9CF7E0AE-FA62-AF31-B599-AE20C8A6DF5B}"/>
            </a:ext>
          </a:extLst>
        </xdr:cNvPr>
        <xdr:cNvSpPr/>
      </xdr:nvSpPr>
      <xdr:spPr>
        <a:xfrm>
          <a:off x="5943600" y="2743200"/>
          <a:ext cx="2438400" cy="10033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AGREGAR INVENTARIO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5</xdr:col>
      <xdr:colOff>0</xdr:colOff>
      <xdr:row>20</xdr:row>
      <xdr:rowOff>0</xdr:rowOff>
    </xdr:to>
    <xdr:sp macro="[0]!GoMenu" textlink="">
      <xdr:nvSpPr>
        <xdr:cNvPr id="7" name="btn_ProductMenu">
          <a:extLst>
            <a:ext uri="{FF2B5EF4-FFF2-40B4-BE49-F238E27FC236}">
              <a16:creationId xmlns:a16="http://schemas.microsoft.com/office/drawing/2014/main" id="{D9C67870-3356-8269-5EFD-86138889D796}"/>
            </a:ext>
          </a:extLst>
        </xdr:cNvPr>
        <xdr:cNvSpPr/>
      </xdr:nvSpPr>
      <xdr:spPr>
        <a:xfrm>
          <a:off x="5943600" y="4572000"/>
          <a:ext cx="2438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VOLVER AL MENÚ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[0]!LoadRental" textlink="">
      <xdr:nvSpPr>
        <xdr:cNvPr id="2" name="btn_LoadRental">
          <a:extLst>
            <a:ext uri="{FF2B5EF4-FFF2-40B4-BE49-F238E27FC236}">
              <a16:creationId xmlns:a16="http://schemas.microsoft.com/office/drawing/2014/main" id="{BFFC7B29-D5E7-84F6-4E24-AF15862A7D4C}"/>
            </a:ext>
          </a:extLst>
        </xdr:cNvPr>
        <xdr:cNvSpPr/>
      </xdr:nvSpPr>
      <xdr:spPr>
        <a:xfrm>
          <a:off x="4343400" y="609600"/>
          <a:ext cx="3581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CARGAR EVENTO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8</xdr:col>
      <xdr:colOff>0</xdr:colOff>
      <xdr:row>5</xdr:row>
      <xdr:rowOff>0</xdr:rowOff>
    </xdr:to>
    <xdr:sp macro="[0]!ClearRentalForm" textlink="">
      <xdr:nvSpPr>
        <xdr:cNvPr id="3" name="btn_NewRental">
          <a:extLst>
            <a:ext uri="{FF2B5EF4-FFF2-40B4-BE49-F238E27FC236}">
              <a16:creationId xmlns:a16="http://schemas.microsoft.com/office/drawing/2014/main" id="{262AE980-4EE8-0379-E119-0409BC4DF651}"/>
            </a:ext>
          </a:extLst>
        </xdr:cNvPr>
        <xdr:cNvSpPr/>
      </xdr:nvSpPr>
      <xdr:spPr>
        <a:xfrm>
          <a:off x="9067800" y="609600"/>
          <a:ext cx="26670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NUEVO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5</xdr:col>
      <xdr:colOff>0</xdr:colOff>
      <xdr:row>8</xdr:row>
      <xdr:rowOff>0</xdr:rowOff>
    </xdr:to>
    <xdr:sp macro="[0]!ValidateRental" textlink="">
      <xdr:nvSpPr>
        <xdr:cNvPr id="4" name="btn_ValidateRental">
          <a:extLst>
            <a:ext uri="{FF2B5EF4-FFF2-40B4-BE49-F238E27FC236}">
              <a16:creationId xmlns:a16="http://schemas.microsoft.com/office/drawing/2014/main" id="{C0ADA1A0-B5A7-1E19-1F07-9BB9AF907C80}"/>
            </a:ext>
          </a:extLst>
        </xdr:cNvPr>
        <xdr:cNvSpPr/>
      </xdr:nvSpPr>
      <xdr:spPr>
        <a:xfrm>
          <a:off x="4343400" y="1143000"/>
          <a:ext cx="3581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VALIDAR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[0]!SaveRental" textlink="">
      <xdr:nvSpPr>
        <xdr:cNvPr id="5" name="btn_SaveRental">
          <a:extLst>
            <a:ext uri="{FF2B5EF4-FFF2-40B4-BE49-F238E27FC236}">
              <a16:creationId xmlns:a16="http://schemas.microsoft.com/office/drawing/2014/main" id="{FC82FDBE-013F-5E9C-B9C9-030E80D4E987}"/>
            </a:ext>
          </a:extLst>
        </xdr:cNvPr>
        <xdr:cNvSpPr/>
      </xdr:nvSpPr>
      <xdr:spPr>
        <a:xfrm>
          <a:off x="9067800" y="1143000"/>
          <a:ext cx="26670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GUARDAR ALQUILER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ClearRentalForm" textlink="">
      <xdr:nvSpPr>
        <xdr:cNvPr id="6" name="btn_ClearRental">
          <a:extLst>
            <a:ext uri="{FF2B5EF4-FFF2-40B4-BE49-F238E27FC236}">
              <a16:creationId xmlns:a16="http://schemas.microsoft.com/office/drawing/2014/main" id="{E892CB55-E2CE-7061-6B16-ACCA0AD6CDCF}"/>
            </a:ext>
          </a:extLst>
        </xdr:cNvPr>
        <xdr:cNvSpPr/>
      </xdr:nvSpPr>
      <xdr:spPr>
        <a:xfrm>
          <a:off x="4343400" y="1676400"/>
          <a:ext cx="3581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[0]!GoMenu" textlink="">
      <xdr:nvSpPr>
        <xdr:cNvPr id="7" name="btn_RentalMenu">
          <a:extLst>
            <a:ext uri="{FF2B5EF4-FFF2-40B4-BE49-F238E27FC236}">
              <a16:creationId xmlns:a16="http://schemas.microsoft.com/office/drawing/2014/main" id="{ED9A6885-DCB6-6A36-BD2C-54F6F45A1E9A}"/>
            </a:ext>
          </a:extLst>
        </xdr:cNvPr>
        <xdr:cNvSpPr/>
      </xdr:nvSpPr>
      <xdr:spPr>
        <a:xfrm>
          <a:off x="9067800" y="1676400"/>
          <a:ext cx="26670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VOLVER AL MENÚ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[0]!LoadReturnEvent" textlink="">
      <xdr:nvSpPr>
        <xdr:cNvPr id="2" name="btn_LoadReturn">
          <a:extLst>
            <a:ext uri="{FF2B5EF4-FFF2-40B4-BE49-F238E27FC236}">
              <a16:creationId xmlns:a16="http://schemas.microsoft.com/office/drawing/2014/main" id="{5B9EC48E-9CCD-5367-D8CC-604CE5B77E46}"/>
            </a:ext>
          </a:extLst>
        </xdr:cNvPr>
        <xdr:cNvSpPr/>
      </xdr:nvSpPr>
      <xdr:spPr>
        <a:xfrm>
          <a:off x="3810000" y="609600"/>
          <a:ext cx="20574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CARGAR EVENTO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8</xdr:col>
      <xdr:colOff>0</xdr:colOff>
      <xdr:row>5</xdr:row>
      <xdr:rowOff>0</xdr:rowOff>
    </xdr:to>
    <xdr:sp macro="[0]!SaveReturn" textlink="">
      <xdr:nvSpPr>
        <xdr:cNvPr id="3" name="btn_SaveReturn">
          <a:extLst>
            <a:ext uri="{FF2B5EF4-FFF2-40B4-BE49-F238E27FC236}">
              <a16:creationId xmlns:a16="http://schemas.microsoft.com/office/drawing/2014/main" id="{B2D457AA-AA69-B365-A96C-FDC58F41EA74}"/>
            </a:ext>
          </a:extLst>
        </xdr:cNvPr>
        <xdr:cNvSpPr/>
      </xdr:nvSpPr>
      <xdr:spPr>
        <a:xfrm>
          <a:off x="6934200" y="609600"/>
          <a:ext cx="21336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GUARDAR RETORNO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[0]!GoMenu" textlink="">
      <xdr:nvSpPr>
        <xdr:cNvPr id="4" name="btn_ReturnMenu">
          <a:extLst>
            <a:ext uri="{FF2B5EF4-FFF2-40B4-BE49-F238E27FC236}">
              <a16:creationId xmlns:a16="http://schemas.microsoft.com/office/drawing/2014/main" id="{B717F72B-BCEE-72F4-F547-3F8659EE4DAA}"/>
            </a:ext>
          </a:extLst>
        </xdr:cNvPr>
        <xdr:cNvSpPr/>
      </xdr:nvSpPr>
      <xdr:spPr>
        <a:xfrm>
          <a:off x="10134600" y="609600"/>
          <a:ext cx="2133600" cy="3556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VOLVER AL MENÚ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PreviousCalendarMonth" textlink="">
      <xdr:nvSpPr>
        <xdr:cNvPr id="2" name="btn_PreviousMonth">
          <a:extLst>
            <a:ext uri="{FF2B5EF4-FFF2-40B4-BE49-F238E27FC236}">
              <a16:creationId xmlns:a16="http://schemas.microsoft.com/office/drawing/2014/main" id="{F19E032A-7451-1FDD-5A59-812A2E8D3708}"/>
            </a:ext>
          </a:extLst>
        </xdr:cNvPr>
        <xdr:cNvSpPr/>
      </xdr:nvSpPr>
      <xdr:spPr>
        <a:xfrm>
          <a:off x="3708400" y="609600"/>
          <a:ext cx="1524000" cy="1778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MES ANTERIOR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RefreshCalendar" textlink="">
      <xdr:nvSpPr>
        <xdr:cNvPr id="3" name="btn_RefreshCalendar">
          <a:extLst>
            <a:ext uri="{FF2B5EF4-FFF2-40B4-BE49-F238E27FC236}">
              <a16:creationId xmlns:a16="http://schemas.microsoft.com/office/drawing/2014/main" id="{79D0346E-3967-FCCB-E816-E5718B9AB582}"/>
            </a:ext>
          </a:extLst>
        </xdr:cNvPr>
        <xdr:cNvSpPr/>
      </xdr:nvSpPr>
      <xdr:spPr>
        <a:xfrm>
          <a:off x="5232400" y="609600"/>
          <a:ext cx="1524000" cy="1778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ACTUALIZAR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NextCalendarMonth" textlink="">
      <xdr:nvSpPr>
        <xdr:cNvPr id="4" name="btn_NextMonth">
          <a:extLst>
            <a:ext uri="{FF2B5EF4-FFF2-40B4-BE49-F238E27FC236}">
              <a16:creationId xmlns:a16="http://schemas.microsoft.com/office/drawing/2014/main" id="{6281E641-0C05-074B-8A74-99F3654FBA83}"/>
            </a:ext>
          </a:extLst>
        </xdr:cNvPr>
        <xdr:cNvSpPr/>
      </xdr:nvSpPr>
      <xdr:spPr>
        <a:xfrm>
          <a:off x="6756400" y="609600"/>
          <a:ext cx="1524000" cy="1778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MES SIGUIENTE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[0]!GoMenu" textlink="">
      <xdr:nvSpPr>
        <xdr:cNvPr id="5" name="btn_CalendarMenu">
          <a:extLst>
            <a:ext uri="{FF2B5EF4-FFF2-40B4-BE49-F238E27FC236}">
              <a16:creationId xmlns:a16="http://schemas.microsoft.com/office/drawing/2014/main" id="{1EACB9B7-9062-2A35-1C73-76A31319231B}"/>
            </a:ext>
          </a:extLst>
        </xdr:cNvPr>
        <xdr:cNvSpPr/>
      </xdr:nvSpPr>
      <xdr:spPr>
        <a:xfrm>
          <a:off x="9804400" y="609600"/>
          <a:ext cx="1524000" cy="177800"/>
        </a:xfrm>
        <a:prstGeom prst="roundRect">
          <a:avLst/>
        </a:prstGeom>
        <a:solidFill>
          <a:srgbClr val="2676B8"/>
        </a:solidFill>
        <a:ln>
          <a:solidFill>
            <a:srgbClr val="17324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 panose="020B0604020202020204" pitchFamily="34" charset="0"/>
            </a:rPr>
            <a:t>MENÚ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roducts" displayName="tblProducts" ref="A1:S400" totalsRowShown="0">
  <tableColumns count="19">
    <tableColumn id="1" xr3:uid="{00000000-0010-0000-0000-000001000000}" name="ID Producto"/>
    <tableColumn id="2" xr3:uid="{00000000-0010-0000-0000-000002000000}" name="Nombre"/>
    <tableColumn id="3" xr3:uid="{00000000-0010-0000-0000-000003000000}" name="Referencia interna"/>
    <tableColumn id="4" xr3:uid="{00000000-0010-0000-0000-000004000000}" name="Responsable"/>
    <tableColumn id="5" xr3:uid="{00000000-0010-0000-0000-000005000000}" name="Código de barras"/>
    <tableColumn id="6" xr3:uid="{00000000-0010-0000-0000-000006000000}" name="Precio de venta"/>
    <tableColumn id="7" xr3:uid="{00000000-0010-0000-0000-000007000000}" name="Categoría de producto"/>
    <tableColumn id="8" xr3:uid="{00000000-0010-0000-0000-000008000000}" name="Cantidad inicial"/>
    <tableColumn id="9" xr3:uid="{00000000-0010-0000-0000-000009000000}" name="Tipo de producto"/>
    <tableColumn id="10" xr3:uid="{00000000-0010-0000-0000-00000A000000}" name="Unidad"/>
    <tableColumn id="11" xr3:uid="{00000000-0010-0000-0000-00000B000000}" name="Activo"/>
    <tableColumn id="12" xr3:uid="{00000000-0010-0000-0000-00000C000000}" name="Archivo de foto"/>
    <tableColumn id="13" xr3:uid="{00000000-0010-0000-0000-00000D000000}" name="Ubicación base"/>
    <tableColumn id="14" xr3:uid="{00000000-0010-0000-0000-00000E000000}" name="Notas"/>
    <tableColumn id="15" xr3:uid="{00000000-0010-0000-0000-00000F000000}" name="Dato de excepción original"/>
    <tableColumn id="16" xr3:uid="{00000000-0010-0000-0000-000010000000}" name="Total actual"/>
    <tableColumn id="17" xr3:uid="{00000000-0010-0000-0000-000011000000}" name="Alquilado actualmente"/>
    <tableColumn id="18" xr3:uid="{00000000-0010-0000-0000-000012000000}" name="En reparación"/>
    <tableColumn id="19" xr3:uid="{00000000-0010-0000-0000-000013000000}" name="Disponible en almacé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Events" displayName="tblEvents" ref="A1:N2" totalsRowShown="0">
  <tableColumns count="14">
    <tableColumn id="1" xr3:uid="{00000000-0010-0000-0100-000001000000}" name="ID Evento"/>
    <tableColumn id="2" xr3:uid="{00000000-0010-0000-0100-000002000000}" name="Nombre del evento"/>
    <tableColumn id="3" xr3:uid="{00000000-0010-0000-0100-000003000000}" name="Ubicación"/>
    <tableColumn id="4" xr3:uid="{00000000-0010-0000-0100-000004000000}" name="Fecha del evento"/>
    <tableColumn id="5" xr3:uid="{00000000-0010-0000-0100-000005000000}" name="Fecha de salida"/>
    <tableColumn id="6" xr3:uid="{00000000-0010-0000-0100-000006000000}" name="Retorno esperado"/>
    <tableColumn id="7" xr3:uid="{00000000-0010-0000-0100-000007000000}" name="Cierre real"/>
    <tableColumn id="8" xr3:uid="{00000000-0010-0000-0100-000008000000}" name="Estado"/>
    <tableColumn id="9" xr3:uid="{00000000-0010-0000-0100-000009000000}" name="Responsable"/>
    <tableColumn id="10" xr3:uid="{00000000-0010-0000-0100-00000A000000}" name="Notas"/>
    <tableColumn id="11" xr3:uid="{00000000-0010-0000-0100-00000B000000}" name="Días"/>
    <tableColumn id="12" xr3:uid="{00000000-0010-0000-0100-00000C000000}" name="Líneas"/>
    <tableColumn id="13" xr3:uid="{00000000-0010-0000-0100-00000D000000}" name="Unidades reservadas"/>
    <tableColumn id="14" xr3:uid="{00000000-0010-0000-0100-00000E000000}" name="Unidades pendien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ntalItems" displayName="tblRentalItems" ref="A1:L2" totalsRowShown="0">
  <tableColumns count="12">
    <tableColumn id="1" xr3:uid="{00000000-0010-0000-0200-000001000000}" name="ID Línea"/>
    <tableColumn id="2" xr3:uid="{00000000-0010-0000-0200-000002000000}" name="ID Evento"/>
    <tableColumn id="3" xr3:uid="{00000000-0010-0000-0200-000003000000}" name="ID Producto"/>
    <tableColumn id="4" xr3:uid="{00000000-0010-0000-0200-000004000000}" name="Producto"/>
    <tableColumn id="5" xr3:uid="{00000000-0010-0000-0200-000005000000}" name="Tipo"/>
    <tableColumn id="6" xr3:uid="{00000000-0010-0000-0200-000006000000}" name="Cantidad solicitada"/>
    <tableColumn id="7" xr3:uid="{00000000-0010-0000-0200-000007000000}" name="Devuelto"/>
    <tableColumn id="8" xr3:uid="{00000000-0010-0000-0200-000008000000}" name="Consumido"/>
    <tableColumn id="9" xr3:uid="{00000000-0010-0000-0200-000009000000}" name="A reparación"/>
    <tableColumn id="10" xr3:uid="{00000000-0010-0000-0200-00000A000000}" name="Pendiente"/>
    <tableColumn id="11" xr3:uid="{00000000-0010-0000-0200-00000B000000}" name="Estado de línea"/>
    <tableColumn id="12" xr3:uid="{00000000-0010-0000-0200-00000C000000}" name="Not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Movements" displayName="tblMovements" ref="A1:J2" totalsRowShown="0">
  <tableColumns count="10">
    <tableColumn id="1" xr3:uid="{00000000-0010-0000-0300-000001000000}" name="ID Movimiento"/>
    <tableColumn id="2" xr3:uid="{00000000-0010-0000-0300-000002000000}" name="Fecha y hora"/>
    <tableColumn id="3" xr3:uid="{00000000-0010-0000-0300-000003000000}" name="Tipo de movimiento"/>
    <tableColumn id="4" xr3:uid="{00000000-0010-0000-0300-000004000000}" name="ID Producto"/>
    <tableColumn id="5" xr3:uid="{00000000-0010-0000-0300-000005000000}" name="ID Evento"/>
    <tableColumn id="6" xr3:uid="{00000000-0010-0000-0300-000006000000}" name="Cantidad"/>
    <tableColumn id="7" xr3:uid="{00000000-0010-0000-0300-000007000000}" name="Desde"/>
    <tableColumn id="8" xr3:uid="{00000000-0010-0000-0300-000008000000}" name="Hacia"/>
    <tableColumn id="9" xr3:uid="{00000000-0010-0000-0300-000009000000}" name="Usuario"/>
    <tableColumn id="10" xr3:uid="{00000000-0010-0000-0300-00000A000000}" name="Not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7324D"/>
  </sheetPr>
  <dimension ref="B2:L29"/>
  <sheetViews>
    <sheetView showGridLines="0" tabSelected="1" workbookViewId="0"/>
  </sheetViews>
  <sheetFormatPr defaultRowHeight="14"/>
  <cols>
    <col min="1" max="1" width="14" customWidth="1"/>
    <col min="2" max="2" width="24" customWidth="1"/>
    <col min="3" max="12" width="14" customWidth="1"/>
  </cols>
  <sheetData>
    <row r="2" spans="2:12" ht="20">
      <c r="B2" s="1" t="s">
        <v>0</v>
      </c>
    </row>
    <row r="3" spans="2:12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5" spans="2:12">
      <c r="B5" s="49" t="s">
        <v>1</v>
      </c>
      <c r="C5" s="49" t="s">
        <v>1</v>
      </c>
      <c r="D5" s="49" t="s">
        <v>1</v>
      </c>
      <c r="E5" s="49" t="s">
        <v>1</v>
      </c>
      <c r="F5" s="49" t="s">
        <v>1</v>
      </c>
      <c r="G5" s="49" t="s">
        <v>1</v>
      </c>
      <c r="H5" s="49" t="s">
        <v>1</v>
      </c>
      <c r="I5" s="49" t="s">
        <v>1</v>
      </c>
      <c r="J5" s="49" t="s">
        <v>1</v>
      </c>
      <c r="K5" s="49" t="s">
        <v>1</v>
      </c>
      <c r="L5" s="49" t="s">
        <v>1</v>
      </c>
    </row>
    <row r="8" spans="2:12" ht="25" customHeight="1">
      <c r="B8" s="50" t="s">
        <v>2</v>
      </c>
      <c r="C8" s="51" t="s">
        <v>2</v>
      </c>
      <c r="D8" s="52" t="s">
        <v>2</v>
      </c>
      <c r="F8" s="50" t="s">
        <v>3</v>
      </c>
      <c r="G8" s="51" t="s">
        <v>3</v>
      </c>
      <c r="H8" s="52" t="s">
        <v>3</v>
      </c>
      <c r="J8" s="50" t="s">
        <v>4</v>
      </c>
      <c r="K8" s="51" t="s">
        <v>4</v>
      </c>
      <c r="L8" s="52" t="s">
        <v>4</v>
      </c>
    </row>
    <row r="9" spans="2:12" ht="25" customHeight="1">
      <c r="B9" s="53" t="s">
        <v>2</v>
      </c>
      <c r="C9" s="54" t="s">
        <v>2</v>
      </c>
      <c r="D9" s="55" t="s">
        <v>2</v>
      </c>
      <c r="F9" s="53" t="s">
        <v>3</v>
      </c>
      <c r="G9" s="54" t="s">
        <v>3</v>
      </c>
      <c r="H9" s="55" t="s">
        <v>3</v>
      </c>
      <c r="J9" s="53" t="s">
        <v>4</v>
      </c>
      <c r="K9" s="54" t="s">
        <v>4</v>
      </c>
      <c r="L9" s="55" t="s">
        <v>4</v>
      </c>
    </row>
    <row r="10" spans="2:12" ht="25" customHeight="1"/>
    <row r="11" spans="2:12" ht="25" customHeight="1"/>
    <row r="12" spans="2:12" ht="25" customHeight="1">
      <c r="B12" s="50" t="s">
        <v>5</v>
      </c>
      <c r="C12" s="51" t="s">
        <v>5</v>
      </c>
      <c r="D12" s="52" t="s">
        <v>5</v>
      </c>
      <c r="F12" s="50" t="s">
        <v>6</v>
      </c>
      <c r="G12" s="51" t="s">
        <v>6</v>
      </c>
      <c r="H12" s="52" t="s">
        <v>6</v>
      </c>
      <c r="J12" s="50" t="s">
        <v>7</v>
      </c>
      <c r="K12" s="51" t="s">
        <v>7</v>
      </c>
      <c r="L12" s="52" t="s">
        <v>7</v>
      </c>
    </row>
    <row r="13" spans="2:12" ht="25" customHeight="1">
      <c r="B13" s="53" t="s">
        <v>5</v>
      </c>
      <c r="C13" s="54" t="s">
        <v>5</v>
      </c>
      <c r="D13" s="55" t="s">
        <v>5</v>
      </c>
      <c r="F13" s="53" t="s">
        <v>6</v>
      </c>
      <c r="G13" s="54" t="s">
        <v>6</v>
      </c>
      <c r="H13" s="55" t="s">
        <v>6</v>
      </c>
      <c r="J13" s="53" t="s">
        <v>7</v>
      </c>
      <c r="K13" s="54" t="s">
        <v>7</v>
      </c>
      <c r="L13" s="55" t="s">
        <v>7</v>
      </c>
    </row>
    <row r="14" spans="2:12" ht="25" customHeight="1"/>
    <row r="15" spans="2:12" ht="25" customHeight="1"/>
    <row r="16" spans="2:12" ht="25" customHeight="1">
      <c r="B16" s="50" t="s">
        <v>8</v>
      </c>
      <c r="C16" s="51" t="s">
        <v>8</v>
      </c>
      <c r="D16" s="52" t="s">
        <v>8</v>
      </c>
      <c r="F16" s="50" t="s">
        <v>9</v>
      </c>
      <c r="G16" s="51" t="s">
        <v>9</v>
      </c>
      <c r="H16" s="52" t="s">
        <v>9</v>
      </c>
      <c r="J16" s="50" t="s">
        <v>10</v>
      </c>
      <c r="K16" s="51" t="s">
        <v>10</v>
      </c>
      <c r="L16" s="52" t="s">
        <v>10</v>
      </c>
    </row>
    <row r="17" spans="2:12" ht="25" customHeight="1">
      <c r="B17" s="53" t="s">
        <v>8</v>
      </c>
      <c r="C17" s="54" t="s">
        <v>8</v>
      </c>
      <c r="D17" s="55" t="s">
        <v>8</v>
      </c>
      <c r="F17" s="53" t="s">
        <v>9</v>
      </c>
      <c r="G17" s="54" t="s">
        <v>9</v>
      </c>
      <c r="H17" s="55" t="s">
        <v>9</v>
      </c>
      <c r="J17" s="53" t="s">
        <v>10</v>
      </c>
      <c r="K17" s="54" t="s">
        <v>10</v>
      </c>
      <c r="L17" s="55" t="s">
        <v>10</v>
      </c>
    </row>
    <row r="21" spans="2:12" ht="32" customHeight="1">
      <c r="B21" s="3" t="s">
        <v>11</v>
      </c>
      <c r="C21" s="4" t="s">
        <v>12</v>
      </c>
    </row>
    <row r="22" spans="2:12">
      <c r="B22" s="5" t="s">
        <v>13</v>
      </c>
      <c r="C22" s="11">
        <f>COUNTIF(Productos!$K$2:$K$1000,"Sí")</f>
        <v>399</v>
      </c>
    </row>
    <row r="23" spans="2:12">
      <c r="B23" s="7" t="s">
        <v>14</v>
      </c>
      <c r="C23" s="12">
        <f>SUM(Productos!$P$2:$P$1000)</f>
        <v>18043</v>
      </c>
    </row>
    <row r="24" spans="2:12">
      <c r="B24" s="7" t="s">
        <v>15</v>
      </c>
      <c r="C24" s="12">
        <f>SUM(Productos!$S$2:$S$1000)</f>
        <v>18043</v>
      </c>
    </row>
    <row r="25" spans="2:12">
      <c r="B25" s="9" t="s">
        <v>16</v>
      </c>
      <c r="C25" s="13">
        <f>COUNTIF(Eventos!$A$2:$A$1000,"E*")-COUNTIFS(Eventos!$A$2:$A$1000,"E*",Eventos!$H$2:$H$1000,"Cerrado")-COUNTIFS(Eventos!$A$2:$A$1000,"E*",Eventos!$H$2:$H$1000,"Cancelado")</f>
        <v>0</v>
      </c>
    </row>
    <row r="28" spans="2:12">
      <c r="B28" s="14" t="s">
        <v>1925</v>
      </c>
      <c r="C28" s="56" t="s">
        <v>1926</v>
      </c>
      <c r="D28" s="56"/>
      <c r="E28" s="56"/>
      <c r="F28" s="56"/>
      <c r="G28" s="56"/>
      <c r="H28" s="56"/>
      <c r="I28" s="56"/>
      <c r="J28" s="56"/>
      <c r="K28" s="56"/>
      <c r="L28" s="56"/>
    </row>
    <row r="29" spans="2:12">
      <c r="C29" s="56"/>
      <c r="D29" s="56"/>
      <c r="E29" s="56"/>
      <c r="F29" s="56"/>
      <c r="G29" s="56"/>
      <c r="H29" s="56"/>
      <c r="I29" s="56"/>
      <c r="J29" s="56"/>
      <c r="K29" s="56"/>
      <c r="L29" s="56"/>
    </row>
  </sheetData>
  <mergeCells count="11">
    <mergeCell ref="B16:D17"/>
    <mergeCell ref="F16:H17"/>
    <mergeCell ref="J16:L17"/>
    <mergeCell ref="C28:L29"/>
    <mergeCell ref="B5:L5"/>
    <mergeCell ref="B8:D9"/>
    <mergeCell ref="F8:H9"/>
    <mergeCell ref="J8:L9"/>
    <mergeCell ref="B12:D13"/>
    <mergeCell ref="F12:H13"/>
    <mergeCell ref="J12:L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676B8"/>
  </sheetPr>
  <dimension ref="A2:J25"/>
  <sheetViews>
    <sheetView showGridLines="0" workbookViewId="0"/>
  </sheetViews>
  <sheetFormatPr defaultRowHeight="14"/>
  <cols>
    <col min="1" max="1" width="27" customWidth="1"/>
    <col min="2" max="2" width="48" customWidth="1"/>
    <col min="3" max="3" width="3" customWidth="1"/>
    <col min="4" max="5" width="16" customWidth="1"/>
    <col min="6" max="6" width="3" customWidth="1"/>
    <col min="7" max="10" width="14" customWidth="1"/>
  </cols>
  <sheetData>
    <row r="2" spans="1:10" ht="20">
      <c r="B2" s="1" t="s">
        <v>17</v>
      </c>
    </row>
    <row r="3" spans="1:10">
      <c r="B3" s="2"/>
      <c r="C3" s="2"/>
      <c r="D3" s="2"/>
      <c r="E3" s="2"/>
      <c r="F3" s="2"/>
      <c r="G3" s="2"/>
      <c r="H3" s="2"/>
      <c r="I3" s="2"/>
      <c r="J3" s="2"/>
    </row>
    <row r="4" spans="1:10">
      <c r="A4" s="14" t="s">
        <v>18</v>
      </c>
      <c r="B4" s="16"/>
      <c r="D4" s="50" t="s">
        <v>19</v>
      </c>
      <c r="E4" s="52" t="s">
        <v>19</v>
      </c>
      <c r="G4" s="20"/>
      <c r="H4" s="21"/>
      <c r="I4" s="21"/>
      <c r="J4" s="22"/>
    </row>
    <row r="5" spans="1:10">
      <c r="D5" s="53" t="s">
        <v>19</v>
      </c>
      <c r="E5" s="55" t="s">
        <v>19</v>
      </c>
      <c r="G5" s="23"/>
      <c r="H5" s="19"/>
      <c r="I5" s="19"/>
      <c r="J5" s="24"/>
    </row>
    <row r="6" spans="1:10">
      <c r="A6" s="14" t="s">
        <v>20</v>
      </c>
      <c r="B6" s="16" t="s">
        <v>21</v>
      </c>
      <c r="G6" s="23"/>
      <c r="H6" s="19"/>
      <c r="I6" s="19"/>
      <c r="J6" s="24"/>
    </row>
    <row r="7" spans="1:10">
      <c r="A7" s="14" t="s">
        <v>22</v>
      </c>
      <c r="B7" s="16"/>
      <c r="D7" s="50" t="s">
        <v>23</v>
      </c>
      <c r="E7" s="52" t="s">
        <v>23</v>
      </c>
      <c r="G7" s="23"/>
      <c r="H7" s="19"/>
      <c r="I7" s="19"/>
      <c r="J7" s="24"/>
    </row>
    <row r="8" spans="1:10">
      <c r="A8" s="14" t="s">
        <v>24</v>
      </c>
      <c r="B8" s="16"/>
      <c r="D8" s="53" t="s">
        <v>23</v>
      </c>
      <c r="E8" s="55" t="s">
        <v>23</v>
      </c>
      <c r="G8" s="23"/>
      <c r="H8" s="19"/>
      <c r="I8" s="19"/>
      <c r="J8" s="24"/>
    </row>
    <row r="9" spans="1:10">
      <c r="A9" s="14" t="s">
        <v>25</v>
      </c>
      <c r="B9" s="16"/>
      <c r="G9" s="23"/>
      <c r="H9" s="19"/>
      <c r="I9" s="19"/>
      <c r="J9" s="24"/>
    </row>
    <row r="10" spans="1:10">
      <c r="A10" s="14" t="s">
        <v>26</v>
      </c>
      <c r="B10" s="48"/>
      <c r="D10" s="50" t="s">
        <v>27</v>
      </c>
      <c r="E10" s="52" t="s">
        <v>27</v>
      </c>
      <c r="G10" s="23"/>
      <c r="H10" s="19"/>
      <c r="I10" s="19"/>
      <c r="J10" s="24"/>
    </row>
    <row r="11" spans="1:10">
      <c r="A11" s="14" t="s">
        <v>28</v>
      </c>
      <c r="B11" s="16"/>
      <c r="D11" s="53" t="s">
        <v>27</v>
      </c>
      <c r="E11" s="55" t="s">
        <v>27</v>
      </c>
      <c r="G11" s="23"/>
      <c r="H11" s="19"/>
      <c r="I11" s="19"/>
      <c r="J11" s="24"/>
    </row>
    <row r="12" spans="1:10">
      <c r="A12" s="14" t="s">
        <v>29</v>
      </c>
      <c r="B12" s="16"/>
      <c r="G12" s="23"/>
      <c r="H12" s="19"/>
      <c r="I12" s="19"/>
      <c r="J12" s="24"/>
    </row>
    <row r="13" spans="1:10">
      <c r="A13" s="14" t="s">
        <v>30</v>
      </c>
      <c r="B13" s="16"/>
      <c r="D13" s="50" t="s">
        <v>31</v>
      </c>
      <c r="E13" s="52" t="s">
        <v>31</v>
      </c>
      <c r="G13" s="23"/>
      <c r="H13" s="19"/>
      <c r="I13" s="19"/>
      <c r="J13" s="24"/>
    </row>
    <row r="14" spans="1:10">
      <c r="A14" s="14" t="s">
        <v>32</v>
      </c>
      <c r="B14" s="16"/>
      <c r="D14" s="53" t="s">
        <v>31</v>
      </c>
      <c r="E14" s="55" t="s">
        <v>31</v>
      </c>
      <c r="G14" s="23"/>
      <c r="H14" s="19"/>
      <c r="I14" s="19"/>
      <c r="J14" s="24"/>
    </row>
    <row r="15" spans="1:10">
      <c r="A15" s="14" t="s">
        <v>33</v>
      </c>
      <c r="B15" s="16"/>
      <c r="G15" s="23"/>
      <c r="H15" s="19"/>
      <c r="I15" s="19"/>
      <c r="J15" s="24"/>
    </row>
    <row r="16" spans="1:10">
      <c r="A16" s="14" t="s">
        <v>34</v>
      </c>
      <c r="B16" s="16" t="s">
        <v>35</v>
      </c>
      <c r="D16" s="50" t="s">
        <v>36</v>
      </c>
      <c r="E16" s="52" t="s">
        <v>36</v>
      </c>
      <c r="G16" s="25"/>
      <c r="H16" s="26"/>
      <c r="I16" s="26"/>
      <c r="J16" s="27"/>
    </row>
    <row r="17" spans="1:10" ht="65">
      <c r="A17" s="14" t="s">
        <v>37</v>
      </c>
      <c r="B17" s="16" t="s">
        <v>38</v>
      </c>
      <c r="D17" s="53" t="s">
        <v>36</v>
      </c>
      <c r="E17" s="55" t="s">
        <v>36</v>
      </c>
      <c r="G17" s="28" t="s">
        <v>39</v>
      </c>
      <c r="H17" s="28" t="s">
        <v>39</v>
      </c>
      <c r="I17" s="28" t="s">
        <v>39</v>
      </c>
      <c r="J17" s="28" t="s">
        <v>39</v>
      </c>
    </row>
    <row r="18" spans="1:10" ht="65">
      <c r="A18" s="14" t="s">
        <v>40</v>
      </c>
      <c r="B18" s="16"/>
      <c r="G18" s="28" t="s">
        <v>39</v>
      </c>
      <c r="H18" s="28" t="s">
        <v>39</v>
      </c>
      <c r="I18" s="28" t="s">
        <v>39</v>
      </c>
      <c r="J18" s="28" t="s">
        <v>39</v>
      </c>
    </row>
    <row r="19" spans="1:10">
      <c r="A19" s="14" t="s">
        <v>41</v>
      </c>
      <c r="B19" s="16"/>
      <c r="D19" s="50" t="s">
        <v>42</v>
      </c>
      <c r="E19" s="52" t="s">
        <v>42</v>
      </c>
    </row>
    <row r="20" spans="1:10">
      <c r="A20" s="14" t="s">
        <v>43</v>
      </c>
      <c r="B20" s="16"/>
      <c r="D20" s="53" t="s">
        <v>42</v>
      </c>
      <c r="E20" s="55" t="s">
        <v>42</v>
      </c>
    </row>
    <row r="22" spans="1:10">
      <c r="A22" s="17" t="s">
        <v>44</v>
      </c>
      <c r="B22" s="17"/>
    </row>
    <row r="23" spans="1:10">
      <c r="A23" s="14" t="s">
        <v>45</v>
      </c>
      <c r="B23" s="16"/>
    </row>
    <row r="24" spans="1:10">
      <c r="A24" s="14" t="s">
        <v>46</v>
      </c>
      <c r="B24" s="18">
        <v>46274.940333182873</v>
      </c>
    </row>
    <row r="25" spans="1:10">
      <c r="A25" s="14" t="s">
        <v>47</v>
      </c>
      <c r="B25" s="16"/>
    </row>
  </sheetData>
  <mergeCells count="6">
    <mergeCell ref="D19:E20"/>
    <mergeCell ref="D4:E5"/>
    <mergeCell ref="D7:E8"/>
    <mergeCell ref="D10:E11"/>
    <mergeCell ref="D13:E14"/>
    <mergeCell ref="D16:E1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xr:uid="{00000000-0002-0000-0100-000000000000}">
          <x14:formula1>
            <xm:f>Listas!$A$2:$A$1000</xm:f>
          </x14:formula1>
          <xm:sqref>B4</xm:sqref>
        </x14:dataValidation>
        <x14:dataValidation type="list" xr:uid="{00000000-0002-0000-0100-000001000000}">
          <x14:formula1>
            <xm:f>Listas!$B$2:$B$100</xm:f>
          </x14:formula1>
          <xm:sqref>B12</xm:sqref>
        </x14:dataValidation>
        <x14:dataValidation type="list" xr:uid="{00000000-0002-0000-0100-000002000000}">
          <x14:formula1>
            <xm:f>Listas!$C$2:$C$20</xm:f>
          </x14:formula1>
          <xm:sqref>B14</xm:sqref>
        </x14:dataValidation>
        <x14:dataValidation type="list" xr:uid="{00000000-0002-0000-0100-000003000000}">
          <x14:formula1>
            <xm:f>Listas!$D$2:$D$20</xm:f>
          </x14:formula1>
          <xm:sqref>B15</xm:sqref>
        </x14:dataValidation>
        <x14:dataValidation type="list" xr:uid="{00000000-0002-0000-0100-000004000000}">
          <x14:formula1>
            <xm:f>Listas!$E$2:$E$20</xm:f>
          </x14:formula1>
          <xm:sqref>B16</xm:sqref>
        </x14:dataValidation>
        <x14:dataValidation type="list" xr:uid="{00000000-0002-0000-0100-000005000000}">
          <x14:formula1>
            <xm:f>Listas!$F$2:$F$20</xm:f>
          </x14:formula1>
          <xm:sqref>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676B8"/>
  </sheetPr>
  <dimension ref="A2:I44"/>
  <sheetViews>
    <sheetView showGridLines="0" workbookViewId="0">
      <pane ySplit="14" topLeftCell="A15" activePane="bottomLeft" state="frozen"/>
      <selection pane="bottomLeft"/>
    </sheetView>
  </sheetViews>
  <sheetFormatPr defaultRowHeight="14"/>
  <cols>
    <col min="1" max="1" width="8" customWidth="1"/>
    <col min="2" max="2" width="38" customWidth="1"/>
    <col min="3" max="3" width="11" customWidth="1"/>
    <col min="4" max="4" width="34" customWidth="1"/>
    <col min="5" max="5" width="13" customWidth="1"/>
    <col min="6" max="7" width="15" customWidth="1"/>
    <col min="8" max="8" width="20" customWidth="1"/>
    <col min="9" max="9" width="28" customWidth="1"/>
  </cols>
  <sheetData>
    <row r="2" spans="1:9" ht="20">
      <c r="B2" s="1" t="s">
        <v>48</v>
      </c>
    </row>
    <row r="3" spans="1:9">
      <c r="B3" s="2"/>
      <c r="C3" s="2"/>
      <c r="D3" s="2"/>
      <c r="E3" s="2"/>
      <c r="F3" s="2"/>
      <c r="G3" s="2"/>
      <c r="H3" s="2"/>
      <c r="I3" s="2"/>
    </row>
    <row r="4" spans="1:9">
      <c r="A4" s="14" t="s">
        <v>49</v>
      </c>
      <c r="B4" s="16"/>
      <c r="D4" s="50" t="s">
        <v>50</v>
      </c>
      <c r="E4" s="52" t="s">
        <v>50</v>
      </c>
      <c r="G4" s="50" t="s">
        <v>23</v>
      </c>
      <c r="H4" s="52" t="s">
        <v>23</v>
      </c>
    </row>
    <row r="5" spans="1:9">
      <c r="A5" s="14" t="s">
        <v>51</v>
      </c>
      <c r="B5" s="16"/>
      <c r="D5" s="53" t="s">
        <v>50</v>
      </c>
      <c r="E5" s="55" t="s">
        <v>50</v>
      </c>
      <c r="G5" s="53" t="s">
        <v>23</v>
      </c>
      <c r="H5" s="55" t="s">
        <v>23</v>
      </c>
    </row>
    <row r="6" spans="1:9">
      <c r="A6" s="14" t="s">
        <v>52</v>
      </c>
      <c r="B6" s="16"/>
    </row>
    <row r="7" spans="1:9">
      <c r="A7" s="14" t="s">
        <v>53</v>
      </c>
      <c r="B7" s="18"/>
      <c r="D7" s="50" t="s">
        <v>54</v>
      </c>
      <c r="E7" s="52" t="s">
        <v>54</v>
      </c>
      <c r="G7" s="50" t="s">
        <v>55</v>
      </c>
      <c r="H7" s="52" t="s">
        <v>55</v>
      </c>
    </row>
    <row r="8" spans="1:9">
      <c r="A8" s="14" t="s">
        <v>56</v>
      </c>
      <c r="B8" s="18"/>
      <c r="D8" s="53" t="s">
        <v>54</v>
      </c>
      <c r="E8" s="55" t="s">
        <v>54</v>
      </c>
      <c r="G8" s="53" t="s">
        <v>55</v>
      </c>
      <c r="H8" s="55" t="s">
        <v>55</v>
      </c>
    </row>
    <row r="9" spans="1:9">
      <c r="A9" s="14" t="s">
        <v>57</v>
      </c>
      <c r="B9" s="18"/>
    </row>
    <row r="10" spans="1:9">
      <c r="A10" s="14" t="s">
        <v>25</v>
      </c>
      <c r="B10" s="16"/>
      <c r="D10" s="50" t="s">
        <v>58</v>
      </c>
      <c r="E10" s="52" t="s">
        <v>58</v>
      </c>
      <c r="G10" s="50" t="s">
        <v>42</v>
      </c>
      <c r="H10" s="52" t="s">
        <v>42</v>
      </c>
    </row>
    <row r="11" spans="1:9">
      <c r="A11" s="14" t="s">
        <v>43</v>
      </c>
      <c r="B11" s="16"/>
      <c r="D11" s="53" t="s">
        <v>58</v>
      </c>
      <c r="E11" s="55" t="s">
        <v>58</v>
      </c>
      <c r="G11" s="53" t="s">
        <v>42</v>
      </c>
      <c r="H11" s="55" t="s">
        <v>42</v>
      </c>
    </row>
    <row r="14" spans="1:9" ht="32" customHeight="1">
      <c r="A14" s="3" t="s">
        <v>59</v>
      </c>
      <c r="B14" s="29" t="s">
        <v>17</v>
      </c>
      <c r="C14" s="29" t="s">
        <v>60</v>
      </c>
      <c r="D14" s="29" t="s">
        <v>22</v>
      </c>
      <c r="E14" s="29" t="s">
        <v>61</v>
      </c>
      <c r="F14" s="29" t="s">
        <v>62</v>
      </c>
      <c r="G14" s="29" t="s">
        <v>63</v>
      </c>
      <c r="H14" s="29" t="s">
        <v>64</v>
      </c>
      <c r="I14" s="4" t="s">
        <v>43</v>
      </c>
    </row>
    <row r="15" spans="1:9">
      <c r="A15" s="5">
        <v>1</v>
      </c>
      <c r="B15" s="30"/>
      <c r="C15" s="31" t="str">
        <f>IFERROR(LEFT(B15,FIND(" | ",B15)-1),"")</f>
        <v/>
      </c>
      <c r="D15" s="31" t="str">
        <f>IFERROR(INDEX(Productos!$B$2:$B$1000,MATCH(C15,Productos!$A$2:$A$1000,0)),"")</f>
        <v/>
      </c>
      <c r="E15" s="31" t="str">
        <f>IFERROR(INDEX(Productos!$I$2:$I$1000,MATCH(C15,Productos!$A$2:$A$1000,0)),"")</f>
        <v/>
      </c>
      <c r="F15" s="30"/>
      <c r="G15" s="31" t="str">
        <f>IF(OR(C15="",F15="",$B$8="",$B$9=""),"",InventoryAvailable(C15,$B$8,$B$9,$B$4))</f>
        <v/>
      </c>
      <c r="H15" s="31" t="str">
        <f>IF(C15="","",IF(F15&lt;=0,"Indique cantidad",IF(G15&lt;0,"Período inválido",IF(F15&lt;=G15,"Disponible","Solo "&amp;G15&amp;" disponible"))))</f>
        <v/>
      </c>
      <c r="I15" s="32"/>
    </row>
    <row r="16" spans="1:9">
      <c r="A16" s="7">
        <v>2</v>
      </c>
      <c r="B16" s="33"/>
      <c r="C16" s="34" t="str">
        <f>IFERROR(LEFT(B16,FIND(" | ",B16)-1),"")</f>
        <v/>
      </c>
      <c r="D16" s="34" t="str">
        <f>IFERROR(INDEX(Productos!$B$2:$B$1000,MATCH(C16,Productos!$A$2:$A$1000,0)),"")</f>
        <v/>
      </c>
      <c r="E16" s="34" t="str">
        <f>IFERROR(INDEX(Productos!$I$2:$I$1000,MATCH(C16,Productos!$A$2:$A$1000,0)),"")</f>
        <v/>
      </c>
      <c r="F16" s="33"/>
      <c r="G16" s="34" t="str">
        <f>IF(OR(C16="",F16="",$B$8="",$B$9=""),"",InventoryAvailable(C16,$B$8,$B$9,$B$4))</f>
        <v/>
      </c>
      <c r="H16" s="34" t="str">
        <f>IF(C16="","",IF(F16&lt;=0,"Indique cantidad",IF(G16&lt;0,"Período inválido",IF(F16&lt;=G16,"Disponible","Solo "&amp;G16&amp;" disponible"))))</f>
        <v/>
      </c>
      <c r="I16" s="35"/>
    </row>
    <row r="17" spans="1:9">
      <c r="A17" s="7">
        <v>3</v>
      </c>
      <c r="B17" s="33"/>
      <c r="C17" s="34" t="str">
        <f>IFERROR(LEFT(B17,FIND(" | ",B17)-1),"")</f>
        <v/>
      </c>
      <c r="D17" s="34" t="str">
        <f>IFERROR(INDEX(Productos!$B$2:$B$1000,MATCH(C17,Productos!$A$2:$A$1000,0)),"")</f>
        <v/>
      </c>
      <c r="E17" s="34" t="str">
        <f>IFERROR(INDEX(Productos!$I$2:$I$1000,MATCH(C17,Productos!$A$2:$A$1000,0)),"")</f>
        <v/>
      </c>
      <c r="F17" s="33"/>
      <c r="G17" s="34" t="str">
        <f>IF(OR(C17="",F17="",$B$8="",$B$9=""),"",InventoryAvailable(C17,$B$8,$B$9,$B$4))</f>
        <v/>
      </c>
      <c r="H17" s="34" t="str">
        <f>IF(C17="","",IF(F17&lt;=0,"Indique cantidad",IF(G17&lt;0,"Período inválido",IF(F17&lt;=G17,"Disponible","Solo "&amp;G17&amp;" disponible"))))</f>
        <v/>
      </c>
      <c r="I17" s="35"/>
    </row>
    <row r="18" spans="1:9">
      <c r="A18" s="7">
        <v>4</v>
      </c>
      <c r="B18" s="33"/>
      <c r="C18" s="34" t="str">
        <f>IFERROR(LEFT(B18,FIND(" | ",B18)-1),"")</f>
        <v/>
      </c>
      <c r="D18" s="34" t="str">
        <f>IFERROR(INDEX(Productos!$B$2:$B$1000,MATCH(C18,Productos!$A$2:$A$1000,0)),"")</f>
        <v/>
      </c>
      <c r="E18" s="34" t="str">
        <f>IFERROR(INDEX(Productos!$I$2:$I$1000,MATCH(C18,Productos!$A$2:$A$1000,0)),"")</f>
        <v/>
      </c>
      <c r="F18" s="33"/>
      <c r="G18" s="34" t="str">
        <f>IF(OR(C18="",F18="",$B$8="",$B$9=""),"",InventoryAvailable(C18,$B$8,$B$9,$B$4))</f>
        <v/>
      </c>
      <c r="H18" s="34" t="str">
        <f>IF(C18="","",IF(F18&lt;=0,"Indique cantidad",IF(G18&lt;0,"Período inválido",IF(F18&lt;=G18,"Disponible","Solo "&amp;G18&amp;" disponible"))))</f>
        <v/>
      </c>
      <c r="I18" s="35"/>
    </row>
    <row r="19" spans="1:9">
      <c r="A19" s="7">
        <v>5</v>
      </c>
      <c r="B19" s="33"/>
      <c r="C19" s="34" t="str">
        <f>IFERROR(LEFT(B19,FIND(" | ",B19)-1),"")</f>
        <v/>
      </c>
      <c r="D19" s="34" t="str">
        <f>IFERROR(INDEX(Productos!$B$2:$B$1000,MATCH(C19,Productos!$A$2:$A$1000,0)),"")</f>
        <v/>
      </c>
      <c r="E19" s="34" t="str">
        <f>IFERROR(INDEX(Productos!$I$2:$I$1000,MATCH(C19,Productos!$A$2:$A$1000,0)),"")</f>
        <v/>
      </c>
      <c r="F19" s="33"/>
      <c r="G19" s="34" t="str">
        <f>IF(OR(C19="",F19="",$B$8="",$B$9=""),"",InventoryAvailable(C19,$B$8,$B$9,$B$4))</f>
        <v/>
      </c>
      <c r="H19" s="34" t="str">
        <f>IF(C19="","",IF(F19&lt;=0,"Indique cantidad",IF(G19&lt;0,"Período inválido",IF(F19&lt;=G19,"Disponible","Solo "&amp;G19&amp;" disponible"))))</f>
        <v/>
      </c>
      <c r="I19" s="35"/>
    </row>
    <row r="20" spans="1:9">
      <c r="A20" s="7">
        <v>6</v>
      </c>
      <c r="B20" s="33"/>
      <c r="C20" s="34" t="str">
        <f>IFERROR(LEFT(B20,FIND(" | ",B20)-1),"")</f>
        <v/>
      </c>
      <c r="D20" s="34" t="str">
        <f>IFERROR(INDEX(Productos!$B$2:$B$1000,MATCH(C20,Productos!$A$2:$A$1000,0)),"")</f>
        <v/>
      </c>
      <c r="E20" s="34" t="str">
        <f>IFERROR(INDEX(Productos!$I$2:$I$1000,MATCH(C20,Productos!$A$2:$A$1000,0)),"")</f>
        <v/>
      </c>
      <c r="F20" s="33"/>
      <c r="G20" s="34" t="str">
        <f>IF(OR(C20="",F20="",$B$8="",$B$9=""),"",InventoryAvailable(C20,$B$8,$B$9,$B$4))</f>
        <v/>
      </c>
      <c r="H20" s="34" t="str">
        <f>IF(C20="","",IF(F20&lt;=0,"Indique cantidad",IF(G20&lt;0,"Período inválido",IF(F20&lt;=G20,"Disponible","Solo "&amp;G20&amp;" disponible"))))</f>
        <v/>
      </c>
      <c r="I20" s="35"/>
    </row>
    <row r="21" spans="1:9">
      <c r="A21" s="7">
        <v>7</v>
      </c>
      <c r="B21" s="33"/>
      <c r="C21" s="34" t="str">
        <f>IFERROR(LEFT(B21,FIND(" | ",B21)-1),"")</f>
        <v/>
      </c>
      <c r="D21" s="34" t="str">
        <f>IFERROR(INDEX(Productos!$B$2:$B$1000,MATCH(C21,Productos!$A$2:$A$1000,0)),"")</f>
        <v/>
      </c>
      <c r="E21" s="34" t="str">
        <f>IFERROR(INDEX(Productos!$I$2:$I$1000,MATCH(C21,Productos!$A$2:$A$1000,0)),"")</f>
        <v/>
      </c>
      <c r="F21" s="33"/>
      <c r="G21" s="34" t="str">
        <f>IF(OR(C21="",F21="",$B$8="",$B$9=""),"",InventoryAvailable(C21,$B$8,$B$9,$B$4))</f>
        <v/>
      </c>
      <c r="H21" s="34" t="str">
        <f>IF(C21="","",IF(F21&lt;=0,"Indique cantidad",IF(G21&lt;0,"Período inválido",IF(F21&lt;=G21,"Disponible","Solo "&amp;G21&amp;" disponible"))))</f>
        <v/>
      </c>
      <c r="I21" s="35"/>
    </row>
    <row r="22" spans="1:9">
      <c r="A22" s="7">
        <v>8</v>
      </c>
      <c r="B22" s="33"/>
      <c r="C22" s="34" t="str">
        <f>IFERROR(LEFT(B22,FIND(" | ",B22)-1),"")</f>
        <v/>
      </c>
      <c r="D22" s="34" t="str">
        <f>IFERROR(INDEX(Productos!$B$2:$B$1000,MATCH(C22,Productos!$A$2:$A$1000,0)),"")</f>
        <v/>
      </c>
      <c r="E22" s="34" t="str">
        <f>IFERROR(INDEX(Productos!$I$2:$I$1000,MATCH(C22,Productos!$A$2:$A$1000,0)),"")</f>
        <v/>
      </c>
      <c r="F22" s="33"/>
      <c r="G22" s="34" t="str">
        <f>IF(OR(C22="",F22="",$B$8="",$B$9=""),"",InventoryAvailable(C22,$B$8,$B$9,$B$4))</f>
        <v/>
      </c>
      <c r="H22" s="34" t="str">
        <f>IF(C22="","",IF(F22&lt;=0,"Indique cantidad",IF(G22&lt;0,"Período inválido",IF(F22&lt;=G22,"Disponible","Solo "&amp;G22&amp;" disponible"))))</f>
        <v/>
      </c>
      <c r="I22" s="35"/>
    </row>
    <row r="23" spans="1:9">
      <c r="A23" s="7">
        <v>9</v>
      </c>
      <c r="B23" s="33"/>
      <c r="C23" s="34" t="str">
        <f>IFERROR(LEFT(B23,FIND(" | ",B23)-1),"")</f>
        <v/>
      </c>
      <c r="D23" s="34" t="str">
        <f>IFERROR(INDEX(Productos!$B$2:$B$1000,MATCH(C23,Productos!$A$2:$A$1000,0)),"")</f>
        <v/>
      </c>
      <c r="E23" s="34" t="str">
        <f>IFERROR(INDEX(Productos!$I$2:$I$1000,MATCH(C23,Productos!$A$2:$A$1000,0)),"")</f>
        <v/>
      </c>
      <c r="F23" s="33"/>
      <c r="G23" s="34" t="str">
        <f>IF(OR(C23="",F23="",$B$8="",$B$9=""),"",InventoryAvailable(C23,$B$8,$B$9,$B$4))</f>
        <v/>
      </c>
      <c r="H23" s="34" t="str">
        <f>IF(C23="","",IF(F23&lt;=0,"Indique cantidad",IF(G23&lt;0,"Período inválido",IF(F23&lt;=G23,"Disponible","Solo "&amp;G23&amp;" disponible"))))</f>
        <v/>
      </c>
      <c r="I23" s="35"/>
    </row>
    <row r="24" spans="1:9">
      <c r="A24" s="7">
        <v>10</v>
      </c>
      <c r="B24" s="33"/>
      <c r="C24" s="34" t="str">
        <f>IFERROR(LEFT(B24,FIND(" | ",B24)-1),"")</f>
        <v/>
      </c>
      <c r="D24" s="34" t="str">
        <f>IFERROR(INDEX(Productos!$B$2:$B$1000,MATCH(C24,Productos!$A$2:$A$1000,0)),"")</f>
        <v/>
      </c>
      <c r="E24" s="34" t="str">
        <f>IFERROR(INDEX(Productos!$I$2:$I$1000,MATCH(C24,Productos!$A$2:$A$1000,0)),"")</f>
        <v/>
      </c>
      <c r="F24" s="33"/>
      <c r="G24" s="34" t="str">
        <f>IF(OR(C24="",F24="",$B$8="",$B$9=""),"",InventoryAvailable(C24,$B$8,$B$9,$B$4))</f>
        <v/>
      </c>
      <c r="H24" s="34" t="str">
        <f>IF(C24="","",IF(F24&lt;=0,"Indique cantidad",IF(G24&lt;0,"Período inválido",IF(F24&lt;=G24,"Disponible","Solo "&amp;G24&amp;" disponible"))))</f>
        <v/>
      </c>
      <c r="I24" s="35"/>
    </row>
    <row r="25" spans="1:9">
      <c r="A25" s="7">
        <v>11</v>
      </c>
      <c r="B25" s="33"/>
      <c r="C25" s="34" t="str">
        <f>IFERROR(LEFT(B25,FIND(" | ",B25)-1),"")</f>
        <v/>
      </c>
      <c r="D25" s="34" t="str">
        <f>IFERROR(INDEX(Productos!$B$2:$B$1000,MATCH(C25,Productos!$A$2:$A$1000,0)),"")</f>
        <v/>
      </c>
      <c r="E25" s="34" t="str">
        <f>IFERROR(INDEX(Productos!$I$2:$I$1000,MATCH(C25,Productos!$A$2:$A$1000,0)),"")</f>
        <v/>
      </c>
      <c r="F25" s="33"/>
      <c r="G25" s="34" t="str">
        <f>IF(OR(C25="",F25="",$B$8="",$B$9=""),"",InventoryAvailable(C25,$B$8,$B$9,$B$4))</f>
        <v/>
      </c>
      <c r="H25" s="34" t="str">
        <f>IF(C25="","",IF(F25&lt;=0,"Indique cantidad",IF(G25&lt;0,"Período inválido",IF(F25&lt;=G25,"Disponible","Solo "&amp;G25&amp;" disponible"))))</f>
        <v/>
      </c>
      <c r="I25" s="35"/>
    </row>
    <row r="26" spans="1:9">
      <c r="A26" s="7">
        <v>12</v>
      </c>
      <c r="B26" s="33"/>
      <c r="C26" s="34" t="str">
        <f>IFERROR(LEFT(B26,FIND(" | ",B26)-1),"")</f>
        <v/>
      </c>
      <c r="D26" s="34" t="str">
        <f>IFERROR(INDEX(Productos!$B$2:$B$1000,MATCH(C26,Productos!$A$2:$A$1000,0)),"")</f>
        <v/>
      </c>
      <c r="E26" s="34" t="str">
        <f>IFERROR(INDEX(Productos!$I$2:$I$1000,MATCH(C26,Productos!$A$2:$A$1000,0)),"")</f>
        <v/>
      </c>
      <c r="F26" s="33"/>
      <c r="G26" s="34" t="str">
        <f>IF(OR(C26="",F26="",$B$8="",$B$9=""),"",InventoryAvailable(C26,$B$8,$B$9,$B$4))</f>
        <v/>
      </c>
      <c r="H26" s="34" t="str">
        <f>IF(C26="","",IF(F26&lt;=0,"Indique cantidad",IF(G26&lt;0,"Período inválido",IF(F26&lt;=G26,"Disponible","Solo "&amp;G26&amp;" disponible"))))</f>
        <v/>
      </c>
      <c r="I26" s="35"/>
    </row>
    <row r="27" spans="1:9">
      <c r="A27" s="7">
        <v>13</v>
      </c>
      <c r="B27" s="33"/>
      <c r="C27" s="34" t="str">
        <f>IFERROR(LEFT(B27,FIND(" | ",B27)-1),"")</f>
        <v/>
      </c>
      <c r="D27" s="34" t="str">
        <f>IFERROR(INDEX(Productos!$B$2:$B$1000,MATCH(C27,Productos!$A$2:$A$1000,0)),"")</f>
        <v/>
      </c>
      <c r="E27" s="34" t="str">
        <f>IFERROR(INDEX(Productos!$I$2:$I$1000,MATCH(C27,Productos!$A$2:$A$1000,0)),"")</f>
        <v/>
      </c>
      <c r="F27" s="33"/>
      <c r="G27" s="34" t="str">
        <f>IF(OR(C27="",F27="",$B$8="",$B$9=""),"",InventoryAvailable(C27,$B$8,$B$9,$B$4))</f>
        <v/>
      </c>
      <c r="H27" s="34" t="str">
        <f>IF(C27="","",IF(F27&lt;=0,"Indique cantidad",IF(G27&lt;0,"Período inválido",IF(F27&lt;=G27,"Disponible","Solo "&amp;G27&amp;" disponible"))))</f>
        <v/>
      </c>
      <c r="I27" s="35"/>
    </row>
    <row r="28" spans="1:9">
      <c r="A28" s="7">
        <v>14</v>
      </c>
      <c r="B28" s="33"/>
      <c r="C28" s="34" t="str">
        <f>IFERROR(LEFT(B28,FIND(" | ",B28)-1),"")</f>
        <v/>
      </c>
      <c r="D28" s="34" t="str">
        <f>IFERROR(INDEX(Productos!$B$2:$B$1000,MATCH(C28,Productos!$A$2:$A$1000,0)),"")</f>
        <v/>
      </c>
      <c r="E28" s="34" t="str">
        <f>IFERROR(INDEX(Productos!$I$2:$I$1000,MATCH(C28,Productos!$A$2:$A$1000,0)),"")</f>
        <v/>
      </c>
      <c r="F28" s="33"/>
      <c r="G28" s="34" t="str">
        <f>IF(OR(C28="",F28="",$B$8="",$B$9=""),"",InventoryAvailable(C28,$B$8,$B$9,$B$4))</f>
        <v/>
      </c>
      <c r="H28" s="34" t="str">
        <f>IF(C28="","",IF(F28&lt;=0,"Indique cantidad",IF(G28&lt;0,"Período inválido",IF(F28&lt;=G28,"Disponible","Solo "&amp;G28&amp;" disponible"))))</f>
        <v/>
      </c>
      <c r="I28" s="35"/>
    </row>
    <row r="29" spans="1:9">
      <c r="A29" s="7">
        <v>15</v>
      </c>
      <c r="B29" s="33"/>
      <c r="C29" s="34" t="str">
        <f>IFERROR(LEFT(B29,FIND(" | ",B29)-1),"")</f>
        <v/>
      </c>
      <c r="D29" s="34" t="str">
        <f>IFERROR(INDEX(Productos!$B$2:$B$1000,MATCH(C29,Productos!$A$2:$A$1000,0)),"")</f>
        <v/>
      </c>
      <c r="E29" s="34" t="str">
        <f>IFERROR(INDEX(Productos!$I$2:$I$1000,MATCH(C29,Productos!$A$2:$A$1000,0)),"")</f>
        <v/>
      </c>
      <c r="F29" s="33"/>
      <c r="G29" s="34" t="str">
        <f>IF(OR(C29="",F29="",$B$8="",$B$9=""),"",InventoryAvailable(C29,$B$8,$B$9,$B$4))</f>
        <v/>
      </c>
      <c r="H29" s="34" t="str">
        <f>IF(C29="","",IF(F29&lt;=0,"Indique cantidad",IF(G29&lt;0,"Período inválido",IF(F29&lt;=G29,"Disponible","Solo "&amp;G29&amp;" disponible"))))</f>
        <v/>
      </c>
      <c r="I29" s="35"/>
    </row>
    <row r="30" spans="1:9">
      <c r="A30" s="7">
        <v>16</v>
      </c>
      <c r="B30" s="33"/>
      <c r="C30" s="34" t="str">
        <f>IFERROR(LEFT(B30,FIND(" | ",B30)-1),"")</f>
        <v/>
      </c>
      <c r="D30" s="34" t="str">
        <f>IFERROR(INDEX(Productos!$B$2:$B$1000,MATCH(C30,Productos!$A$2:$A$1000,0)),"")</f>
        <v/>
      </c>
      <c r="E30" s="34" t="str">
        <f>IFERROR(INDEX(Productos!$I$2:$I$1000,MATCH(C30,Productos!$A$2:$A$1000,0)),"")</f>
        <v/>
      </c>
      <c r="F30" s="33"/>
      <c r="G30" s="34" t="str">
        <f>IF(OR(C30="",F30="",$B$8="",$B$9=""),"",InventoryAvailable(C30,$B$8,$B$9,$B$4))</f>
        <v/>
      </c>
      <c r="H30" s="34" t="str">
        <f>IF(C30="","",IF(F30&lt;=0,"Indique cantidad",IF(G30&lt;0,"Período inválido",IF(F30&lt;=G30,"Disponible","Solo "&amp;G30&amp;" disponible"))))</f>
        <v/>
      </c>
      <c r="I30" s="35"/>
    </row>
    <row r="31" spans="1:9">
      <c r="A31" s="7">
        <v>17</v>
      </c>
      <c r="B31" s="33"/>
      <c r="C31" s="34" t="str">
        <f>IFERROR(LEFT(B31,FIND(" | ",B31)-1),"")</f>
        <v/>
      </c>
      <c r="D31" s="34" t="str">
        <f>IFERROR(INDEX(Productos!$B$2:$B$1000,MATCH(C31,Productos!$A$2:$A$1000,0)),"")</f>
        <v/>
      </c>
      <c r="E31" s="34" t="str">
        <f>IFERROR(INDEX(Productos!$I$2:$I$1000,MATCH(C31,Productos!$A$2:$A$1000,0)),"")</f>
        <v/>
      </c>
      <c r="F31" s="33"/>
      <c r="G31" s="34" t="str">
        <f>IF(OR(C31="",F31="",$B$8="",$B$9=""),"",InventoryAvailable(C31,$B$8,$B$9,$B$4))</f>
        <v/>
      </c>
      <c r="H31" s="34" t="str">
        <f>IF(C31="","",IF(F31&lt;=0,"Indique cantidad",IF(G31&lt;0,"Período inválido",IF(F31&lt;=G31,"Disponible","Solo "&amp;G31&amp;" disponible"))))</f>
        <v/>
      </c>
      <c r="I31" s="35"/>
    </row>
    <row r="32" spans="1:9">
      <c r="A32" s="7">
        <v>18</v>
      </c>
      <c r="B32" s="33"/>
      <c r="C32" s="34" t="str">
        <f>IFERROR(LEFT(B32,FIND(" | ",B32)-1),"")</f>
        <v/>
      </c>
      <c r="D32" s="34" t="str">
        <f>IFERROR(INDEX(Productos!$B$2:$B$1000,MATCH(C32,Productos!$A$2:$A$1000,0)),"")</f>
        <v/>
      </c>
      <c r="E32" s="34" t="str">
        <f>IFERROR(INDEX(Productos!$I$2:$I$1000,MATCH(C32,Productos!$A$2:$A$1000,0)),"")</f>
        <v/>
      </c>
      <c r="F32" s="33"/>
      <c r="G32" s="34" t="str">
        <f>IF(OR(C32="",F32="",$B$8="",$B$9=""),"",InventoryAvailable(C32,$B$8,$B$9,$B$4))</f>
        <v/>
      </c>
      <c r="H32" s="34" t="str">
        <f>IF(C32="","",IF(F32&lt;=0,"Indique cantidad",IF(G32&lt;0,"Período inválido",IF(F32&lt;=G32,"Disponible","Solo "&amp;G32&amp;" disponible"))))</f>
        <v/>
      </c>
      <c r="I32" s="35"/>
    </row>
    <row r="33" spans="1:9">
      <c r="A33" s="7">
        <v>19</v>
      </c>
      <c r="B33" s="33"/>
      <c r="C33" s="34" t="str">
        <f>IFERROR(LEFT(B33,FIND(" | ",B33)-1),"")</f>
        <v/>
      </c>
      <c r="D33" s="34" t="str">
        <f>IFERROR(INDEX(Productos!$B$2:$B$1000,MATCH(C33,Productos!$A$2:$A$1000,0)),"")</f>
        <v/>
      </c>
      <c r="E33" s="34" t="str">
        <f>IFERROR(INDEX(Productos!$I$2:$I$1000,MATCH(C33,Productos!$A$2:$A$1000,0)),"")</f>
        <v/>
      </c>
      <c r="F33" s="33"/>
      <c r="G33" s="34" t="str">
        <f>IF(OR(C33="",F33="",$B$8="",$B$9=""),"",InventoryAvailable(C33,$B$8,$B$9,$B$4))</f>
        <v/>
      </c>
      <c r="H33" s="34" t="str">
        <f>IF(C33="","",IF(F33&lt;=0,"Indique cantidad",IF(G33&lt;0,"Período inválido",IF(F33&lt;=G33,"Disponible","Solo "&amp;G33&amp;" disponible"))))</f>
        <v/>
      </c>
      <c r="I33" s="35"/>
    </row>
    <row r="34" spans="1:9">
      <c r="A34" s="7">
        <v>20</v>
      </c>
      <c r="B34" s="33"/>
      <c r="C34" s="34" t="str">
        <f>IFERROR(LEFT(B34,FIND(" | ",B34)-1),"")</f>
        <v/>
      </c>
      <c r="D34" s="34" t="str">
        <f>IFERROR(INDEX(Productos!$B$2:$B$1000,MATCH(C34,Productos!$A$2:$A$1000,0)),"")</f>
        <v/>
      </c>
      <c r="E34" s="34" t="str">
        <f>IFERROR(INDEX(Productos!$I$2:$I$1000,MATCH(C34,Productos!$A$2:$A$1000,0)),"")</f>
        <v/>
      </c>
      <c r="F34" s="33"/>
      <c r="G34" s="34" t="str">
        <f>IF(OR(C34="",F34="",$B$8="",$B$9=""),"",InventoryAvailable(C34,$B$8,$B$9,$B$4))</f>
        <v/>
      </c>
      <c r="H34" s="34" t="str">
        <f>IF(C34="","",IF(F34&lt;=0,"Indique cantidad",IF(G34&lt;0,"Período inválido",IF(F34&lt;=G34,"Disponible","Solo "&amp;G34&amp;" disponible"))))</f>
        <v/>
      </c>
      <c r="I34" s="35"/>
    </row>
    <row r="35" spans="1:9">
      <c r="A35" s="7">
        <v>21</v>
      </c>
      <c r="B35" s="33"/>
      <c r="C35" s="34" t="str">
        <f>IFERROR(LEFT(B35,FIND(" | ",B35)-1),"")</f>
        <v/>
      </c>
      <c r="D35" s="34" t="str">
        <f>IFERROR(INDEX(Productos!$B$2:$B$1000,MATCH(C35,Productos!$A$2:$A$1000,0)),"")</f>
        <v/>
      </c>
      <c r="E35" s="34" t="str">
        <f>IFERROR(INDEX(Productos!$I$2:$I$1000,MATCH(C35,Productos!$A$2:$A$1000,0)),"")</f>
        <v/>
      </c>
      <c r="F35" s="33"/>
      <c r="G35" s="34" t="str">
        <f>IF(OR(C35="",F35="",$B$8="",$B$9=""),"",InventoryAvailable(C35,$B$8,$B$9,$B$4))</f>
        <v/>
      </c>
      <c r="H35" s="34" t="str">
        <f>IF(C35="","",IF(F35&lt;=0,"Indique cantidad",IF(G35&lt;0,"Período inválido",IF(F35&lt;=G35,"Disponible","Solo "&amp;G35&amp;" disponible"))))</f>
        <v/>
      </c>
      <c r="I35" s="35"/>
    </row>
    <row r="36" spans="1:9">
      <c r="A36" s="7">
        <v>22</v>
      </c>
      <c r="B36" s="33"/>
      <c r="C36" s="34" t="str">
        <f>IFERROR(LEFT(B36,FIND(" | ",B36)-1),"")</f>
        <v/>
      </c>
      <c r="D36" s="34" t="str">
        <f>IFERROR(INDEX(Productos!$B$2:$B$1000,MATCH(C36,Productos!$A$2:$A$1000,0)),"")</f>
        <v/>
      </c>
      <c r="E36" s="34" t="str">
        <f>IFERROR(INDEX(Productos!$I$2:$I$1000,MATCH(C36,Productos!$A$2:$A$1000,0)),"")</f>
        <v/>
      </c>
      <c r="F36" s="33"/>
      <c r="G36" s="34" t="str">
        <f>IF(OR(C36="",F36="",$B$8="",$B$9=""),"",InventoryAvailable(C36,$B$8,$B$9,$B$4))</f>
        <v/>
      </c>
      <c r="H36" s="34" t="str">
        <f>IF(C36="","",IF(F36&lt;=0,"Indique cantidad",IF(G36&lt;0,"Período inválido",IF(F36&lt;=G36,"Disponible","Solo "&amp;G36&amp;" disponible"))))</f>
        <v/>
      </c>
      <c r="I36" s="35"/>
    </row>
    <row r="37" spans="1:9">
      <c r="A37" s="7">
        <v>23</v>
      </c>
      <c r="B37" s="33"/>
      <c r="C37" s="34" t="str">
        <f>IFERROR(LEFT(B37,FIND(" | ",B37)-1),"")</f>
        <v/>
      </c>
      <c r="D37" s="34" t="str">
        <f>IFERROR(INDEX(Productos!$B$2:$B$1000,MATCH(C37,Productos!$A$2:$A$1000,0)),"")</f>
        <v/>
      </c>
      <c r="E37" s="34" t="str">
        <f>IFERROR(INDEX(Productos!$I$2:$I$1000,MATCH(C37,Productos!$A$2:$A$1000,0)),"")</f>
        <v/>
      </c>
      <c r="F37" s="33"/>
      <c r="G37" s="34" t="str">
        <f>IF(OR(C37="",F37="",$B$8="",$B$9=""),"",InventoryAvailable(C37,$B$8,$B$9,$B$4))</f>
        <v/>
      </c>
      <c r="H37" s="34" t="str">
        <f>IF(C37="","",IF(F37&lt;=0,"Indique cantidad",IF(G37&lt;0,"Período inválido",IF(F37&lt;=G37,"Disponible","Solo "&amp;G37&amp;" disponible"))))</f>
        <v/>
      </c>
      <c r="I37" s="35"/>
    </row>
    <row r="38" spans="1:9">
      <c r="A38" s="7">
        <v>24</v>
      </c>
      <c r="B38" s="33"/>
      <c r="C38" s="34" t="str">
        <f>IFERROR(LEFT(B38,FIND(" | ",B38)-1),"")</f>
        <v/>
      </c>
      <c r="D38" s="34" t="str">
        <f>IFERROR(INDEX(Productos!$B$2:$B$1000,MATCH(C38,Productos!$A$2:$A$1000,0)),"")</f>
        <v/>
      </c>
      <c r="E38" s="34" t="str">
        <f>IFERROR(INDEX(Productos!$I$2:$I$1000,MATCH(C38,Productos!$A$2:$A$1000,0)),"")</f>
        <v/>
      </c>
      <c r="F38" s="33"/>
      <c r="G38" s="34" t="str">
        <f>IF(OR(C38="",F38="",$B$8="",$B$9=""),"",InventoryAvailable(C38,$B$8,$B$9,$B$4))</f>
        <v/>
      </c>
      <c r="H38" s="34" t="str">
        <f>IF(C38="","",IF(F38&lt;=0,"Indique cantidad",IF(G38&lt;0,"Período inválido",IF(F38&lt;=G38,"Disponible","Solo "&amp;G38&amp;" disponible"))))</f>
        <v/>
      </c>
      <c r="I38" s="35"/>
    </row>
    <row r="39" spans="1:9">
      <c r="A39" s="7">
        <v>25</v>
      </c>
      <c r="B39" s="33"/>
      <c r="C39" s="34" t="str">
        <f>IFERROR(LEFT(B39,FIND(" | ",B39)-1),"")</f>
        <v/>
      </c>
      <c r="D39" s="34" t="str">
        <f>IFERROR(INDEX(Productos!$B$2:$B$1000,MATCH(C39,Productos!$A$2:$A$1000,0)),"")</f>
        <v/>
      </c>
      <c r="E39" s="34" t="str">
        <f>IFERROR(INDEX(Productos!$I$2:$I$1000,MATCH(C39,Productos!$A$2:$A$1000,0)),"")</f>
        <v/>
      </c>
      <c r="F39" s="33"/>
      <c r="G39" s="34" t="str">
        <f>IF(OR(C39="",F39="",$B$8="",$B$9=""),"",InventoryAvailable(C39,$B$8,$B$9,$B$4))</f>
        <v/>
      </c>
      <c r="H39" s="34" t="str">
        <f>IF(C39="","",IF(F39&lt;=0,"Indique cantidad",IF(G39&lt;0,"Período inválido",IF(F39&lt;=G39,"Disponible","Solo "&amp;G39&amp;" disponible"))))</f>
        <v/>
      </c>
      <c r="I39" s="35"/>
    </row>
    <row r="40" spans="1:9">
      <c r="A40" s="7">
        <v>26</v>
      </c>
      <c r="B40" s="33"/>
      <c r="C40" s="34" t="str">
        <f>IFERROR(LEFT(B40,FIND(" | ",B40)-1),"")</f>
        <v/>
      </c>
      <c r="D40" s="34" t="str">
        <f>IFERROR(INDEX(Productos!$B$2:$B$1000,MATCH(C40,Productos!$A$2:$A$1000,0)),"")</f>
        <v/>
      </c>
      <c r="E40" s="34" t="str">
        <f>IFERROR(INDEX(Productos!$I$2:$I$1000,MATCH(C40,Productos!$A$2:$A$1000,0)),"")</f>
        <v/>
      </c>
      <c r="F40" s="33"/>
      <c r="G40" s="34" t="str">
        <f>IF(OR(C40="",F40="",$B$8="",$B$9=""),"",InventoryAvailable(C40,$B$8,$B$9,$B$4))</f>
        <v/>
      </c>
      <c r="H40" s="34" t="str">
        <f>IF(C40="","",IF(F40&lt;=0,"Indique cantidad",IF(G40&lt;0,"Período inválido",IF(F40&lt;=G40,"Disponible","Solo "&amp;G40&amp;" disponible"))))</f>
        <v/>
      </c>
      <c r="I40" s="35"/>
    </row>
    <row r="41" spans="1:9">
      <c r="A41" s="7">
        <v>27</v>
      </c>
      <c r="B41" s="33"/>
      <c r="C41" s="34" t="str">
        <f>IFERROR(LEFT(B41,FIND(" | ",B41)-1),"")</f>
        <v/>
      </c>
      <c r="D41" s="34" t="str">
        <f>IFERROR(INDEX(Productos!$B$2:$B$1000,MATCH(C41,Productos!$A$2:$A$1000,0)),"")</f>
        <v/>
      </c>
      <c r="E41" s="34" t="str">
        <f>IFERROR(INDEX(Productos!$I$2:$I$1000,MATCH(C41,Productos!$A$2:$A$1000,0)),"")</f>
        <v/>
      </c>
      <c r="F41" s="33"/>
      <c r="G41" s="34" t="str">
        <f>IF(OR(C41="",F41="",$B$8="",$B$9=""),"",InventoryAvailable(C41,$B$8,$B$9,$B$4))</f>
        <v/>
      </c>
      <c r="H41" s="34" t="str">
        <f>IF(C41="","",IF(F41&lt;=0,"Indique cantidad",IF(G41&lt;0,"Período inválido",IF(F41&lt;=G41,"Disponible","Solo "&amp;G41&amp;" disponible"))))</f>
        <v/>
      </c>
      <c r="I41" s="35"/>
    </row>
    <row r="42" spans="1:9">
      <c r="A42" s="7">
        <v>28</v>
      </c>
      <c r="B42" s="33"/>
      <c r="C42" s="34" t="str">
        <f>IFERROR(LEFT(B42,FIND(" | ",B42)-1),"")</f>
        <v/>
      </c>
      <c r="D42" s="34" t="str">
        <f>IFERROR(INDEX(Productos!$B$2:$B$1000,MATCH(C42,Productos!$A$2:$A$1000,0)),"")</f>
        <v/>
      </c>
      <c r="E42" s="34" t="str">
        <f>IFERROR(INDEX(Productos!$I$2:$I$1000,MATCH(C42,Productos!$A$2:$A$1000,0)),"")</f>
        <v/>
      </c>
      <c r="F42" s="33"/>
      <c r="G42" s="34" t="str">
        <f>IF(OR(C42="",F42="",$B$8="",$B$9=""),"",InventoryAvailable(C42,$B$8,$B$9,$B$4))</f>
        <v/>
      </c>
      <c r="H42" s="34" t="str">
        <f>IF(C42="","",IF(F42&lt;=0,"Indique cantidad",IF(G42&lt;0,"Período inválido",IF(F42&lt;=G42,"Disponible","Solo "&amp;G42&amp;" disponible"))))</f>
        <v/>
      </c>
      <c r="I42" s="35"/>
    </row>
    <row r="43" spans="1:9">
      <c r="A43" s="7">
        <v>29</v>
      </c>
      <c r="B43" s="33"/>
      <c r="C43" s="34" t="str">
        <f>IFERROR(LEFT(B43,FIND(" | ",B43)-1),"")</f>
        <v/>
      </c>
      <c r="D43" s="34" t="str">
        <f>IFERROR(INDEX(Productos!$B$2:$B$1000,MATCH(C43,Productos!$A$2:$A$1000,0)),"")</f>
        <v/>
      </c>
      <c r="E43" s="34" t="str">
        <f>IFERROR(INDEX(Productos!$I$2:$I$1000,MATCH(C43,Productos!$A$2:$A$1000,0)),"")</f>
        <v/>
      </c>
      <c r="F43" s="33"/>
      <c r="G43" s="34" t="str">
        <f>IF(OR(C43="",F43="",$B$8="",$B$9=""),"",InventoryAvailable(C43,$B$8,$B$9,$B$4))</f>
        <v/>
      </c>
      <c r="H43" s="34" t="str">
        <f>IF(C43="","",IF(F43&lt;=0,"Indique cantidad",IF(G43&lt;0,"Período inválido",IF(F43&lt;=G43,"Disponible","Solo "&amp;G43&amp;" disponible"))))</f>
        <v/>
      </c>
      <c r="I43" s="35"/>
    </row>
    <row r="44" spans="1:9">
      <c r="A44" s="9">
        <v>30</v>
      </c>
      <c r="B44" s="36"/>
      <c r="C44" s="37" t="str">
        <f>IFERROR(LEFT(B44,FIND(" | ",B44)-1),"")</f>
        <v/>
      </c>
      <c r="D44" s="37" t="str">
        <f>IFERROR(INDEX(Productos!$B$2:$B$1000,MATCH(C44,Productos!$A$2:$A$1000,0)),"")</f>
        <v/>
      </c>
      <c r="E44" s="37" t="str">
        <f>IFERROR(INDEX(Productos!$I$2:$I$1000,MATCH(C44,Productos!$A$2:$A$1000,0)),"")</f>
        <v/>
      </c>
      <c r="F44" s="36"/>
      <c r="G44" s="37" t="str">
        <f>IF(OR(C44="",F44="",$B$8="",$B$9=""),"",InventoryAvailable(C44,$B$8,$B$9,$B$4))</f>
        <v/>
      </c>
      <c r="H44" s="37" t="str">
        <f>IF(C44="","",IF(F44&lt;=0,"Indique cantidad",IF(G44&lt;0,"Período inválido",IF(F44&lt;=G44,"Disponible","Solo "&amp;G44&amp;" disponible"))))</f>
        <v/>
      </c>
      <c r="I44" s="38"/>
    </row>
  </sheetData>
  <mergeCells count="6">
    <mergeCell ref="D4:E5"/>
    <mergeCell ref="G4:H5"/>
    <mergeCell ref="D7:E8"/>
    <mergeCell ref="G7:H8"/>
    <mergeCell ref="D10:E11"/>
    <mergeCell ref="G10:H11"/>
  </mergeCells>
  <conditionalFormatting sqref="H15:H44">
    <cfRule type="containsText" dxfId="2" priority="1" operator="containsText" text="Disponible"/>
    <cfRule type="containsText" dxfId="1" priority="2" operator="containsText" text="Solo"/>
  </conditionalFormatting>
  <dataValidations count="1">
    <dataValidation type="whole" sqref="F15:F44" xr:uid="{00000000-0002-0000-0200-000002000000}">
      <formula1>1</formula1>
      <formula2>100000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200-000000000000}">
          <x14:formula1>
            <xm:f>Listas!$H$2:$H$1000</xm:f>
          </x14:formula1>
          <xm:sqref>B4</xm:sqref>
        </x14:dataValidation>
        <x14:dataValidation type="list" xr:uid="{00000000-0002-0000-0200-000001000000}">
          <x14:formula1>
            <xm:f>Listas!$A$2:$A$1000</xm:f>
          </x14:formula1>
          <xm:sqref>B15:B44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2676B8"/>
  </sheetPr>
  <dimension ref="A2:M37"/>
  <sheetViews>
    <sheetView showGridLines="0" workbookViewId="0">
      <pane ySplit="7" topLeftCell="A8" activePane="bottomLeft" state="frozen"/>
      <selection pane="bottomLeft"/>
    </sheetView>
  </sheetViews>
  <sheetFormatPr defaultRowHeight="14"/>
  <cols>
    <col min="1" max="1" width="7" customWidth="1"/>
    <col min="2" max="2" width="11" customWidth="1"/>
    <col min="3" max="3" width="32" customWidth="1"/>
    <col min="4" max="4" width="13" customWidth="1"/>
    <col min="5" max="12" width="14" customWidth="1"/>
    <col min="13" max="13" width="18" customWidth="1"/>
  </cols>
  <sheetData>
    <row r="2" spans="1:13" ht="20">
      <c r="B2" s="1" t="s">
        <v>65</v>
      </c>
    </row>
    <row r="3" spans="1:1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>
      <c r="A4" s="14" t="s">
        <v>66</v>
      </c>
      <c r="B4" s="16"/>
      <c r="D4" s="50" t="s">
        <v>50</v>
      </c>
      <c r="E4" s="52" t="s">
        <v>50</v>
      </c>
      <c r="G4" s="50" t="s">
        <v>67</v>
      </c>
      <c r="H4" s="52" t="s">
        <v>67</v>
      </c>
      <c r="J4" s="50" t="s">
        <v>42</v>
      </c>
      <c r="K4" s="52" t="s">
        <v>42</v>
      </c>
    </row>
    <row r="5" spans="1:13">
      <c r="D5" s="53" t="s">
        <v>50</v>
      </c>
      <c r="E5" s="55" t="s">
        <v>50</v>
      </c>
      <c r="G5" s="53" t="s">
        <v>67</v>
      </c>
      <c r="H5" s="55" t="s">
        <v>67</v>
      </c>
      <c r="J5" s="53" t="s">
        <v>42</v>
      </c>
      <c r="K5" s="55" t="s">
        <v>42</v>
      </c>
    </row>
    <row r="7" spans="1:13" ht="32" customHeight="1">
      <c r="A7" s="3" t="s">
        <v>59</v>
      </c>
      <c r="B7" s="29" t="s">
        <v>60</v>
      </c>
      <c r="C7" s="29" t="s">
        <v>17</v>
      </c>
      <c r="D7" s="29" t="s">
        <v>61</v>
      </c>
      <c r="E7" s="29" t="s">
        <v>68</v>
      </c>
      <c r="F7" s="29" t="s">
        <v>69</v>
      </c>
      <c r="G7" s="29" t="s">
        <v>70</v>
      </c>
      <c r="H7" s="29" t="s">
        <v>71</v>
      </c>
      <c r="I7" s="29" t="s">
        <v>72</v>
      </c>
      <c r="J7" s="29" t="s">
        <v>73</v>
      </c>
      <c r="K7" s="29" t="s">
        <v>74</v>
      </c>
      <c r="L7" s="29" t="s">
        <v>75</v>
      </c>
      <c r="M7" s="4" t="s">
        <v>64</v>
      </c>
    </row>
    <row r="8" spans="1:13">
      <c r="A8" s="27">
        <v>1</v>
      </c>
      <c r="B8" s="31"/>
      <c r="C8" s="31"/>
      <c r="D8" s="31"/>
      <c r="E8" s="31"/>
      <c r="F8" s="31"/>
      <c r="G8" s="31"/>
      <c r="H8" s="31"/>
      <c r="I8" s="31"/>
      <c r="J8" s="30"/>
      <c r="K8" s="30"/>
      <c r="L8" s="30"/>
      <c r="M8" s="6"/>
    </row>
    <row r="9" spans="1:13">
      <c r="A9" s="39">
        <v>2</v>
      </c>
      <c r="B9" s="34"/>
      <c r="C9" s="34"/>
      <c r="D9" s="34"/>
      <c r="E9" s="34"/>
      <c r="F9" s="34"/>
      <c r="G9" s="34"/>
      <c r="H9" s="34"/>
      <c r="I9" s="34"/>
      <c r="J9" s="33"/>
      <c r="K9" s="33"/>
      <c r="L9" s="33"/>
      <c r="M9" s="8"/>
    </row>
    <row r="10" spans="1:13">
      <c r="A10" s="39">
        <v>3</v>
      </c>
      <c r="B10" s="34"/>
      <c r="C10" s="34"/>
      <c r="D10" s="34"/>
      <c r="E10" s="34"/>
      <c r="F10" s="34"/>
      <c r="G10" s="34"/>
      <c r="H10" s="34"/>
      <c r="I10" s="34"/>
      <c r="J10" s="33"/>
      <c r="K10" s="33"/>
      <c r="L10" s="33"/>
      <c r="M10" s="8"/>
    </row>
    <row r="11" spans="1:13">
      <c r="A11" s="39">
        <v>4</v>
      </c>
      <c r="B11" s="34"/>
      <c r="C11" s="34"/>
      <c r="D11" s="34"/>
      <c r="E11" s="34"/>
      <c r="F11" s="34"/>
      <c r="G11" s="34"/>
      <c r="H11" s="34"/>
      <c r="I11" s="34"/>
      <c r="J11" s="33"/>
      <c r="K11" s="33"/>
      <c r="L11" s="33"/>
      <c r="M11" s="8"/>
    </row>
    <row r="12" spans="1:13">
      <c r="A12" s="39">
        <v>5</v>
      </c>
      <c r="B12" s="34"/>
      <c r="C12" s="34"/>
      <c r="D12" s="34"/>
      <c r="E12" s="34"/>
      <c r="F12" s="34"/>
      <c r="G12" s="34"/>
      <c r="H12" s="34"/>
      <c r="I12" s="34"/>
      <c r="J12" s="33"/>
      <c r="K12" s="33"/>
      <c r="L12" s="33"/>
      <c r="M12" s="8"/>
    </row>
    <row r="13" spans="1:13">
      <c r="A13" s="39">
        <v>6</v>
      </c>
      <c r="B13" s="34"/>
      <c r="C13" s="34"/>
      <c r="D13" s="34"/>
      <c r="E13" s="34"/>
      <c r="F13" s="34"/>
      <c r="G13" s="34"/>
      <c r="H13" s="34"/>
      <c r="I13" s="34"/>
      <c r="J13" s="33"/>
      <c r="K13" s="33"/>
      <c r="L13" s="33"/>
      <c r="M13" s="8"/>
    </row>
    <row r="14" spans="1:13">
      <c r="A14" s="39">
        <v>7</v>
      </c>
      <c r="B14" s="34"/>
      <c r="C14" s="34"/>
      <c r="D14" s="34"/>
      <c r="E14" s="34"/>
      <c r="F14" s="34"/>
      <c r="G14" s="34"/>
      <c r="H14" s="34"/>
      <c r="I14" s="34"/>
      <c r="J14" s="33"/>
      <c r="K14" s="33"/>
      <c r="L14" s="33"/>
      <c r="M14" s="8"/>
    </row>
    <row r="15" spans="1:13">
      <c r="A15" s="39">
        <v>8</v>
      </c>
      <c r="B15" s="34"/>
      <c r="C15" s="34"/>
      <c r="D15" s="34"/>
      <c r="E15" s="34"/>
      <c r="F15" s="34"/>
      <c r="G15" s="34"/>
      <c r="H15" s="34"/>
      <c r="I15" s="34"/>
      <c r="J15" s="33"/>
      <c r="K15" s="33"/>
      <c r="L15" s="33"/>
      <c r="M15" s="8"/>
    </row>
    <row r="16" spans="1:13">
      <c r="A16" s="39">
        <v>9</v>
      </c>
      <c r="B16" s="34"/>
      <c r="C16" s="34"/>
      <c r="D16" s="34"/>
      <c r="E16" s="34"/>
      <c r="F16" s="34"/>
      <c r="G16" s="34"/>
      <c r="H16" s="34"/>
      <c r="I16" s="34"/>
      <c r="J16" s="33"/>
      <c r="K16" s="33"/>
      <c r="L16" s="33"/>
      <c r="M16" s="8"/>
    </row>
    <row r="17" spans="1:13">
      <c r="A17" s="39">
        <v>10</v>
      </c>
      <c r="B17" s="34"/>
      <c r="C17" s="34"/>
      <c r="D17" s="34"/>
      <c r="E17" s="34"/>
      <c r="F17" s="34"/>
      <c r="G17" s="34"/>
      <c r="H17" s="34"/>
      <c r="I17" s="34"/>
      <c r="J17" s="33"/>
      <c r="K17" s="33"/>
      <c r="L17" s="33"/>
      <c r="M17" s="8"/>
    </row>
    <row r="18" spans="1:13">
      <c r="A18" s="39">
        <v>11</v>
      </c>
      <c r="B18" s="34"/>
      <c r="C18" s="34"/>
      <c r="D18" s="34"/>
      <c r="E18" s="34"/>
      <c r="F18" s="34"/>
      <c r="G18" s="34"/>
      <c r="H18" s="34"/>
      <c r="I18" s="34"/>
      <c r="J18" s="33"/>
      <c r="K18" s="33"/>
      <c r="L18" s="33"/>
      <c r="M18" s="8"/>
    </row>
    <row r="19" spans="1:13">
      <c r="A19" s="39">
        <v>12</v>
      </c>
      <c r="B19" s="34"/>
      <c r="C19" s="34"/>
      <c r="D19" s="34"/>
      <c r="E19" s="34"/>
      <c r="F19" s="34"/>
      <c r="G19" s="34"/>
      <c r="H19" s="34"/>
      <c r="I19" s="34"/>
      <c r="J19" s="33"/>
      <c r="K19" s="33"/>
      <c r="L19" s="33"/>
      <c r="M19" s="8"/>
    </row>
    <row r="20" spans="1:13">
      <c r="A20" s="39">
        <v>13</v>
      </c>
      <c r="B20" s="34"/>
      <c r="C20" s="34"/>
      <c r="D20" s="34"/>
      <c r="E20" s="34"/>
      <c r="F20" s="34"/>
      <c r="G20" s="34"/>
      <c r="H20" s="34"/>
      <c r="I20" s="34"/>
      <c r="J20" s="33"/>
      <c r="K20" s="33"/>
      <c r="L20" s="33"/>
      <c r="M20" s="8"/>
    </row>
    <row r="21" spans="1:13">
      <c r="A21" s="39">
        <v>14</v>
      </c>
      <c r="B21" s="34"/>
      <c r="C21" s="34"/>
      <c r="D21" s="34"/>
      <c r="E21" s="34"/>
      <c r="F21" s="34"/>
      <c r="G21" s="34"/>
      <c r="H21" s="34"/>
      <c r="I21" s="34"/>
      <c r="J21" s="33"/>
      <c r="K21" s="33"/>
      <c r="L21" s="33"/>
      <c r="M21" s="8"/>
    </row>
    <row r="22" spans="1:13">
      <c r="A22" s="39">
        <v>15</v>
      </c>
      <c r="B22" s="34"/>
      <c r="C22" s="34"/>
      <c r="D22" s="34"/>
      <c r="E22" s="34"/>
      <c r="F22" s="34"/>
      <c r="G22" s="34"/>
      <c r="H22" s="34"/>
      <c r="I22" s="34"/>
      <c r="J22" s="33"/>
      <c r="K22" s="33"/>
      <c r="L22" s="33"/>
      <c r="M22" s="8"/>
    </row>
    <row r="23" spans="1:13">
      <c r="A23" s="39">
        <v>16</v>
      </c>
      <c r="B23" s="34"/>
      <c r="C23" s="34"/>
      <c r="D23" s="34"/>
      <c r="E23" s="34"/>
      <c r="F23" s="34"/>
      <c r="G23" s="34"/>
      <c r="H23" s="34"/>
      <c r="I23" s="34"/>
      <c r="J23" s="33"/>
      <c r="K23" s="33"/>
      <c r="L23" s="33"/>
      <c r="M23" s="8"/>
    </row>
    <row r="24" spans="1:13">
      <c r="A24" s="39">
        <v>17</v>
      </c>
      <c r="B24" s="34"/>
      <c r="C24" s="34"/>
      <c r="D24" s="34"/>
      <c r="E24" s="34"/>
      <c r="F24" s="34"/>
      <c r="G24" s="34"/>
      <c r="H24" s="34"/>
      <c r="I24" s="34"/>
      <c r="J24" s="33"/>
      <c r="K24" s="33"/>
      <c r="L24" s="33"/>
      <c r="M24" s="8"/>
    </row>
    <row r="25" spans="1:13">
      <c r="A25" s="39">
        <v>18</v>
      </c>
      <c r="B25" s="34"/>
      <c r="C25" s="34"/>
      <c r="D25" s="34"/>
      <c r="E25" s="34"/>
      <c r="F25" s="34"/>
      <c r="G25" s="34"/>
      <c r="H25" s="34"/>
      <c r="I25" s="34"/>
      <c r="J25" s="33"/>
      <c r="K25" s="33"/>
      <c r="L25" s="33"/>
      <c r="M25" s="8"/>
    </row>
    <row r="26" spans="1:13">
      <c r="A26" s="39">
        <v>19</v>
      </c>
      <c r="B26" s="34"/>
      <c r="C26" s="34"/>
      <c r="D26" s="34"/>
      <c r="E26" s="34"/>
      <c r="F26" s="34"/>
      <c r="G26" s="34"/>
      <c r="H26" s="34"/>
      <c r="I26" s="34"/>
      <c r="J26" s="33"/>
      <c r="K26" s="33"/>
      <c r="L26" s="33"/>
      <c r="M26" s="8"/>
    </row>
    <row r="27" spans="1:13">
      <c r="A27" s="39">
        <v>20</v>
      </c>
      <c r="B27" s="34"/>
      <c r="C27" s="34"/>
      <c r="D27" s="34"/>
      <c r="E27" s="34"/>
      <c r="F27" s="34"/>
      <c r="G27" s="34"/>
      <c r="H27" s="34"/>
      <c r="I27" s="34"/>
      <c r="J27" s="33"/>
      <c r="K27" s="33"/>
      <c r="L27" s="33"/>
      <c r="M27" s="8"/>
    </row>
    <row r="28" spans="1:13">
      <c r="A28" s="39">
        <v>21</v>
      </c>
      <c r="B28" s="34"/>
      <c r="C28" s="34"/>
      <c r="D28" s="34"/>
      <c r="E28" s="34"/>
      <c r="F28" s="34"/>
      <c r="G28" s="34"/>
      <c r="H28" s="34"/>
      <c r="I28" s="34"/>
      <c r="J28" s="33"/>
      <c r="K28" s="33"/>
      <c r="L28" s="33"/>
      <c r="M28" s="8"/>
    </row>
    <row r="29" spans="1:13">
      <c r="A29" s="39">
        <v>22</v>
      </c>
      <c r="B29" s="34"/>
      <c r="C29" s="34"/>
      <c r="D29" s="34"/>
      <c r="E29" s="34"/>
      <c r="F29" s="34"/>
      <c r="G29" s="34"/>
      <c r="H29" s="34"/>
      <c r="I29" s="34"/>
      <c r="J29" s="33"/>
      <c r="K29" s="33"/>
      <c r="L29" s="33"/>
      <c r="M29" s="8"/>
    </row>
    <row r="30" spans="1:13">
      <c r="A30" s="39">
        <v>23</v>
      </c>
      <c r="B30" s="34"/>
      <c r="C30" s="34"/>
      <c r="D30" s="34"/>
      <c r="E30" s="34"/>
      <c r="F30" s="34"/>
      <c r="G30" s="34"/>
      <c r="H30" s="34"/>
      <c r="I30" s="34"/>
      <c r="J30" s="33"/>
      <c r="K30" s="33"/>
      <c r="L30" s="33"/>
      <c r="M30" s="8"/>
    </row>
    <row r="31" spans="1:13">
      <c r="A31" s="39">
        <v>24</v>
      </c>
      <c r="B31" s="34"/>
      <c r="C31" s="34"/>
      <c r="D31" s="34"/>
      <c r="E31" s="34"/>
      <c r="F31" s="34"/>
      <c r="G31" s="34"/>
      <c r="H31" s="34"/>
      <c r="I31" s="34"/>
      <c r="J31" s="33"/>
      <c r="K31" s="33"/>
      <c r="L31" s="33"/>
      <c r="M31" s="8"/>
    </row>
    <row r="32" spans="1:13">
      <c r="A32" s="39">
        <v>25</v>
      </c>
      <c r="B32" s="34"/>
      <c r="C32" s="34"/>
      <c r="D32" s="34"/>
      <c r="E32" s="34"/>
      <c r="F32" s="34"/>
      <c r="G32" s="34"/>
      <c r="H32" s="34"/>
      <c r="I32" s="34"/>
      <c r="J32" s="33"/>
      <c r="K32" s="33"/>
      <c r="L32" s="33"/>
      <c r="M32" s="8"/>
    </row>
    <row r="33" spans="1:13">
      <c r="A33" s="39">
        <v>26</v>
      </c>
      <c r="B33" s="34"/>
      <c r="C33" s="34"/>
      <c r="D33" s="34"/>
      <c r="E33" s="34"/>
      <c r="F33" s="34"/>
      <c r="G33" s="34"/>
      <c r="H33" s="34"/>
      <c r="I33" s="34"/>
      <c r="J33" s="33"/>
      <c r="K33" s="33"/>
      <c r="L33" s="33"/>
      <c r="M33" s="8"/>
    </row>
    <row r="34" spans="1:13">
      <c r="A34" s="39">
        <v>27</v>
      </c>
      <c r="B34" s="34"/>
      <c r="C34" s="34"/>
      <c r="D34" s="34"/>
      <c r="E34" s="34"/>
      <c r="F34" s="34"/>
      <c r="G34" s="34"/>
      <c r="H34" s="34"/>
      <c r="I34" s="34"/>
      <c r="J34" s="33"/>
      <c r="K34" s="33"/>
      <c r="L34" s="33"/>
      <c r="M34" s="8"/>
    </row>
    <row r="35" spans="1:13">
      <c r="A35" s="39">
        <v>28</v>
      </c>
      <c r="B35" s="34"/>
      <c r="C35" s="34"/>
      <c r="D35" s="34"/>
      <c r="E35" s="34"/>
      <c r="F35" s="34"/>
      <c r="G35" s="34"/>
      <c r="H35" s="34"/>
      <c r="I35" s="34"/>
      <c r="J35" s="33"/>
      <c r="K35" s="33"/>
      <c r="L35" s="33"/>
      <c r="M35" s="8"/>
    </row>
    <row r="36" spans="1:13">
      <c r="A36" s="39">
        <v>29</v>
      </c>
      <c r="B36" s="34"/>
      <c r="C36" s="34"/>
      <c r="D36" s="34"/>
      <c r="E36" s="34"/>
      <c r="F36" s="34"/>
      <c r="G36" s="34"/>
      <c r="H36" s="34"/>
      <c r="I36" s="34"/>
      <c r="J36" s="33"/>
      <c r="K36" s="33"/>
      <c r="L36" s="33"/>
      <c r="M36" s="8"/>
    </row>
    <row r="37" spans="1:13">
      <c r="A37" s="22">
        <v>30</v>
      </c>
      <c r="B37" s="37"/>
      <c r="C37" s="37"/>
      <c r="D37" s="37"/>
      <c r="E37" s="37"/>
      <c r="F37" s="37"/>
      <c r="G37" s="37"/>
      <c r="H37" s="37"/>
      <c r="I37" s="37"/>
      <c r="J37" s="36"/>
      <c r="K37" s="36"/>
      <c r="L37" s="36"/>
      <c r="M37" s="10"/>
    </row>
  </sheetData>
  <mergeCells count="3">
    <mergeCell ref="D4:E5"/>
    <mergeCell ref="G4:H5"/>
    <mergeCell ref="J4:K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300-000000000000}">
          <x14:formula1>
            <xm:f>Listas!$H$2:$H$1000</xm:f>
          </x14:formula1>
          <xm:sqref>B4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7324D"/>
  </sheetPr>
  <dimension ref="A2:H17"/>
  <sheetViews>
    <sheetView showGridLines="0" workbookViewId="0"/>
  </sheetViews>
  <sheetFormatPr defaultRowHeight="14"/>
  <cols>
    <col min="2" max="8" width="20" customWidth="1"/>
  </cols>
  <sheetData>
    <row r="2" spans="1:8" ht="20">
      <c r="B2" s="1" t="s">
        <v>76</v>
      </c>
    </row>
    <row r="3" spans="1:8">
      <c r="B3" s="2"/>
      <c r="C3" s="2"/>
      <c r="D3" s="2"/>
      <c r="E3" s="2"/>
      <c r="F3" s="2"/>
      <c r="G3" s="2"/>
      <c r="H3" s="2"/>
    </row>
    <row r="4" spans="1:8">
      <c r="A4" s="14" t="s">
        <v>77</v>
      </c>
      <c r="B4" s="40">
        <v>46266</v>
      </c>
      <c r="D4" s="41" t="s">
        <v>78</v>
      </c>
      <c r="E4" s="41" t="s">
        <v>79</v>
      </c>
      <c r="F4" s="41" t="s">
        <v>80</v>
      </c>
      <c r="H4" s="41" t="s">
        <v>81</v>
      </c>
    </row>
    <row r="6" spans="1:8" ht="32" customHeight="1">
      <c r="B6" s="3" t="s">
        <v>82</v>
      </c>
      <c r="C6" s="29" t="s">
        <v>83</v>
      </c>
      <c r="D6" s="29" t="s">
        <v>84</v>
      </c>
      <c r="E6" s="29" t="s">
        <v>85</v>
      </c>
      <c r="F6" s="29" t="s">
        <v>86</v>
      </c>
      <c r="G6" s="29" t="s">
        <v>87</v>
      </c>
      <c r="H6" s="4" t="s">
        <v>88</v>
      </c>
    </row>
    <row r="7" spans="1:8" ht="72" customHeight="1" thickBot="1">
      <c r="B7" s="58">
        <v>31</v>
      </c>
      <c r="C7" s="59">
        <v>1</v>
      </c>
      <c r="D7" s="59">
        <v>2</v>
      </c>
      <c r="E7" s="59">
        <v>3</v>
      </c>
      <c r="F7" s="59">
        <v>4</v>
      </c>
      <c r="G7" s="59">
        <v>5</v>
      </c>
      <c r="H7" s="59">
        <v>6</v>
      </c>
    </row>
    <row r="8" spans="1:8" ht="72" customHeight="1" thickBot="1">
      <c r="B8" s="59">
        <v>7</v>
      </c>
      <c r="C8" s="59">
        <v>8</v>
      </c>
      <c r="D8" s="60">
        <v>9</v>
      </c>
      <c r="E8" s="59">
        <v>10</v>
      </c>
      <c r="F8" s="59">
        <v>11</v>
      </c>
      <c r="G8" s="59">
        <v>12</v>
      </c>
      <c r="H8" s="59">
        <v>13</v>
      </c>
    </row>
    <row r="9" spans="1:8" ht="72" customHeight="1">
      <c r="B9" s="59">
        <v>14</v>
      </c>
      <c r="C9" s="59">
        <v>15</v>
      </c>
      <c r="D9" s="59">
        <v>16</v>
      </c>
      <c r="E9" s="59">
        <v>17</v>
      </c>
      <c r="F9" s="59">
        <v>18</v>
      </c>
      <c r="G9" s="59">
        <v>19</v>
      </c>
      <c r="H9" s="59">
        <v>20</v>
      </c>
    </row>
    <row r="10" spans="1:8" ht="72" customHeight="1">
      <c r="B10" s="59">
        <v>21</v>
      </c>
      <c r="C10" s="59">
        <v>22</v>
      </c>
      <c r="D10" s="59">
        <v>23</v>
      </c>
      <c r="E10" s="59">
        <v>24</v>
      </c>
      <c r="F10" s="59">
        <v>25</v>
      </c>
      <c r="G10" s="59">
        <v>26</v>
      </c>
      <c r="H10" s="59">
        <v>27</v>
      </c>
    </row>
    <row r="11" spans="1:8" ht="72" customHeight="1">
      <c r="B11" s="59">
        <v>28</v>
      </c>
      <c r="C11" s="59">
        <v>29</v>
      </c>
      <c r="D11" s="59">
        <v>30</v>
      </c>
      <c r="E11" s="58">
        <v>1</v>
      </c>
      <c r="F11" s="58">
        <v>2</v>
      </c>
      <c r="G11" s="58">
        <v>3</v>
      </c>
      <c r="H11" s="58">
        <v>4</v>
      </c>
    </row>
    <row r="12" spans="1:8" ht="72" customHeight="1">
      <c r="B12" s="58">
        <v>5</v>
      </c>
      <c r="C12" s="58">
        <v>6</v>
      </c>
      <c r="D12" s="58">
        <v>7</v>
      </c>
      <c r="E12" s="58">
        <v>8</v>
      </c>
      <c r="F12" s="58">
        <v>9</v>
      </c>
      <c r="G12" s="58">
        <v>10</v>
      </c>
      <c r="H12" s="58">
        <v>11</v>
      </c>
    </row>
    <row r="15" spans="1:8">
      <c r="B15" s="57" t="s">
        <v>89</v>
      </c>
      <c r="C15" s="57"/>
      <c r="D15" s="57"/>
      <c r="E15" s="57"/>
      <c r="F15" s="57"/>
      <c r="G15" s="57"/>
      <c r="H15" s="57"/>
    </row>
    <row r="16" spans="1:8">
      <c r="B16" s="57" t="s">
        <v>90</v>
      </c>
      <c r="C16" s="57"/>
      <c r="D16" s="57"/>
      <c r="E16" s="57"/>
      <c r="F16" s="57"/>
      <c r="G16" s="57"/>
      <c r="H16" s="57"/>
    </row>
    <row r="17" spans="2:8">
      <c r="B17" s="57" t="s">
        <v>91</v>
      </c>
      <c r="C17" s="57"/>
      <c r="D17" s="57"/>
      <c r="E17" s="57"/>
      <c r="F17" s="57"/>
      <c r="G17" s="57"/>
      <c r="H17" s="57"/>
    </row>
  </sheetData>
  <mergeCells count="3">
    <mergeCell ref="B15:H15"/>
    <mergeCell ref="B16:H16"/>
    <mergeCell ref="B17:H1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1000"/>
  <sheetViews>
    <sheetView showGridLines="0" workbookViewId="0">
      <pane xSplit="2" ySplit="1" topLeftCell="C2" activePane="bottomRight" state="frozen"/>
      <selection pane="topRight"/>
      <selection pane="bottomLeft"/>
      <selection pane="bottomRight" activeCell="C2" sqref="C2"/>
    </sheetView>
  </sheetViews>
  <sheetFormatPr defaultRowHeight="14"/>
  <cols>
    <col min="1" max="1" width="12" customWidth="1"/>
    <col min="2" max="2" width="36" customWidth="1"/>
    <col min="3" max="5" width="18" customWidth="1"/>
    <col min="6" max="6" width="14" customWidth="1"/>
    <col min="7" max="7" width="45" customWidth="1"/>
    <col min="8" max="11" width="15" customWidth="1"/>
    <col min="12" max="12" width="34" customWidth="1"/>
    <col min="13" max="15" width="20" customWidth="1"/>
    <col min="16" max="19" width="16" customWidth="1"/>
  </cols>
  <sheetData>
    <row r="1" spans="1:19" ht="32" customHeight="1">
      <c r="A1" s="3" t="s">
        <v>92</v>
      </c>
      <c r="B1" s="29" t="s">
        <v>22</v>
      </c>
      <c r="C1" s="29" t="s">
        <v>24</v>
      </c>
      <c r="D1" s="29" t="s">
        <v>25</v>
      </c>
      <c r="E1" s="29" t="s">
        <v>26</v>
      </c>
      <c r="F1" s="29" t="s">
        <v>28</v>
      </c>
      <c r="G1" s="29" t="s">
        <v>93</v>
      </c>
      <c r="H1" s="29" t="s">
        <v>30</v>
      </c>
      <c r="I1" s="29" t="s">
        <v>32</v>
      </c>
      <c r="J1" s="29" t="s">
        <v>33</v>
      </c>
      <c r="K1" s="29" t="s">
        <v>34</v>
      </c>
      <c r="L1" s="29" t="s">
        <v>40</v>
      </c>
      <c r="M1" s="29" t="s">
        <v>37</v>
      </c>
      <c r="N1" s="29" t="s">
        <v>43</v>
      </c>
      <c r="O1" s="29" t="s">
        <v>41</v>
      </c>
      <c r="P1" s="29" t="s">
        <v>94</v>
      </c>
      <c r="Q1" s="29" t="s">
        <v>95</v>
      </c>
      <c r="R1" s="29" t="s">
        <v>96</v>
      </c>
      <c r="S1" s="4" t="s">
        <v>97</v>
      </c>
    </row>
    <row r="2" spans="1:19">
      <c r="A2" s="15" t="s">
        <v>98</v>
      </c>
      <c r="B2" s="15" t="s">
        <v>99</v>
      </c>
      <c r="C2" s="42" t="s">
        <v>100</v>
      </c>
      <c r="D2" s="15" t="s">
        <v>101</v>
      </c>
      <c r="E2" s="42" t="s">
        <v>102</v>
      </c>
      <c r="F2" s="43">
        <v>1</v>
      </c>
      <c r="G2" s="15" t="s">
        <v>103</v>
      </c>
      <c r="H2" s="44">
        <v>1</v>
      </c>
      <c r="I2" s="15" t="s">
        <v>104</v>
      </c>
      <c r="J2" s="15" t="s">
        <v>33</v>
      </c>
      <c r="K2" s="15" t="s">
        <v>35</v>
      </c>
      <c r="L2" s="15" t="s">
        <v>105</v>
      </c>
      <c r="M2" s="15" t="s">
        <v>38</v>
      </c>
      <c r="N2" s="15"/>
      <c r="O2" s="15"/>
      <c r="P2" s="45">
        <f>H2+SUMIFS(Movimientos!$F$2:$F$5000,Movimientos!$D$2:$D$5000,$A2,Movimientos!$C$2:$C$5000,"Ingreso inventario")+SUMIFS(Movimientos!$F$2:$F$5000,Movimientos!$D$2:$D$5000,$A2,Movimientos!$C$2:$C$5000,"Ajuste")-SUMIFS(Movimientos!$F$2:$F$5000,Movimientos!$D$2:$D$5000,$A2,Movimientos!$C$2:$C$5000,"Consumido en evento")-SUMIFS(Movimientos!$F$2:$F$5000,Movimientos!$D$2:$D$5000,$A2,Movimientos!$C$2:$C$5000,"Consumo interno")-SUMIFS(Movimientos!$F$2:$F$5000,Movimientos!$D$2:$D$5000,$A2,Movimientos!$C$2:$C$5000,"Baja")-SUMIFS(Movimientos!$F$2:$F$5000,Movimientos!$D$2:$D$5000,$A2,Movimientos!$C$2:$C$5000,"Baja desde reparación")</f>
        <v>1</v>
      </c>
      <c r="Q2" s="45">
        <f>SUMIFS(Movimientos!$F$2:$F$5000,Movimientos!$D$2:$D$5000,$A2,Movimientos!$C$2:$C$5000,"Salida alquiler")-SUMIFS(Movimientos!$F$2:$F$5000,Movimientos!$D$2:$D$5000,$A2,Movimientos!$C$2:$C$5000,"Retorno alquiler")-SUMIFS(Movimientos!$F$2:$F$5000,Movimientos!$D$2:$D$5000,$A2,Movimientos!$C$2:$C$5000,"Consumido en evento")-SUMIFS(Movimientos!$F$2:$F$5000,Movimientos!$D$2:$D$5000,$A2,Movimientos!$C$2:$C$5000,"A reparación")</f>
        <v>0</v>
      </c>
      <c r="R2" s="45">
        <f>SUMIFS(Movimientos!$F$2:$F$5000,Movimientos!$D$2:$D$5000,$A2,Movimientos!$C$2:$C$5000,"A reparación")-SUMIFS(Movimientos!$F$2:$F$5000,Movimientos!$D$2:$D$5000,$A2,Movimientos!$C$2:$C$5000,"Retorno reparación")-SUMIFS(Movimientos!$F$2:$F$5000,Movimientos!$D$2:$D$5000,$A2,Movimientos!$C$2:$C$5000,"Baja desde reparación")</f>
        <v>0</v>
      </c>
      <c r="S2" s="45">
        <f>P2-Q2-R2</f>
        <v>1</v>
      </c>
    </row>
    <row r="3" spans="1:19">
      <c r="A3" s="15" t="s">
        <v>106</v>
      </c>
      <c r="B3" s="15" t="s">
        <v>107</v>
      </c>
      <c r="C3" s="42" t="s">
        <v>108</v>
      </c>
      <c r="D3" s="15" t="s">
        <v>101</v>
      </c>
      <c r="E3" s="42" t="s">
        <v>109</v>
      </c>
      <c r="F3" s="43">
        <v>1</v>
      </c>
      <c r="G3" s="15" t="s">
        <v>110</v>
      </c>
      <c r="H3" s="44">
        <v>7</v>
      </c>
      <c r="I3" s="15" t="s">
        <v>104</v>
      </c>
      <c r="J3" s="15" t="s">
        <v>33</v>
      </c>
      <c r="K3" s="15" t="s">
        <v>35</v>
      </c>
      <c r="L3" s="15" t="s">
        <v>111</v>
      </c>
      <c r="M3" s="15" t="s">
        <v>38</v>
      </c>
      <c r="N3" s="15"/>
      <c r="O3" s="15"/>
      <c r="P3" s="45">
        <f>H3+SUMIFS(Movimientos!$F$2:$F$5000,Movimientos!$D$2:$D$5000,$A3,Movimientos!$C$2:$C$5000,"Ingreso inventario")+SUMIFS(Movimientos!$F$2:$F$5000,Movimientos!$D$2:$D$5000,$A3,Movimientos!$C$2:$C$5000,"Ajuste")-SUMIFS(Movimientos!$F$2:$F$5000,Movimientos!$D$2:$D$5000,$A3,Movimientos!$C$2:$C$5000,"Consumido en evento")-SUMIFS(Movimientos!$F$2:$F$5000,Movimientos!$D$2:$D$5000,$A3,Movimientos!$C$2:$C$5000,"Consumo interno")-SUMIFS(Movimientos!$F$2:$F$5000,Movimientos!$D$2:$D$5000,$A3,Movimientos!$C$2:$C$5000,"Baja")-SUMIFS(Movimientos!$F$2:$F$5000,Movimientos!$D$2:$D$5000,$A3,Movimientos!$C$2:$C$5000,"Baja desde reparación")</f>
        <v>7</v>
      </c>
      <c r="Q3" s="45">
        <f>SUMIFS(Movimientos!$F$2:$F$5000,Movimientos!$D$2:$D$5000,$A3,Movimientos!$C$2:$C$5000,"Salida alquiler")-SUMIFS(Movimientos!$F$2:$F$5000,Movimientos!$D$2:$D$5000,$A3,Movimientos!$C$2:$C$5000,"Retorno alquiler")-SUMIFS(Movimientos!$F$2:$F$5000,Movimientos!$D$2:$D$5000,$A3,Movimientos!$C$2:$C$5000,"Consumido en evento")-SUMIFS(Movimientos!$F$2:$F$5000,Movimientos!$D$2:$D$5000,$A3,Movimientos!$C$2:$C$5000,"A reparación")</f>
        <v>0</v>
      </c>
      <c r="R3" s="45">
        <f>SUMIFS(Movimientos!$F$2:$F$5000,Movimientos!$D$2:$D$5000,$A3,Movimientos!$C$2:$C$5000,"A reparación")-SUMIFS(Movimientos!$F$2:$F$5000,Movimientos!$D$2:$D$5000,$A3,Movimientos!$C$2:$C$5000,"Retorno reparación")-SUMIFS(Movimientos!$F$2:$F$5000,Movimientos!$D$2:$D$5000,$A3,Movimientos!$C$2:$C$5000,"Baja desde reparación")</f>
        <v>0</v>
      </c>
      <c r="S3" s="45">
        <f>P3-Q3-R3</f>
        <v>7</v>
      </c>
    </row>
    <row r="4" spans="1:19">
      <c r="A4" s="15" t="s">
        <v>112</v>
      </c>
      <c r="B4" s="15" t="s">
        <v>113</v>
      </c>
      <c r="C4" s="42" t="s">
        <v>114</v>
      </c>
      <c r="D4" s="15" t="s">
        <v>101</v>
      </c>
      <c r="E4" s="42" t="s">
        <v>115</v>
      </c>
      <c r="F4" s="43">
        <v>1</v>
      </c>
      <c r="G4" s="15" t="s">
        <v>110</v>
      </c>
      <c r="H4" s="44">
        <v>14</v>
      </c>
      <c r="I4" s="15" t="s">
        <v>104</v>
      </c>
      <c r="J4" s="15" t="s">
        <v>33</v>
      </c>
      <c r="K4" s="15" t="s">
        <v>35</v>
      </c>
      <c r="L4" s="15" t="s">
        <v>116</v>
      </c>
      <c r="M4" s="15" t="s">
        <v>38</v>
      </c>
      <c r="N4" s="15"/>
      <c r="O4" s="15"/>
      <c r="P4" s="45">
        <f>H4+SUMIFS(Movimientos!$F$2:$F$5000,Movimientos!$D$2:$D$5000,$A4,Movimientos!$C$2:$C$5000,"Ingreso inventario")+SUMIFS(Movimientos!$F$2:$F$5000,Movimientos!$D$2:$D$5000,$A4,Movimientos!$C$2:$C$5000,"Ajuste")-SUMIFS(Movimientos!$F$2:$F$5000,Movimientos!$D$2:$D$5000,$A4,Movimientos!$C$2:$C$5000,"Consumido en evento")-SUMIFS(Movimientos!$F$2:$F$5000,Movimientos!$D$2:$D$5000,$A4,Movimientos!$C$2:$C$5000,"Consumo interno")-SUMIFS(Movimientos!$F$2:$F$5000,Movimientos!$D$2:$D$5000,$A4,Movimientos!$C$2:$C$5000,"Baja")-SUMIFS(Movimientos!$F$2:$F$5000,Movimientos!$D$2:$D$5000,$A4,Movimientos!$C$2:$C$5000,"Baja desde reparación")</f>
        <v>14</v>
      </c>
      <c r="Q4" s="45">
        <f>SUMIFS(Movimientos!$F$2:$F$5000,Movimientos!$D$2:$D$5000,$A4,Movimientos!$C$2:$C$5000,"Salida alquiler")-SUMIFS(Movimientos!$F$2:$F$5000,Movimientos!$D$2:$D$5000,$A4,Movimientos!$C$2:$C$5000,"Retorno alquiler")-SUMIFS(Movimientos!$F$2:$F$5000,Movimientos!$D$2:$D$5000,$A4,Movimientos!$C$2:$C$5000,"Consumido en evento")-SUMIFS(Movimientos!$F$2:$F$5000,Movimientos!$D$2:$D$5000,$A4,Movimientos!$C$2:$C$5000,"A reparación")</f>
        <v>0</v>
      </c>
      <c r="R4" s="45">
        <f>SUMIFS(Movimientos!$F$2:$F$5000,Movimientos!$D$2:$D$5000,$A4,Movimientos!$C$2:$C$5000,"A reparación")-SUMIFS(Movimientos!$F$2:$F$5000,Movimientos!$D$2:$D$5000,$A4,Movimientos!$C$2:$C$5000,"Retorno reparación")-SUMIFS(Movimientos!$F$2:$F$5000,Movimientos!$D$2:$D$5000,$A4,Movimientos!$C$2:$C$5000,"Baja desde reparación")</f>
        <v>0</v>
      </c>
      <c r="S4" s="45">
        <f>P4-Q4-R4</f>
        <v>14</v>
      </c>
    </row>
    <row r="5" spans="1:19">
      <c r="A5" s="15" t="s">
        <v>117</v>
      </c>
      <c r="B5" s="15" t="s">
        <v>118</v>
      </c>
      <c r="C5" s="42" t="s">
        <v>119</v>
      </c>
      <c r="D5" s="15" t="s">
        <v>101</v>
      </c>
      <c r="E5" s="42" t="s">
        <v>120</v>
      </c>
      <c r="F5" s="43">
        <v>1</v>
      </c>
      <c r="G5" s="15" t="s">
        <v>121</v>
      </c>
      <c r="H5" s="44">
        <v>14</v>
      </c>
      <c r="I5" s="15" t="s">
        <v>104</v>
      </c>
      <c r="J5" s="15" t="s">
        <v>33</v>
      </c>
      <c r="K5" s="15" t="s">
        <v>35</v>
      </c>
      <c r="L5" s="15" t="s">
        <v>122</v>
      </c>
      <c r="M5" s="15" t="s">
        <v>38</v>
      </c>
      <c r="N5" s="15"/>
      <c r="O5" s="15"/>
      <c r="P5" s="45">
        <f>H5+SUMIFS(Movimientos!$F$2:$F$5000,Movimientos!$D$2:$D$5000,$A5,Movimientos!$C$2:$C$5000,"Ingreso inventario")+SUMIFS(Movimientos!$F$2:$F$5000,Movimientos!$D$2:$D$5000,$A5,Movimientos!$C$2:$C$5000,"Ajuste")-SUMIFS(Movimientos!$F$2:$F$5000,Movimientos!$D$2:$D$5000,$A5,Movimientos!$C$2:$C$5000,"Consumido en evento")-SUMIFS(Movimientos!$F$2:$F$5000,Movimientos!$D$2:$D$5000,$A5,Movimientos!$C$2:$C$5000,"Consumo interno")-SUMIFS(Movimientos!$F$2:$F$5000,Movimientos!$D$2:$D$5000,$A5,Movimientos!$C$2:$C$5000,"Baja")-SUMIFS(Movimientos!$F$2:$F$5000,Movimientos!$D$2:$D$5000,$A5,Movimientos!$C$2:$C$5000,"Baja desde reparación")</f>
        <v>14</v>
      </c>
      <c r="Q5" s="45">
        <f>SUMIFS(Movimientos!$F$2:$F$5000,Movimientos!$D$2:$D$5000,$A5,Movimientos!$C$2:$C$5000,"Salida alquiler")-SUMIFS(Movimientos!$F$2:$F$5000,Movimientos!$D$2:$D$5000,$A5,Movimientos!$C$2:$C$5000,"Retorno alquiler")-SUMIFS(Movimientos!$F$2:$F$5000,Movimientos!$D$2:$D$5000,$A5,Movimientos!$C$2:$C$5000,"Consumido en evento")-SUMIFS(Movimientos!$F$2:$F$5000,Movimientos!$D$2:$D$5000,$A5,Movimientos!$C$2:$C$5000,"A reparación")</f>
        <v>0</v>
      </c>
      <c r="R5" s="45">
        <f>SUMIFS(Movimientos!$F$2:$F$5000,Movimientos!$D$2:$D$5000,$A5,Movimientos!$C$2:$C$5000,"A reparación")-SUMIFS(Movimientos!$F$2:$F$5000,Movimientos!$D$2:$D$5000,$A5,Movimientos!$C$2:$C$5000,"Retorno reparación")-SUMIFS(Movimientos!$F$2:$F$5000,Movimientos!$D$2:$D$5000,$A5,Movimientos!$C$2:$C$5000,"Baja desde reparación")</f>
        <v>0</v>
      </c>
      <c r="S5" s="45">
        <f>P5-Q5-R5</f>
        <v>14</v>
      </c>
    </row>
    <row r="6" spans="1:19">
      <c r="A6" s="15" t="s">
        <v>123</v>
      </c>
      <c r="B6" s="15" t="s">
        <v>124</v>
      </c>
      <c r="C6" s="42" t="s">
        <v>125</v>
      </c>
      <c r="D6" s="15" t="s">
        <v>101</v>
      </c>
      <c r="E6" s="42" t="s">
        <v>126</v>
      </c>
      <c r="F6" s="43">
        <v>1</v>
      </c>
      <c r="G6" s="15" t="s">
        <v>121</v>
      </c>
      <c r="H6" s="44">
        <v>0</v>
      </c>
      <c r="I6" s="15" t="s">
        <v>104</v>
      </c>
      <c r="J6" s="15" t="s">
        <v>33</v>
      </c>
      <c r="K6" s="15" t="s">
        <v>35</v>
      </c>
      <c r="L6" s="15"/>
      <c r="M6" s="15" t="s">
        <v>38</v>
      </c>
      <c r="N6" s="15"/>
      <c r="O6" s="15"/>
      <c r="P6" s="45">
        <f>H6+SUMIFS(Movimientos!$F$2:$F$5000,Movimientos!$D$2:$D$5000,$A6,Movimientos!$C$2:$C$5000,"Ingreso inventario")+SUMIFS(Movimientos!$F$2:$F$5000,Movimientos!$D$2:$D$5000,$A6,Movimientos!$C$2:$C$5000,"Ajuste")-SUMIFS(Movimientos!$F$2:$F$5000,Movimientos!$D$2:$D$5000,$A6,Movimientos!$C$2:$C$5000,"Consumido en evento")-SUMIFS(Movimientos!$F$2:$F$5000,Movimientos!$D$2:$D$5000,$A6,Movimientos!$C$2:$C$5000,"Consumo interno")-SUMIFS(Movimientos!$F$2:$F$5000,Movimientos!$D$2:$D$5000,$A6,Movimientos!$C$2:$C$5000,"Baja")-SUMIFS(Movimientos!$F$2:$F$5000,Movimientos!$D$2:$D$5000,$A6,Movimientos!$C$2:$C$5000,"Baja desde reparación")</f>
        <v>0</v>
      </c>
      <c r="Q6" s="45">
        <f>SUMIFS(Movimientos!$F$2:$F$5000,Movimientos!$D$2:$D$5000,$A6,Movimientos!$C$2:$C$5000,"Salida alquiler")-SUMIFS(Movimientos!$F$2:$F$5000,Movimientos!$D$2:$D$5000,$A6,Movimientos!$C$2:$C$5000,"Retorno alquiler")-SUMIFS(Movimientos!$F$2:$F$5000,Movimientos!$D$2:$D$5000,$A6,Movimientos!$C$2:$C$5000,"Consumido en evento")-SUMIFS(Movimientos!$F$2:$F$5000,Movimientos!$D$2:$D$5000,$A6,Movimientos!$C$2:$C$5000,"A reparación")</f>
        <v>0</v>
      </c>
      <c r="R6" s="45">
        <f>SUMIFS(Movimientos!$F$2:$F$5000,Movimientos!$D$2:$D$5000,$A6,Movimientos!$C$2:$C$5000,"A reparación")-SUMIFS(Movimientos!$F$2:$F$5000,Movimientos!$D$2:$D$5000,$A6,Movimientos!$C$2:$C$5000,"Retorno reparación")-SUMIFS(Movimientos!$F$2:$F$5000,Movimientos!$D$2:$D$5000,$A6,Movimientos!$C$2:$C$5000,"Baja desde reparación")</f>
        <v>0</v>
      </c>
      <c r="S6" s="45">
        <f>P6-Q6-R6</f>
        <v>0</v>
      </c>
    </row>
    <row r="7" spans="1:19">
      <c r="A7" s="15" t="s">
        <v>127</v>
      </c>
      <c r="B7" s="15" t="s">
        <v>128</v>
      </c>
      <c r="C7" s="42" t="s">
        <v>129</v>
      </c>
      <c r="D7" s="15" t="s">
        <v>101</v>
      </c>
      <c r="E7" s="42" t="s">
        <v>130</v>
      </c>
      <c r="F7" s="43">
        <v>1</v>
      </c>
      <c r="G7" s="15" t="s">
        <v>110</v>
      </c>
      <c r="H7" s="44">
        <v>1</v>
      </c>
      <c r="I7" s="15" t="s">
        <v>104</v>
      </c>
      <c r="J7" s="15" t="s">
        <v>33</v>
      </c>
      <c r="K7" s="15" t="s">
        <v>35</v>
      </c>
      <c r="L7" s="15"/>
      <c r="M7" s="15" t="s">
        <v>38</v>
      </c>
      <c r="N7" s="15"/>
      <c r="O7" s="15"/>
      <c r="P7" s="45">
        <f>H7+SUMIFS(Movimientos!$F$2:$F$5000,Movimientos!$D$2:$D$5000,$A7,Movimientos!$C$2:$C$5000,"Ingreso inventario")+SUMIFS(Movimientos!$F$2:$F$5000,Movimientos!$D$2:$D$5000,$A7,Movimientos!$C$2:$C$5000,"Ajuste")-SUMIFS(Movimientos!$F$2:$F$5000,Movimientos!$D$2:$D$5000,$A7,Movimientos!$C$2:$C$5000,"Consumido en evento")-SUMIFS(Movimientos!$F$2:$F$5000,Movimientos!$D$2:$D$5000,$A7,Movimientos!$C$2:$C$5000,"Consumo interno")-SUMIFS(Movimientos!$F$2:$F$5000,Movimientos!$D$2:$D$5000,$A7,Movimientos!$C$2:$C$5000,"Baja")-SUMIFS(Movimientos!$F$2:$F$5000,Movimientos!$D$2:$D$5000,$A7,Movimientos!$C$2:$C$5000,"Baja desde reparación")</f>
        <v>1</v>
      </c>
      <c r="Q7" s="45">
        <f>SUMIFS(Movimientos!$F$2:$F$5000,Movimientos!$D$2:$D$5000,$A7,Movimientos!$C$2:$C$5000,"Salida alquiler")-SUMIFS(Movimientos!$F$2:$F$5000,Movimientos!$D$2:$D$5000,$A7,Movimientos!$C$2:$C$5000,"Retorno alquiler")-SUMIFS(Movimientos!$F$2:$F$5000,Movimientos!$D$2:$D$5000,$A7,Movimientos!$C$2:$C$5000,"Consumido en evento")-SUMIFS(Movimientos!$F$2:$F$5000,Movimientos!$D$2:$D$5000,$A7,Movimientos!$C$2:$C$5000,"A reparación")</f>
        <v>0</v>
      </c>
      <c r="R7" s="45">
        <f>SUMIFS(Movimientos!$F$2:$F$5000,Movimientos!$D$2:$D$5000,$A7,Movimientos!$C$2:$C$5000,"A reparación")-SUMIFS(Movimientos!$F$2:$F$5000,Movimientos!$D$2:$D$5000,$A7,Movimientos!$C$2:$C$5000,"Retorno reparación")-SUMIFS(Movimientos!$F$2:$F$5000,Movimientos!$D$2:$D$5000,$A7,Movimientos!$C$2:$C$5000,"Baja desde reparación")</f>
        <v>0</v>
      </c>
      <c r="S7" s="45">
        <f>P7-Q7-R7</f>
        <v>1</v>
      </c>
    </row>
    <row r="8" spans="1:19">
      <c r="A8" s="15" t="s">
        <v>131</v>
      </c>
      <c r="B8" s="15" t="s">
        <v>132</v>
      </c>
      <c r="C8" s="42" t="s">
        <v>133</v>
      </c>
      <c r="D8" s="15" t="s">
        <v>101</v>
      </c>
      <c r="E8" s="42" t="s">
        <v>134</v>
      </c>
      <c r="F8" s="43">
        <v>1</v>
      </c>
      <c r="G8" s="15" t="s">
        <v>135</v>
      </c>
      <c r="H8" s="44">
        <v>6</v>
      </c>
      <c r="I8" s="15" t="s">
        <v>104</v>
      </c>
      <c r="J8" s="15" t="s">
        <v>33</v>
      </c>
      <c r="K8" s="15" t="s">
        <v>35</v>
      </c>
      <c r="L8" s="15"/>
      <c r="M8" s="15" t="s">
        <v>38</v>
      </c>
      <c r="N8" s="15"/>
      <c r="O8" s="15"/>
      <c r="P8" s="45">
        <f>H8+SUMIFS(Movimientos!$F$2:$F$5000,Movimientos!$D$2:$D$5000,$A8,Movimientos!$C$2:$C$5000,"Ingreso inventario")+SUMIFS(Movimientos!$F$2:$F$5000,Movimientos!$D$2:$D$5000,$A8,Movimientos!$C$2:$C$5000,"Ajuste")-SUMIFS(Movimientos!$F$2:$F$5000,Movimientos!$D$2:$D$5000,$A8,Movimientos!$C$2:$C$5000,"Consumido en evento")-SUMIFS(Movimientos!$F$2:$F$5000,Movimientos!$D$2:$D$5000,$A8,Movimientos!$C$2:$C$5000,"Consumo interno")-SUMIFS(Movimientos!$F$2:$F$5000,Movimientos!$D$2:$D$5000,$A8,Movimientos!$C$2:$C$5000,"Baja")-SUMIFS(Movimientos!$F$2:$F$5000,Movimientos!$D$2:$D$5000,$A8,Movimientos!$C$2:$C$5000,"Baja desde reparación")</f>
        <v>6</v>
      </c>
      <c r="Q8" s="45">
        <f>SUMIFS(Movimientos!$F$2:$F$5000,Movimientos!$D$2:$D$5000,$A8,Movimientos!$C$2:$C$5000,"Salida alquiler")-SUMIFS(Movimientos!$F$2:$F$5000,Movimientos!$D$2:$D$5000,$A8,Movimientos!$C$2:$C$5000,"Retorno alquiler")-SUMIFS(Movimientos!$F$2:$F$5000,Movimientos!$D$2:$D$5000,$A8,Movimientos!$C$2:$C$5000,"Consumido en evento")-SUMIFS(Movimientos!$F$2:$F$5000,Movimientos!$D$2:$D$5000,$A8,Movimientos!$C$2:$C$5000,"A reparación")</f>
        <v>0</v>
      </c>
      <c r="R8" s="45">
        <f>SUMIFS(Movimientos!$F$2:$F$5000,Movimientos!$D$2:$D$5000,$A8,Movimientos!$C$2:$C$5000,"A reparación")-SUMIFS(Movimientos!$F$2:$F$5000,Movimientos!$D$2:$D$5000,$A8,Movimientos!$C$2:$C$5000,"Retorno reparación")-SUMIFS(Movimientos!$F$2:$F$5000,Movimientos!$D$2:$D$5000,$A8,Movimientos!$C$2:$C$5000,"Baja desde reparación")</f>
        <v>0</v>
      </c>
      <c r="S8" s="45">
        <f>P8-Q8-R8</f>
        <v>6</v>
      </c>
    </row>
    <row r="9" spans="1:19">
      <c r="A9" s="15" t="s">
        <v>136</v>
      </c>
      <c r="B9" s="15" t="s">
        <v>137</v>
      </c>
      <c r="C9" s="42" t="s">
        <v>138</v>
      </c>
      <c r="D9" s="15" t="s">
        <v>101</v>
      </c>
      <c r="E9" s="42" t="s">
        <v>139</v>
      </c>
      <c r="F9" s="43">
        <v>1</v>
      </c>
      <c r="G9" s="15" t="s">
        <v>135</v>
      </c>
      <c r="H9" s="44">
        <v>4</v>
      </c>
      <c r="I9" s="15" t="s">
        <v>104</v>
      </c>
      <c r="J9" s="15" t="s">
        <v>33</v>
      </c>
      <c r="K9" s="15" t="s">
        <v>35</v>
      </c>
      <c r="L9" s="15"/>
      <c r="M9" s="15" t="s">
        <v>38</v>
      </c>
      <c r="N9" s="15"/>
      <c r="O9" s="15"/>
      <c r="P9" s="45">
        <f>H9+SUMIFS(Movimientos!$F$2:$F$5000,Movimientos!$D$2:$D$5000,$A9,Movimientos!$C$2:$C$5000,"Ingreso inventario")+SUMIFS(Movimientos!$F$2:$F$5000,Movimientos!$D$2:$D$5000,$A9,Movimientos!$C$2:$C$5000,"Ajuste")-SUMIFS(Movimientos!$F$2:$F$5000,Movimientos!$D$2:$D$5000,$A9,Movimientos!$C$2:$C$5000,"Consumido en evento")-SUMIFS(Movimientos!$F$2:$F$5000,Movimientos!$D$2:$D$5000,$A9,Movimientos!$C$2:$C$5000,"Consumo interno")-SUMIFS(Movimientos!$F$2:$F$5000,Movimientos!$D$2:$D$5000,$A9,Movimientos!$C$2:$C$5000,"Baja")-SUMIFS(Movimientos!$F$2:$F$5000,Movimientos!$D$2:$D$5000,$A9,Movimientos!$C$2:$C$5000,"Baja desde reparación")</f>
        <v>4</v>
      </c>
      <c r="Q9" s="45">
        <f>SUMIFS(Movimientos!$F$2:$F$5000,Movimientos!$D$2:$D$5000,$A9,Movimientos!$C$2:$C$5000,"Salida alquiler")-SUMIFS(Movimientos!$F$2:$F$5000,Movimientos!$D$2:$D$5000,$A9,Movimientos!$C$2:$C$5000,"Retorno alquiler")-SUMIFS(Movimientos!$F$2:$F$5000,Movimientos!$D$2:$D$5000,$A9,Movimientos!$C$2:$C$5000,"Consumido en evento")-SUMIFS(Movimientos!$F$2:$F$5000,Movimientos!$D$2:$D$5000,$A9,Movimientos!$C$2:$C$5000,"A reparación")</f>
        <v>0</v>
      </c>
      <c r="R9" s="45">
        <f>SUMIFS(Movimientos!$F$2:$F$5000,Movimientos!$D$2:$D$5000,$A9,Movimientos!$C$2:$C$5000,"A reparación")-SUMIFS(Movimientos!$F$2:$F$5000,Movimientos!$D$2:$D$5000,$A9,Movimientos!$C$2:$C$5000,"Retorno reparación")-SUMIFS(Movimientos!$F$2:$F$5000,Movimientos!$D$2:$D$5000,$A9,Movimientos!$C$2:$C$5000,"Baja desde reparación")</f>
        <v>0</v>
      </c>
      <c r="S9" s="45">
        <f>P9-Q9-R9</f>
        <v>4</v>
      </c>
    </row>
    <row r="10" spans="1:19">
      <c r="A10" s="15" t="s">
        <v>140</v>
      </c>
      <c r="B10" s="15" t="s">
        <v>141</v>
      </c>
      <c r="C10" s="42" t="s">
        <v>142</v>
      </c>
      <c r="D10" s="15" t="s">
        <v>101</v>
      </c>
      <c r="E10" s="42" t="s">
        <v>143</v>
      </c>
      <c r="F10" s="43">
        <v>1</v>
      </c>
      <c r="G10" s="15" t="s">
        <v>135</v>
      </c>
      <c r="H10" s="44">
        <v>4</v>
      </c>
      <c r="I10" s="15" t="s">
        <v>104</v>
      </c>
      <c r="J10" s="15" t="s">
        <v>33</v>
      </c>
      <c r="K10" s="15" t="s">
        <v>35</v>
      </c>
      <c r="L10" s="15"/>
      <c r="M10" s="15" t="s">
        <v>38</v>
      </c>
      <c r="N10" s="15"/>
      <c r="O10" s="15"/>
      <c r="P10" s="45">
        <f>H10+SUMIFS(Movimientos!$F$2:$F$5000,Movimientos!$D$2:$D$5000,$A10,Movimientos!$C$2:$C$5000,"Ingreso inventario")+SUMIFS(Movimientos!$F$2:$F$5000,Movimientos!$D$2:$D$5000,$A10,Movimientos!$C$2:$C$5000,"Ajuste")-SUMIFS(Movimientos!$F$2:$F$5000,Movimientos!$D$2:$D$5000,$A10,Movimientos!$C$2:$C$5000,"Consumido en evento")-SUMIFS(Movimientos!$F$2:$F$5000,Movimientos!$D$2:$D$5000,$A10,Movimientos!$C$2:$C$5000,"Consumo interno")-SUMIFS(Movimientos!$F$2:$F$5000,Movimientos!$D$2:$D$5000,$A10,Movimientos!$C$2:$C$5000,"Baja")-SUMIFS(Movimientos!$F$2:$F$5000,Movimientos!$D$2:$D$5000,$A10,Movimientos!$C$2:$C$5000,"Baja desde reparación")</f>
        <v>4</v>
      </c>
      <c r="Q10" s="45">
        <f>SUMIFS(Movimientos!$F$2:$F$5000,Movimientos!$D$2:$D$5000,$A10,Movimientos!$C$2:$C$5000,"Salida alquiler")-SUMIFS(Movimientos!$F$2:$F$5000,Movimientos!$D$2:$D$5000,$A10,Movimientos!$C$2:$C$5000,"Retorno alquiler")-SUMIFS(Movimientos!$F$2:$F$5000,Movimientos!$D$2:$D$5000,$A10,Movimientos!$C$2:$C$5000,"Consumido en evento")-SUMIFS(Movimientos!$F$2:$F$5000,Movimientos!$D$2:$D$5000,$A10,Movimientos!$C$2:$C$5000,"A reparación")</f>
        <v>0</v>
      </c>
      <c r="R10" s="45">
        <f>SUMIFS(Movimientos!$F$2:$F$5000,Movimientos!$D$2:$D$5000,$A10,Movimientos!$C$2:$C$5000,"A reparación")-SUMIFS(Movimientos!$F$2:$F$5000,Movimientos!$D$2:$D$5000,$A10,Movimientos!$C$2:$C$5000,"Retorno reparación")-SUMIFS(Movimientos!$F$2:$F$5000,Movimientos!$D$2:$D$5000,$A10,Movimientos!$C$2:$C$5000,"Baja desde reparación")</f>
        <v>0</v>
      </c>
      <c r="S10" s="45">
        <f>P10-Q10-R10</f>
        <v>4</v>
      </c>
    </row>
    <row r="11" spans="1:19">
      <c r="A11" s="15" t="s">
        <v>144</v>
      </c>
      <c r="B11" s="15" t="s">
        <v>145</v>
      </c>
      <c r="C11" s="42" t="s">
        <v>146</v>
      </c>
      <c r="D11" s="15" t="s">
        <v>101</v>
      </c>
      <c r="E11" s="42" t="s">
        <v>147</v>
      </c>
      <c r="F11" s="43">
        <v>1</v>
      </c>
      <c r="G11" s="15" t="s">
        <v>135</v>
      </c>
      <c r="H11" s="44">
        <v>4</v>
      </c>
      <c r="I11" s="15" t="s">
        <v>104</v>
      </c>
      <c r="J11" s="15" t="s">
        <v>33</v>
      </c>
      <c r="K11" s="15" t="s">
        <v>35</v>
      </c>
      <c r="L11" s="15" t="s">
        <v>148</v>
      </c>
      <c r="M11" s="15" t="s">
        <v>38</v>
      </c>
      <c r="N11" s="15"/>
      <c r="O11" s="15"/>
      <c r="P11" s="45">
        <f>H11+SUMIFS(Movimientos!$F$2:$F$5000,Movimientos!$D$2:$D$5000,$A11,Movimientos!$C$2:$C$5000,"Ingreso inventario")+SUMIFS(Movimientos!$F$2:$F$5000,Movimientos!$D$2:$D$5000,$A11,Movimientos!$C$2:$C$5000,"Ajuste")-SUMIFS(Movimientos!$F$2:$F$5000,Movimientos!$D$2:$D$5000,$A11,Movimientos!$C$2:$C$5000,"Consumido en evento")-SUMIFS(Movimientos!$F$2:$F$5000,Movimientos!$D$2:$D$5000,$A11,Movimientos!$C$2:$C$5000,"Consumo interno")-SUMIFS(Movimientos!$F$2:$F$5000,Movimientos!$D$2:$D$5000,$A11,Movimientos!$C$2:$C$5000,"Baja")-SUMIFS(Movimientos!$F$2:$F$5000,Movimientos!$D$2:$D$5000,$A11,Movimientos!$C$2:$C$5000,"Baja desde reparación")</f>
        <v>4</v>
      </c>
      <c r="Q11" s="45">
        <f>SUMIFS(Movimientos!$F$2:$F$5000,Movimientos!$D$2:$D$5000,$A11,Movimientos!$C$2:$C$5000,"Salida alquiler")-SUMIFS(Movimientos!$F$2:$F$5000,Movimientos!$D$2:$D$5000,$A11,Movimientos!$C$2:$C$5000,"Retorno alquiler")-SUMIFS(Movimientos!$F$2:$F$5000,Movimientos!$D$2:$D$5000,$A11,Movimientos!$C$2:$C$5000,"Consumido en evento")-SUMIFS(Movimientos!$F$2:$F$5000,Movimientos!$D$2:$D$5000,$A11,Movimientos!$C$2:$C$5000,"A reparación")</f>
        <v>0</v>
      </c>
      <c r="R11" s="45">
        <f>SUMIFS(Movimientos!$F$2:$F$5000,Movimientos!$D$2:$D$5000,$A11,Movimientos!$C$2:$C$5000,"A reparación")-SUMIFS(Movimientos!$F$2:$F$5000,Movimientos!$D$2:$D$5000,$A11,Movimientos!$C$2:$C$5000,"Retorno reparación")-SUMIFS(Movimientos!$F$2:$F$5000,Movimientos!$D$2:$D$5000,$A11,Movimientos!$C$2:$C$5000,"Baja desde reparación")</f>
        <v>0</v>
      </c>
      <c r="S11" s="45">
        <f>P11-Q11-R11</f>
        <v>4</v>
      </c>
    </row>
    <row r="12" spans="1:19">
      <c r="A12" s="15" t="s">
        <v>149</v>
      </c>
      <c r="B12" s="15" t="s">
        <v>150</v>
      </c>
      <c r="C12" s="42" t="s">
        <v>151</v>
      </c>
      <c r="D12" s="15" t="s">
        <v>101</v>
      </c>
      <c r="E12" s="42" t="s">
        <v>152</v>
      </c>
      <c r="F12" s="43">
        <v>1</v>
      </c>
      <c r="G12" s="15" t="s">
        <v>135</v>
      </c>
      <c r="H12" s="44">
        <v>16</v>
      </c>
      <c r="I12" s="15" t="s">
        <v>104</v>
      </c>
      <c r="J12" s="15" t="s">
        <v>33</v>
      </c>
      <c r="K12" s="15" t="s">
        <v>35</v>
      </c>
      <c r="L12" s="15" t="s">
        <v>153</v>
      </c>
      <c r="M12" s="15" t="s">
        <v>38</v>
      </c>
      <c r="N12" s="15"/>
      <c r="O12" s="15"/>
      <c r="P12" s="45">
        <f>H12+SUMIFS(Movimientos!$F$2:$F$5000,Movimientos!$D$2:$D$5000,$A12,Movimientos!$C$2:$C$5000,"Ingreso inventario")+SUMIFS(Movimientos!$F$2:$F$5000,Movimientos!$D$2:$D$5000,$A12,Movimientos!$C$2:$C$5000,"Ajuste")-SUMIFS(Movimientos!$F$2:$F$5000,Movimientos!$D$2:$D$5000,$A12,Movimientos!$C$2:$C$5000,"Consumido en evento")-SUMIFS(Movimientos!$F$2:$F$5000,Movimientos!$D$2:$D$5000,$A12,Movimientos!$C$2:$C$5000,"Consumo interno")-SUMIFS(Movimientos!$F$2:$F$5000,Movimientos!$D$2:$D$5000,$A12,Movimientos!$C$2:$C$5000,"Baja")-SUMIFS(Movimientos!$F$2:$F$5000,Movimientos!$D$2:$D$5000,$A12,Movimientos!$C$2:$C$5000,"Baja desde reparación")</f>
        <v>16</v>
      </c>
      <c r="Q12" s="45">
        <f>SUMIFS(Movimientos!$F$2:$F$5000,Movimientos!$D$2:$D$5000,$A12,Movimientos!$C$2:$C$5000,"Salida alquiler")-SUMIFS(Movimientos!$F$2:$F$5000,Movimientos!$D$2:$D$5000,$A12,Movimientos!$C$2:$C$5000,"Retorno alquiler")-SUMIFS(Movimientos!$F$2:$F$5000,Movimientos!$D$2:$D$5000,$A12,Movimientos!$C$2:$C$5000,"Consumido en evento")-SUMIFS(Movimientos!$F$2:$F$5000,Movimientos!$D$2:$D$5000,$A12,Movimientos!$C$2:$C$5000,"A reparación")</f>
        <v>0</v>
      </c>
      <c r="R12" s="45">
        <f>SUMIFS(Movimientos!$F$2:$F$5000,Movimientos!$D$2:$D$5000,$A12,Movimientos!$C$2:$C$5000,"A reparación")-SUMIFS(Movimientos!$F$2:$F$5000,Movimientos!$D$2:$D$5000,$A12,Movimientos!$C$2:$C$5000,"Retorno reparación")-SUMIFS(Movimientos!$F$2:$F$5000,Movimientos!$D$2:$D$5000,$A12,Movimientos!$C$2:$C$5000,"Baja desde reparación")</f>
        <v>0</v>
      </c>
      <c r="S12" s="45">
        <f>P12-Q12-R12</f>
        <v>16</v>
      </c>
    </row>
    <row r="13" spans="1:19">
      <c r="A13" s="15" t="s">
        <v>154</v>
      </c>
      <c r="B13" s="15" t="s">
        <v>155</v>
      </c>
      <c r="C13" s="42" t="s">
        <v>156</v>
      </c>
      <c r="D13" s="15" t="s">
        <v>101</v>
      </c>
      <c r="E13" s="42" t="s">
        <v>157</v>
      </c>
      <c r="F13" s="43">
        <v>1</v>
      </c>
      <c r="G13" s="15" t="s">
        <v>158</v>
      </c>
      <c r="H13" s="44">
        <v>1</v>
      </c>
      <c r="I13" s="15" t="s">
        <v>104</v>
      </c>
      <c r="J13" s="15" t="s">
        <v>33</v>
      </c>
      <c r="K13" s="15" t="s">
        <v>35</v>
      </c>
      <c r="L13" s="15"/>
      <c r="M13" s="15" t="s">
        <v>38</v>
      </c>
      <c r="N13" s="15"/>
      <c r="O13" s="15"/>
      <c r="P13" s="45">
        <f>H13+SUMIFS(Movimientos!$F$2:$F$5000,Movimientos!$D$2:$D$5000,$A13,Movimientos!$C$2:$C$5000,"Ingreso inventario")+SUMIFS(Movimientos!$F$2:$F$5000,Movimientos!$D$2:$D$5000,$A13,Movimientos!$C$2:$C$5000,"Ajuste")-SUMIFS(Movimientos!$F$2:$F$5000,Movimientos!$D$2:$D$5000,$A13,Movimientos!$C$2:$C$5000,"Consumido en evento")-SUMIFS(Movimientos!$F$2:$F$5000,Movimientos!$D$2:$D$5000,$A13,Movimientos!$C$2:$C$5000,"Consumo interno")-SUMIFS(Movimientos!$F$2:$F$5000,Movimientos!$D$2:$D$5000,$A13,Movimientos!$C$2:$C$5000,"Baja")-SUMIFS(Movimientos!$F$2:$F$5000,Movimientos!$D$2:$D$5000,$A13,Movimientos!$C$2:$C$5000,"Baja desde reparación")</f>
        <v>1</v>
      </c>
      <c r="Q13" s="45">
        <f>SUMIFS(Movimientos!$F$2:$F$5000,Movimientos!$D$2:$D$5000,$A13,Movimientos!$C$2:$C$5000,"Salida alquiler")-SUMIFS(Movimientos!$F$2:$F$5000,Movimientos!$D$2:$D$5000,$A13,Movimientos!$C$2:$C$5000,"Retorno alquiler")-SUMIFS(Movimientos!$F$2:$F$5000,Movimientos!$D$2:$D$5000,$A13,Movimientos!$C$2:$C$5000,"Consumido en evento")-SUMIFS(Movimientos!$F$2:$F$5000,Movimientos!$D$2:$D$5000,$A13,Movimientos!$C$2:$C$5000,"A reparación")</f>
        <v>0</v>
      </c>
      <c r="R13" s="45">
        <f>SUMIFS(Movimientos!$F$2:$F$5000,Movimientos!$D$2:$D$5000,$A13,Movimientos!$C$2:$C$5000,"A reparación")-SUMIFS(Movimientos!$F$2:$F$5000,Movimientos!$D$2:$D$5000,$A13,Movimientos!$C$2:$C$5000,"Retorno reparación")-SUMIFS(Movimientos!$F$2:$F$5000,Movimientos!$D$2:$D$5000,$A13,Movimientos!$C$2:$C$5000,"Baja desde reparación")</f>
        <v>0</v>
      </c>
      <c r="S13" s="45">
        <f>P13-Q13-R13</f>
        <v>1</v>
      </c>
    </row>
    <row r="14" spans="1:19">
      <c r="A14" s="15" t="s">
        <v>159</v>
      </c>
      <c r="B14" s="15" t="s">
        <v>160</v>
      </c>
      <c r="C14" s="42" t="s">
        <v>161</v>
      </c>
      <c r="D14" s="15" t="s">
        <v>101</v>
      </c>
      <c r="E14" s="42" t="s">
        <v>162</v>
      </c>
      <c r="F14" s="43">
        <v>1</v>
      </c>
      <c r="G14" s="15" t="s">
        <v>163</v>
      </c>
      <c r="H14" s="44">
        <v>36</v>
      </c>
      <c r="I14" s="15" t="s">
        <v>104</v>
      </c>
      <c r="J14" s="15" t="s">
        <v>33</v>
      </c>
      <c r="K14" s="15" t="s">
        <v>35</v>
      </c>
      <c r="L14" s="15"/>
      <c r="M14" s="15" t="s">
        <v>38</v>
      </c>
      <c r="N14" s="15"/>
      <c r="O14" s="15"/>
      <c r="P14" s="45">
        <f>H14+SUMIFS(Movimientos!$F$2:$F$5000,Movimientos!$D$2:$D$5000,$A14,Movimientos!$C$2:$C$5000,"Ingreso inventario")+SUMIFS(Movimientos!$F$2:$F$5000,Movimientos!$D$2:$D$5000,$A14,Movimientos!$C$2:$C$5000,"Ajuste")-SUMIFS(Movimientos!$F$2:$F$5000,Movimientos!$D$2:$D$5000,$A14,Movimientos!$C$2:$C$5000,"Consumido en evento")-SUMIFS(Movimientos!$F$2:$F$5000,Movimientos!$D$2:$D$5000,$A14,Movimientos!$C$2:$C$5000,"Consumo interno")-SUMIFS(Movimientos!$F$2:$F$5000,Movimientos!$D$2:$D$5000,$A14,Movimientos!$C$2:$C$5000,"Baja")-SUMIFS(Movimientos!$F$2:$F$5000,Movimientos!$D$2:$D$5000,$A14,Movimientos!$C$2:$C$5000,"Baja desde reparación")</f>
        <v>36</v>
      </c>
      <c r="Q14" s="45">
        <f>SUMIFS(Movimientos!$F$2:$F$5000,Movimientos!$D$2:$D$5000,$A14,Movimientos!$C$2:$C$5000,"Salida alquiler")-SUMIFS(Movimientos!$F$2:$F$5000,Movimientos!$D$2:$D$5000,$A14,Movimientos!$C$2:$C$5000,"Retorno alquiler")-SUMIFS(Movimientos!$F$2:$F$5000,Movimientos!$D$2:$D$5000,$A14,Movimientos!$C$2:$C$5000,"Consumido en evento")-SUMIFS(Movimientos!$F$2:$F$5000,Movimientos!$D$2:$D$5000,$A14,Movimientos!$C$2:$C$5000,"A reparación")</f>
        <v>0</v>
      </c>
      <c r="R14" s="45">
        <f>SUMIFS(Movimientos!$F$2:$F$5000,Movimientos!$D$2:$D$5000,$A14,Movimientos!$C$2:$C$5000,"A reparación")-SUMIFS(Movimientos!$F$2:$F$5000,Movimientos!$D$2:$D$5000,$A14,Movimientos!$C$2:$C$5000,"Retorno reparación")-SUMIFS(Movimientos!$F$2:$F$5000,Movimientos!$D$2:$D$5000,$A14,Movimientos!$C$2:$C$5000,"Baja desde reparación")</f>
        <v>0</v>
      </c>
      <c r="S14" s="45">
        <f>P14-Q14-R14</f>
        <v>36</v>
      </c>
    </row>
    <row r="15" spans="1:19">
      <c r="A15" s="15" t="s">
        <v>164</v>
      </c>
      <c r="B15" s="15" t="s">
        <v>165</v>
      </c>
      <c r="C15" s="42" t="s">
        <v>166</v>
      </c>
      <c r="D15" s="15" t="s">
        <v>101</v>
      </c>
      <c r="E15" s="42" t="s">
        <v>167</v>
      </c>
      <c r="F15" s="43">
        <v>1</v>
      </c>
      <c r="G15" s="15" t="s">
        <v>168</v>
      </c>
      <c r="H15" s="44">
        <v>16</v>
      </c>
      <c r="I15" s="15" t="s">
        <v>104</v>
      </c>
      <c r="J15" s="15" t="s">
        <v>33</v>
      </c>
      <c r="K15" s="15" t="s">
        <v>35</v>
      </c>
      <c r="L15" s="15" t="s">
        <v>169</v>
      </c>
      <c r="M15" s="15" t="s">
        <v>38</v>
      </c>
      <c r="N15" s="15"/>
      <c r="O15" s="15"/>
      <c r="P15" s="45">
        <f>H15+SUMIFS(Movimientos!$F$2:$F$5000,Movimientos!$D$2:$D$5000,$A15,Movimientos!$C$2:$C$5000,"Ingreso inventario")+SUMIFS(Movimientos!$F$2:$F$5000,Movimientos!$D$2:$D$5000,$A15,Movimientos!$C$2:$C$5000,"Ajuste")-SUMIFS(Movimientos!$F$2:$F$5000,Movimientos!$D$2:$D$5000,$A15,Movimientos!$C$2:$C$5000,"Consumido en evento")-SUMIFS(Movimientos!$F$2:$F$5000,Movimientos!$D$2:$D$5000,$A15,Movimientos!$C$2:$C$5000,"Consumo interno")-SUMIFS(Movimientos!$F$2:$F$5000,Movimientos!$D$2:$D$5000,$A15,Movimientos!$C$2:$C$5000,"Baja")-SUMIFS(Movimientos!$F$2:$F$5000,Movimientos!$D$2:$D$5000,$A15,Movimientos!$C$2:$C$5000,"Baja desde reparación")</f>
        <v>16</v>
      </c>
      <c r="Q15" s="45">
        <f>SUMIFS(Movimientos!$F$2:$F$5000,Movimientos!$D$2:$D$5000,$A15,Movimientos!$C$2:$C$5000,"Salida alquiler")-SUMIFS(Movimientos!$F$2:$F$5000,Movimientos!$D$2:$D$5000,$A15,Movimientos!$C$2:$C$5000,"Retorno alquiler")-SUMIFS(Movimientos!$F$2:$F$5000,Movimientos!$D$2:$D$5000,$A15,Movimientos!$C$2:$C$5000,"Consumido en evento")-SUMIFS(Movimientos!$F$2:$F$5000,Movimientos!$D$2:$D$5000,$A15,Movimientos!$C$2:$C$5000,"A reparación")</f>
        <v>0</v>
      </c>
      <c r="R15" s="45">
        <f>SUMIFS(Movimientos!$F$2:$F$5000,Movimientos!$D$2:$D$5000,$A15,Movimientos!$C$2:$C$5000,"A reparación")-SUMIFS(Movimientos!$F$2:$F$5000,Movimientos!$D$2:$D$5000,$A15,Movimientos!$C$2:$C$5000,"Retorno reparación")-SUMIFS(Movimientos!$F$2:$F$5000,Movimientos!$D$2:$D$5000,$A15,Movimientos!$C$2:$C$5000,"Baja desde reparación")</f>
        <v>0</v>
      </c>
      <c r="S15" s="45">
        <f>P15-Q15-R15</f>
        <v>16</v>
      </c>
    </row>
    <row r="16" spans="1:19">
      <c r="A16" s="15" t="s">
        <v>170</v>
      </c>
      <c r="B16" s="15" t="s">
        <v>171</v>
      </c>
      <c r="C16" s="42" t="s">
        <v>172</v>
      </c>
      <c r="D16" s="15" t="s">
        <v>101</v>
      </c>
      <c r="E16" s="42" t="s">
        <v>173</v>
      </c>
      <c r="F16" s="43">
        <v>1</v>
      </c>
      <c r="G16" s="15" t="s">
        <v>174</v>
      </c>
      <c r="H16" s="44">
        <v>8</v>
      </c>
      <c r="I16" s="15" t="s">
        <v>104</v>
      </c>
      <c r="J16" s="15" t="s">
        <v>33</v>
      </c>
      <c r="K16" s="15" t="s">
        <v>35</v>
      </c>
      <c r="L16" s="15"/>
      <c r="M16" s="15" t="s">
        <v>38</v>
      </c>
      <c r="N16" s="15"/>
      <c r="O16" s="15"/>
      <c r="P16" s="45">
        <f>H16+SUMIFS(Movimientos!$F$2:$F$5000,Movimientos!$D$2:$D$5000,$A16,Movimientos!$C$2:$C$5000,"Ingreso inventario")+SUMIFS(Movimientos!$F$2:$F$5000,Movimientos!$D$2:$D$5000,$A16,Movimientos!$C$2:$C$5000,"Ajuste")-SUMIFS(Movimientos!$F$2:$F$5000,Movimientos!$D$2:$D$5000,$A16,Movimientos!$C$2:$C$5000,"Consumido en evento")-SUMIFS(Movimientos!$F$2:$F$5000,Movimientos!$D$2:$D$5000,$A16,Movimientos!$C$2:$C$5000,"Consumo interno")-SUMIFS(Movimientos!$F$2:$F$5000,Movimientos!$D$2:$D$5000,$A16,Movimientos!$C$2:$C$5000,"Baja")-SUMIFS(Movimientos!$F$2:$F$5000,Movimientos!$D$2:$D$5000,$A16,Movimientos!$C$2:$C$5000,"Baja desde reparación")</f>
        <v>8</v>
      </c>
      <c r="Q16" s="45">
        <f>SUMIFS(Movimientos!$F$2:$F$5000,Movimientos!$D$2:$D$5000,$A16,Movimientos!$C$2:$C$5000,"Salida alquiler")-SUMIFS(Movimientos!$F$2:$F$5000,Movimientos!$D$2:$D$5000,$A16,Movimientos!$C$2:$C$5000,"Retorno alquiler")-SUMIFS(Movimientos!$F$2:$F$5000,Movimientos!$D$2:$D$5000,$A16,Movimientos!$C$2:$C$5000,"Consumido en evento")-SUMIFS(Movimientos!$F$2:$F$5000,Movimientos!$D$2:$D$5000,$A16,Movimientos!$C$2:$C$5000,"A reparación")</f>
        <v>0</v>
      </c>
      <c r="R16" s="45">
        <f>SUMIFS(Movimientos!$F$2:$F$5000,Movimientos!$D$2:$D$5000,$A16,Movimientos!$C$2:$C$5000,"A reparación")-SUMIFS(Movimientos!$F$2:$F$5000,Movimientos!$D$2:$D$5000,$A16,Movimientos!$C$2:$C$5000,"Retorno reparación")-SUMIFS(Movimientos!$F$2:$F$5000,Movimientos!$D$2:$D$5000,$A16,Movimientos!$C$2:$C$5000,"Baja desde reparación")</f>
        <v>0</v>
      </c>
      <c r="S16" s="45">
        <f>P16-Q16-R16</f>
        <v>8</v>
      </c>
    </row>
    <row r="17" spans="1:19">
      <c r="A17" s="15" t="s">
        <v>175</v>
      </c>
      <c r="B17" s="15" t="s">
        <v>176</v>
      </c>
      <c r="C17" s="42" t="s">
        <v>177</v>
      </c>
      <c r="D17" s="15" t="s">
        <v>101</v>
      </c>
      <c r="E17" s="42" t="s">
        <v>178</v>
      </c>
      <c r="F17" s="43">
        <v>1</v>
      </c>
      <c r="G17" s="15" t="s">
        <v>174</v>
      </c>
      <c r="H17" s="44">
        <v>2</v>
      </c>
      <c r="I17" s="15" t="s">
        <v>104</v>
      </c>
      <c r="J17" s="15" t="s">
        <v>33</v>
      </c>
      <c r="K17" s="15" t="s">
        <v>35</v>
      </c>
      <c r="L17" s="15"/>
      <c r="M17" s="15" t="s">
        <v>38</v>
      </c>
      <c r="N17" s="15"/>
      <c r="O17" s="15"/>
      <c r="P17" s="45">
        <f>H17+SUMIFS(Movimientos!$F$2:$F$5000,Movimientos!$D$2:$D$5000,$A17,Movimientos!$C$2:$C$5000,"Ingreso inventario")+SUMIFS(Movimientos!$F$2:$F$5000,Movimientos!$D$2:$D$5000,$A17,Movimientos!$C$2:$C$5000,"Ajuste")-SUMIFS(Movimientos!$F$2:$F$5000,Movimientos!$D$2:$D$5000,$A17,Movimientos!$C$2:$C$5000,"Consumido en evento")-SUMIFS(Movimientos!$F$2:$F$5000,Movimientos!$D$2:$D$5000,$A17,Movimientos!$C$2:$C$5000,"Consumo interno")-SUMIFS(Movimientos!$F$2:$F$5000,Movimientos!$D$2:$D$5000,$A17,Movimientos!$C$2:$C$5000,"Baja")-SUMIFS(Movimientos!$F$2:$F$5000,Movimientos!$D$2:$D$5000,$A17,Movimientos!$C$2:$C$5000,"Baja desde reparación")</f>
        <v>2</v>
      </c>
      <c r="Q17" s="45">
        <f>SUMIFS(Movimientos!$F$2:$F$5000,Movimientos!$D$2:$D$5000,$A17,Movimientos!$C$2:$C$5000,"Salida alquiler")-SUMIFS(Movimientos!$F$2:$F$5000,Movimientos!$D$2:$D$5000,$A17,Movimientos!$C$2:$C$5000,"Retorno alquiler")-SUMIFS(Movimientos!$F$2:$F$5000,Movimientos!$D$2:$D$5000,$A17,Movimientos!$C$2:$C$5000,"Consumido en evento")-SUMIFS(Movimientos!$F$2:$F$5000,Movimientos!$D$2:$D$5000,$A17,Movimientos!$C$2:$C$5000,"A reparación")</f>
        <v>0</v>
      </c>
      <c r="R17" s="45">
        <f>SUMIFS(Movimientos!$F$2:$F$5000,Movimientos!$D$2:$D$5000,$A17,Movimientos!$C$2:$C$5000,"A reparación")-SUMIFS(Movimientos!$F$2:$F$5000,Movimientos!$D$2:$D$5000,$A17,Movimientos!$C$2:$C$5000,"Retorno reparación")-SUMIFS(Movimientos!$F$2:$F$5000,Movimientos!$D$2:$D$5000,$A17,Movimientos!$C$2:$C$5000,"Baja desde reparación")</f>
        <v>0</v>
      </c>
      <c r="S17" s="45">
        <f>P17-Q17-R17</f>
        <v>2</v>
      </c>
    </row>
    <row r="18" spans="1:19">
      <c r="A18" s="15" t="s">
        <v>179</v>
      </c>
      <c r="B18" s="15" t="s">
        <v>180</v>
      </c>
      <c r="C18" s="42" t="s">
        <v>181</v>
      </c>
      <c r="D18" s="15" t="s">
        <v>101</v>
      </c>
      <c r="E18" s="42" t="s">
        <v>182</v>
      </c>
      <c r="F18" s="43">
        <v>1</v>
      </c>
      <c r="G18" s="15" t="s">
        <v>183</v>
      </c>
      <c r="H18" s="44">
        <v>14</v>
      </c>
      <c r="I18" s="15" t="s">
        <v>104</v>
      </c>
      <c r="J18" s="15" t="s">
        <v>33</v>
      </c>
      <c r="K18" s="15" t="s">
        <v>35</v>
      </c>
      <c r="L18" s="15" t="s">
        <v>184</v>
      </c>
      <c r="M18" s="15" t="s">
        <v>38</v>
      </c>
      <c r="N18" s="15"/>
      <c r="O18" s="15"/>
      <c r="P18" s="45">
        <f>H18+SUMIFS(Movimientos!$F$2:$F$5000,Movimientos!$D$2:$D$5000,$A18,Movimientos!$C$2:$C$5000,"Ingreso inventario")+SUMIFS(Movimientos!$F$2:$F$5000,Movimientos!$D$2:$D$5000,$A18,Movimientos!$C$2:$C$5000,"Ajuste")-SUMIFS(Movimientos!$F$2:$F$5000,Movimientos!$D$2:$D$5000,$A18,Movimientos!$C$2:$C$5000,"Consumido en evento")-SUMIFS(Movimientos!$F$2:$F$5000,Movimientos!$D$2:$D$5000,$A18,Movimientos!$C$2:$C$5000,"Consumo interno")-SUMIFS(Movimientos!$F$2:$F$5000,Movimientos!$D$2:$D$5000,$A18,Movimientos!$C$2:$C$5000,"Baja")-SUMIFS(Movimientos!$F$2:$F$5000,Movimientos!$D$2:$D$5000,$A18,Movimientos!$C$2:$C$5000,"Baja desde reparación")</f>
        <v>14</v>
      </c>
      <c r="Q18" s="45">
        <f>SUMIFS(Movimientos!$F$2:$F$5000,Movimientos!$D$2:$D$5000,$A18,Movimientos!$C$2:$C$5000,"Salida alquiler")-SUMIFS(Movimientos!$F$2:$F$5000,Movimientos!$D$2:$D$5000,$A18,Movimientos!$C$2:$C$5000,"Retorno alquiler")-SUMIFS(Movimientos!$F$2:$F$5000,Movimientos!$D$2:$D$5000,$A18,Movimientos!$C$2:$C$5000,"Consumido en evento")-SUMIFS(Movimientos!$F$2:$F$5000,Movimientos!$D$2:$D$5000,$A18,Movimientos!$C$2:$C$5000,"A reparación")</f>
        <v>0</v>
      </c>
      <c r="R18" s="45">
        <f>SUMIFS(Movimientos!$F$2:$F$5000,Movimientos!$D$2:$D$5000,$A18,Movimientos!$C$2:$C$5000,"A reparación")-SUMIFS(Movimientos!$F$2:$F$5000,Movimientos!$D$2:$D$5000,$A18,Movimientos!$C$2:$C$5000,"Retorno reparación")-SUMIFS(Movimientos!$F$2:$F$5000,Movimientos!$D$2:$D$5000,$A18,Movimientos!$C$2:$C$5000,"Baja desde reparación")</f>
        <v>0</v>
      </c>
      <c r="S18" s="45">
        <f>P18-Q18-R18</f>
        <v>14</v>
      </c>
    </row>
    <row r="19" spans="1:19">
      <c r="A19" s="15" t="s">
        <v>185</v>
      </c>
      <c r="B19" s="15" t="s">
        <v>186</v>
      </c>
      <c r="C19" s="42" t="s">
        <v>187</v>
      </c>
      <c r="D19" s="15" t="s">
        <v>101</v>
      </c>
      <c r="E19" s="42" t="s">
        <v>188</v>
      </c>
      <c r="F19" s="43">
        <v>1</v>
      </c>
      <c r="G19" s="15" t="s">
        <v>163</v>
      </c>
      <c r="H19" s="44">
        <v>4</v>
      </c>
      <c r="I19" s="15" t="s">
        <v>104</v>
      </c>
      <c r="J19" s="15" t="s">
        <v>33</v>
      </c>
      <c r="K19" s="15" t="s">
        <v>35</v>
      </c>
      <c r="L19" s="15" t="s">
        <v>189</v>
      </c>
      <c r="M19" s="15" t="s">
        <v>38</v>
      </c>
      <c r="N19" s="15"/>
      <c r="O19" s="15"/>
      <c r="P19" s="45">
        <f>H19+SUMIFS(Movimientos!$F$2:$F$5000,Movimientos!$D$2:$D$5000,$A19,Movimientos!$C$2:$C$5000,"Ingreso inventario")+SUMIFS(Movimientos!$F$2:$F$5000,Movimientos!$D$2:$D$5000,$A19,Movimientos!$C$2:$C$5000,"Ajuste")-SUMIFS(Movimientos!$F$2:$F$5000,Movimientos!$D$2:$D$5000,$A19,Movimientos!$C$2:$C$5000,"Consumido en evento")-SUMIFS(Movimientos!$F$2:$F$5000,Movimientos!$D$2:$D$5000,$A19,Movimientos!$C$2:$C$5000,"Consumo interno")-SUMIFS(Movimientos!$F$2:$F$5000,Movimientos!$D$2:$D$5000,$A19,Movimientos!$C$2:$C$5000,"Baja")-SUMIFS(Movimientos!$F$2:$F$5000,Movimientos!$D$2:$D$5000,$A19,Movimientos!$C$2:$C$5000,"Baja desde reparación")</f>
        <v>4</v>
      </c>
      <c r="Q19" s="45">
        <f>SUMIFS(Movimientos!$F$2:$F$5000,Movimientos!$D$2:$D$5000,$A19,Movimientos!$C$2:$C$5000,"Salida alquiler")-SUMIFS(Movimientos!$F$2:$F$5000,Movimientos!$D$2:$D$5000,$A19,Movimientos!$C$2:$C$5000,"Retorno alquiler")-SUMIFS(Movimientos!$F$2:$F$5000,Movimientos!$D$2:$D$5000,$A19,Movimientos!$C$2:$C$5000,"Consumido en evento")-SUMIFS(Movimientos!$F$2:$F$5000,Movimientos!$D$2:$D$5000,$A19,Movimientos!$C$2:$C$5000,"A reparación")</f>
        <v>0</v>
      </c>
      <c r="R19" s="45">
        <f>SUMIFS(Movimientos!$F$2:$F$5000,Movimientos!$D$2:$D$5000,$A19,Movimientos!$C$2:$C$5000,"A reparación")-SUMIFS(Movimientos!$F$2:$F$5000,Movimientos!$D$2:$D$5000,$A19,Movimientos!$C$2:$C$5000,"Retorno reparación")-SUMIFS(Movimientos!$F$2:$F$5000,Movimientos!$D$2:$D$5000,$A19,Movimientos!$C$2:$C$5000,"Baja desde reparación")</f>
        <v>0</v>
      </c>
      <c r="S19" s="45">
        <f>P19-Q19-R19</f>
        <v>4</v>
      </c>
    </row>
    <row r="20" spans="1:19">
      <c r="A20" s="15" t="s">
        <v>190</v>
      </c>
      <c r="B20" s="15" t="s">
        <v>191</v>
      </c>
      <c r="C20" s="42" t="s">
        <v>192</v>
      </c>
      <c r="D20" s="15" t="s">
        <v>101</v>
      </c>
      <c r="E20" s="42" t="s">
        <v>193</v>
      </c>
      <c r="F20" s="43">
        <v>1</v>
      </c>
      <c r="G20" s="15" t="s">
        <v>194</v>
      </c>
      <c r="H20" s="44">
        <v>12</v>
      </c>
      <c r="I20" s="15" t="s">
        <v>104</v>
      </c>
      <c r="J20" s="15" t="s">
        <v>33</v>
      </c>
      <c r="K20" s="15" t="s">
        <v>35</v>
      </c>
      <c r="L20" s="15"/>
      <c r="M20" s="15" t="s">
        <v>38</v>
      </c>
      <c r="N20" s="15"/>
      <c r="O20" s="15"/>
      <c r="P20" s="45">
        <f>H20+SUMIFS(Movimientos!$F$2:$F$5000,Movimientos!$D$2:$D$5000,$A20,Movimientos!$C$2:$C$5000,"Ingreso inventario")+SUMIFS(Movimientos!$F$2:$F$5000,Movimientos!$D$2:$D$5000,$A20,Movimientos!$C$2:$C$5000,"Ajuste")-SUMIFS(Movimientos!$F$2:$F$5000,Movimientos!$D$2:$D$5000,$A20,Movimientos!$C$2:$C$5000,"Consumido en evento")-SUMIFS(Movimientos!$F$2:$F$5000,Movimientos!$D$2:$D$5000,$A20,Movimientos!$C$2:$C$5000,"Consumo interno")-SUMIFS(Movimientos!$F$2:$F$5000,Movimientos!$D$2:$D$5000,$A20,Movimientos!$C$2:$C$5000,"Baja")-SUMIFS(Movimientos!$F$2:$F$5000,Movimientos!$D$2:$D$5000,$A20,Movimientos!$C$2:$C$5000,"Baja desde reparación")</f>
        <v>12</v>
      </c>
      <c r="Q20" s="45">
        <f>SUMIFS(Movimientos!$F$2:$F$5000,Movimientos!$D$2:$D$5000,$A20,Movimientos!$C$2:$C$5000,"Salida alquiler")-SUMIFS(Movimientos!$F$2:$F$5000,Movimientos!$D$2:$D$5000,$A20,Movimientos!$C$2:$C$5000,"Retorno alquiler")-SUMIFS(Movimientos!$F$2:$F$5000,Movimientos!$D$2:$D$5000,$A20,Movimientos!$C$2:$C$5000,"Consumido en evento")-SUMIFS(Movimientos!$F$2:$F$5000,Movimientos!$D$2:$D$5000,$A20,Movimientos!$C$2:$C$5000,"A reparación")</f>
        <v>0</v>
      </c>
      <c r="R20" s="45">
        <f>SUMIFS(Movimientos!$F$2:$F$5000,Movimientos!$D$2:$D$5000,$A20,Movimientos!$C$2:$C$5000,"A reparación")-SUMIFS(Movimientos!$F$2:$F$5000,Movimientos!$D$2:$D$5000,$A20,Movimientos!$C$2:$C$5000,"Retorno reparación")-SUMIFS(Movimientos!$F$2:$F$5000,Movimientos!$D$2:$D$5000,$A20,Movimientos!$C$2:$C$5000,"Baja desde reparación")</f>
        <v>0</v>
      </c>
      <c r="S20" s="45">
        <f>P20-Q20-R20</f>
        <v>12</v>
      </c>
    </row>
    <row r="21" spans="1:19">
      <c r="A21" s="15" t="s">
        <v>195</v>
      </c>
      <c r="B21" s="15" t="s">
        <v>196</v>
      </c>
      <c r="C21" s="42" t="s">
        <v>197</v>
      </c>
      <c r="D21" s="15" t="s">
        <v>101</v>
      </c>
      <c r="E21" s="42" t="s">
        <v>198</v>
      </c>
      <c r="F21" s="43">
        <v>1</v>
      </c>
      <c r="G21" s="15" t="s">
        <v>163</v>
      </c>
      <c r="H21" s="44">
        <v>6</v>
      </c>
      <c r="I21" s="15" t="s">
        <v>104</v>
      </c>
      <c r="J21" s="15" t="s">
        <v>33</v>
      </c>
      <c r="K21" s="15" t="s">
        <v>35</v>
      </c>
      <c r="L21" s="15" t="s">
        <v>199</v>
      </c>
      <c r="M21" s="15" t="s">
        <v>38</v>
      </c>
      <c r="N21" s="15"/>
      <c r="O21" s="15"/>
      <c r="P21" s="45">
        <f>H21+SUMIFS(Movimientos!$F$2:$F$5000,Movimientos!$D$2:$D$5000,$A21,Movimientos!$C$2:$C$5000,"Ingreso inventario")+SUMIFS(Movimientos!$F$2:$F$5000,Movimientos!$D$2:$D$5000,$A21,Movimientos!$C$2:$C$5000,"Ajuste")-SUMIFS(Movimientos!$F$2:$F$5000,Movimientos!$D$2:$D$5000,$A21,Movimientos!$C$2:$C$5000,"Consumido en evento")-SUMIFS(Movimientos!$F$2:$F$5000,Movimientos!$D$2:$D$5000,$A21,Movimientos!$C$2:$C$5000,"Consumo interno")-SUMIFS(Movimientos!$F$2:$F$5000,Movimientos!$D$2:$D$5000,$A21,Movimientos!$C$2:$C$5000,"Baja")-SUMIFS(Movimientos!$F$2:$F$5000,Movimientos!$D$2:$D$5000,$A21,Movimientos!$C$2:$C$5000,"Baja desde reparación")</f>
        <v>6</v>
      </c>
      <c r="Q21" s="45">
        <f>SUMIFS(Movimientos!$F$2:$F$5000,Movimientos!$D$2:$D$5000,$A21,Movimientos!$C$2:$C$5000,"Salida alquiler")-SUMIFS(Movimientos!$F$2:$F$5000,Movimientos!$D$2:$D$5000,$A21,Movimientos!$C$2:$C$5000,"Retorno alquiler")-SUMIFS(Movimientos!$F$2:$F$5000,Movimientos!$D$2:$D$5000,$A21,Movimientos!$C$2:$C$5000,"Consumido en evento")-SUMIFS(Movimientos!$F$2:$F$5000,Movimientos!$D$2:$D$5000,$A21,Movimientos!$C$2:$C$5000,"A reparación")</f>
        <v>0</v>
      </c>
      <c r="R21" s="45">
        <f>SUMIFS(Movimientos!$F$2:$F$5000,Movimientos!$D$2:$D$5000,$A21,Movimientos!$C$2:$C$5000,"A reparación")-SUMIFS(Movimientos!$F$2:$F$5000,Movimientos!$D$2:$D$5000,$A21,Movimientos!$C$2:$C$5000,"Retorno reparación")-SUMIFS(Movimientos!$F$2:$F$5000,Movimientos!$D$2:$D$5000,$A21,Movimientos!$C$2:$C$5000,"Baja desde reparación")</f>
        <v>0</v>
      </c>
      <c r="S21" s="45">
        <f>P21-Q21-R21</f>
        <v>6</v>
      </c>
    </row>
    <row r="22" spans="1:19">
      <c r="A22" s="15" t="s">
        <v>200</v>
      </c>
      <c r="B22" s="15" t="s">
        <v>201</v>
      </c>
      <c r="C22" s="42" t="s">
        <v>202</v>
      </c>
      <c r="D22" s="15" t="s">
        <v>101</v>
      </c>
      <c r="E22" s="42" t="s">
        <v>203</v>
      </c>
      <c r="F22" s="43">
        <v>1</v>
      </c>
      <c r="G22" s="15" t="s">
        <v>110</v>
      </c>
      <c r="H22" s="44">
        <v>1</v>
      </c>
      <c r="I22" s="15" t="s">
        <v>104</v>
      </c>
      <c r="J22" s="15" t="s">
        <v>33</v>
      </c>
      <c r="K22" s="15" t="s">
        <v>35</v>
      </c>
      <c r="L22" s="15"/>
      <c r="M22" s="15" t="s">
        <v>38</v>
      </c>
      <c r="N22" s="15"/>
      <c r="O22" s="15"/>
      <c r="P22" s="45">
        <f>H22+SUMIFS(Movimientos!$F$2:$F$5000,Movimientos!$D$2:$D$5000,$A22,Movimientos!$C$2:$C$5000,"Ingreso inventario")+SUMIFS(Movimientos!$F$2:$F$5000,Movimientos!$D$2:$D$5000,$A22,Movimientos!$C$2:$C$5000,"Ajuste")-SUMIFS(Movimientos!$F$2:$F$5000,Movimientos!$D$2:$D$5000,$A22,Movimientos!$C$2:$C$5000,"Consumido en evento")-SUMIFS(Movimientos!$F$2:$F$5000,Movimientos!$D$2:$D$5000,$A22,Movimientos!$C$2:$C$5000,"Consumo interno")-SUMIFS(Movimientos!$F$2:$F$5000,Movimientos!$D$2:$D$5000,$A22,Movimientos!$C$2:$C$5000,"Baja")-SUMIFS(Movimientos!$F$2:$F$5000,Movimientos!$D$2:$D$5000,$A22,Movimientos!$C$2:$C$5000,"Baja desde reparación")</f>
        <v>1</v>
      </c>
      <c r="Q22" s="45">
        <f>SUMIFS(Movimientos!$F$2:$F$5000,Movimientos!$D$2:$D$5000,$A22,Movimientos!$C$2:$C$5000,"Salida alquiler")-SUMIFS(Movimientos!$F$2:$F$5000,Movimientos!$D$2:$D$5000,$A22,Movimientos!$C$2:$C$5000,"Retorno alquiler")-SUMIFS(Movimientos!$F$2:$F$5000,Movimientos!$D$2:$D$5000,$A22,Movimientos!$C$2:$C$5000,"Consumido en evento")-SUMIFS(Movimientos!$F$2:$F$5000,Movimientos!$D$2:$D$5000,$A22,Movimientos!$C$2:$C$5000,"A reparación")</f>
        <v>0</v>
      </c>
      <c r="R22" s="45">
        <f>SUMIFS(Movimientos!$F$2:$F$5000,Movimientos!$D$2:$D$5000,$A22,Movimientos!$C$2:$C$5000,"A reparación")-SUMIFS(Movimientos!$F$2:$F$5000,Movimientos!$D$2:$D$5000,$A22,Movimientos!$C$2:$C$5000,"Retorno reparación")-SUMIFS(Movimientos!$F$2:$F$5000,Movimientos!$D$2:$D$5000,$A22,Movimientos!$C$2:$C$5000,"Baja desde reparación")</f>
        <v>0</v>
      </c>
      <c r="S22" s="45">
        <f>P22-Q22-R22</f>
        <v>1</v>
      </c>
    </row>
    <row r="23" spans="1:19">
      <c r="A23" s="15" t="s">
        <v>204</v>
      </c>
      <c r="B23" s="15" t="s">
        <v>205</v>
      </c>
      <c r="C23" s="42" t="s">
        <v>206</v>
      </c>
      <c r="D23" s="15" t="s">
        <v>101</v>
      </c>
      <c r="E23" s="42" t="s">
        <v>207</v>
      </c>
      <c r="F23" s="43">
        <v>1</v>
      </c>
      <c r="G23" s="15" t="s">
        <v>103</v>
      </c>
      <c r="H23" s="44">
        <v>1</v>
      </c>
      <c r="I23" s="15" t="s">
        <v>104</v>
      </c>
      <c r="J23" s="15" t="s">
        <v>33</v>
      </c>
      <c r="K23" s="15" t="s">
        <v>35</v>
      </c>
      <c r="L23" s="15" t="s">
        <v>208</v>
      </c>
      <c r="M23" s="15" t="s">
        <v>38</v>
      </c>
      <c r="N23" s="15"/>
      <c r="O23" s="15"/>
      <c r="P23" s="45">
        <f>H23+SUMIFS(Movimientos!$F$2:$F$5000,Movimientos!$D$2:$D$5000,$A23,Movimientos!$C$2:$C$5000,"Ingreso inventario")+SUMIFS(Movimientos!$F$2:$F$5000,Movimientos!$D$2:$D$5000,$A23,Movimientos!$C$2:$C$5000,"Ajuste")-SUMIFS(Movimientos!$F$2:$F$5000,Movimientos!$D$2:$D$5000,$A23,Movimientos!$C$2:$C$5000,"Consumido en evento")-SUMIFS(Movimientos!$F$2:$F$5000,Movimientos!$D$2:$D$5000,$A23,Movimientos!$C$2:$C$5000,"Consumo interno")-SUMIFS(Movimientos!$F$2:$F$5000,Movimientos!$D$2:$D$5000,$A23,Movimientos!$C$2:$C$5000,"Baja")-SUMIFS(Movimientos!$F$2:$F$5000,Movimientos!$D$2:$D$5000,$A23,Movimientos!$C$2:$C$5000,"Baja desde reparación")</f>
        <v>1</v>
      </c>
      <c r="Q23" s="45">
        <f>SUMIFS(Movimientos!$F$2:$F$5000,Movimientos!$D$2:$D$5000,$A23,Movimientos!$C$2:$C$5000,"Salida alquiler")-SUMIFS(Movimientos!$F$2:$F$5000,Movimientos!$D$2:$D$5000,$A23,Movimientos!$C$2:$C$5000,"Retorno alquiler")-SUMIFS(Movimientos!$F$2:$F$5000,Movimientos!$D$2:$D$5000,$A23,Movimientos!$C$2:$C$5000,"Consumido en evento")-SUMIFS(Movimientos!$F$2:$F$5000,Movimientos!$D$2:$D$5000,$A23,Movimientos!$C$2:$C$5000,"A reparación")</f>
        <v>0</v>
      </c>
      <c r="R23" s="45">
        <f>SUMIFS(Movimientos!$F$2:$F$5000,Movimientos!$D$2:$D$5000,$A23,Movimientos!$C$2:$C$5000,"A reparación")-SUMIFS(Movimientos!$F$2:$F$5000,Movimientos!$D$2:$D$5000,$A23,Movimientos!$C$2:$C$5000,"Retorno reparación")-SUMIFS(Movimientos!$F$2:$F$5000,Movimientos!$D$2:$D$5000,$A23,Movimientos!$C$2:$C$5000,"Baja desde reparación")</f>
        <v>0</v>
      </c>
      <c r="S23" s="45">
        <f>P23-Q23-R23</f>
        <v>1</v>
      </c>
    </row>
    <row r="24" spans="1:19">
      <c r="A24" s="15" t="s">
        <v>209</v>
      </c>
      <c r="B24" s="15" t="s">
        <v>210</v>
      </c>
      <c r="C24" s="42" t="s">
        <v>211</v>
      </c>
      <c r="D24" s="15" t="s">
        <v>101</v>
      </c>
      <c r="E24" s="42" t="s">
        <v>212</v>
      </c>
      <c r="F24" s="43">
        <v>1</v>
      </c>
      <c r="G24" s="15" t="s">
        <v>103</v>
      </c>
      <c r="H24" s="44">
        <v>4</v>
      </c>
      <c r="I24" s="15" t="s">
        <v>104</v>
      </c>
      <c r="J24" s="15" t="s">
        <v>33</v>
      </c>
      <c r="K24" s="15" t="s">
        <v>35</v>
      </c>
      <c r="L24" s="15" t="s">
        <v>213</v>
      </c>
      <c r="M24" s="15" t="s">
        <v>38</v>
      </c>
      <c r="N24" s="15"/>
      <c r="O24" s="15"/>
      <c r="P24" s="45">
        <f>H24+SUMIFS(Movimientos!$F$2:$F$5000,Movimientos!$D$2:$D$5000,$A24,Movimientos!$C$2:$C$5000,"Ingreso inventario")+SUMIFS(Movimientos!$F$2:$F$5000,Movimientos!$D$2:$D$5000,$A24,Movimientos!$C$2:$C$5000,"Ajuste")-SUMIFS(Movimientos!$F$2:$F$5000,Movimientos!$D$2:$D$5000,$A24,Movimientos!$C$2:$C$5000,"Consumido en evento")-SUMIFS(Movimientos!$F$2:$F$5000,Movimientos!$D$2:$D$5000,$A24,Movimientos!$C$2:$C$5000,"Consumo interno")-SUMIFS(Movimientos!$F$2:$F$5000,Movimientos!$D$2:$D$5000,$A24,Movimientos!$C$2:$C$5000,"Baja")-SUMIFS(Movimientos!$F$2:$F$5000,Movimientos!$D$2:$D$5000,$A24,Movimientos!$C$2:$C$5000,"Baja desde reparación")</f>
        <v>4</v>
      </c>
      <c r="Q24" s="45">
        <f>SUMIFS(Movimientos!$F$2:$F$5000,Movimientos!$D$2:$D$5000,$A24,Movimientos!$C$2:$C$5000,"Salida alquiler")-SUMIFS(Movimientos!$F$2:$F$5000,Movimientos!$D$2:$D$5000,$A24,Movimientos!$C$2:$C$5000,"Retorno alquiler")-SUMIFS(Movimientos!$F$2:$F$5000,Movimientos!$D$2:$D$5000,$A24,Movimientos!$C$2:$C$5000,"Consumido en evento")-SUMIFS(Movimientos!$F$2:$F$5000,Movimientos!$D$2:$D$5000,$A24,Movimientos!$C$2:$C$5000,"A reparación")</f>
        <v>0</v>
      </c>
      <c r="R24" s="45">
        <f>SUMIFS(Movimientos!$F$2:$F$5000,Movimientos!$D$2:$D$5000,$A24,Movimientos!$C$2:$C$5000,"A reparación")-SUMIFS(Movimientos!$F$2:$F$5000,Movimientos!$D$2:$D$5000,$A24,Movimientos!$C$2:$C$5000,"Retorno reparación")-SUMIFS(Movimientos!$F$2:$F$5000,Movimientos!$D$2:$D$5000,$A24,Movimientos!$C$2:$C$5000,"Baja desde reparación")</f>
        <v>0</v>
      </c>
      <c r="S24" s="45">
        <f>P24-Q24-R24</f>
        <v>4</v>
      </c>
    </row>
    <row r="25" spans="1:19">
      <c r="A25" s="15" t="s">
        <v>214</v>
      </c>
      <c r="B25" s="15" t="s">
        <v>215</v>
      </c>
      <c r="C25" s="42" t="s">
        <v>216</v>
      </c>
      <c r="D25" s="15" t="s">
        <v>101</v>
      </c>
      <c r="E25" s="42" t="s">
        <v>217</v>
      </c>
      <c r="F25" s="43">
        <v>1</v>
      </c>
      <c r="G25" s="15" t="s">
        <v>103</v>
      </c>
      <c r="H25" s="44">
        <v>4</v>
      </c>
      <c r="I25" s="15" t="s">
        <v>104</v>
      </c>
      <c r="J25" s="15" t="s">
        <v>33</v>
      </c>
      <c r="K25" s="15" t="s">
        <v>35</v>
      </c>
      <c r="L25" s="15" t="s">
        <v>218</v>
      </c>
      <c r="M25" s="15" t="s">
        <v>38</v>
      </c>
      <c r="N25" s="15"/>
      <c r="O25" s="15"/>
      <c r="P25" s="45">
        <f>H25+SUMIFS(Movimientos!$F$2:$F$5000,Movimientos!$D$2:$D$5000,$A25,Movimientos!$C$2:$C$5000,"Ingreso inventario")+SUMIFS(Movimientos!$F$2:$F$5000,Movimientos!$D$2:$D$5000,$A25,Movimientos!$C$2:$C$5000,"Ajuste")-SUMIFS(Movimientos!$F$2:$F$5000,Movimientos!$D$2:$D$5000,$A25,Movimientos!$C$2:$C$5000,"Consumido en evento")-SUMIFS(Movimientos!$F$2:$F$5000,Movimientos!$D$2:$D$5000,$A25,Movimientos!$C$2:$C$5000,"Consumo interno")-SUMIFS(Movimientos!$F$2:$F$5000,Movimientos!$D$2:$D$5000,$A25,Movimientos!$C$2:$C$5000,"Baja")-SUMIFS(Movimientos!$F$2:$F$5000,Movimientos!$D$2:$D$5000,$A25,Movimientos!$C$2:$C$5000,"Baja desde reparación")</f>
        <v>4</v>
      </c>
      <c r="Q25" s="45">
        <f>SUMIFS(Movimientos!$F$2:$F$5000,Movimientos!$D$2:$D$5000,$A25,Movimientos!$C$2:$C$5000,"Salida alquiler")-SUMIFS(Movimientos!$F$2:$F$5000,Movimientos!$D$2:$D$5000,$A25,Movimientos!$C$2:$C$5000,"Retorno alquiler")-SUMIFS(Movimientos!$F$2:$F$5000,Movimientos!$D$2:$D$5000,$A25,Movimientos!$C$2:$C$5000,"Consumido en evento")-SUMIFS(Movimientos!$F$2:$F$5000,Movimientos!$D$2:$D$5000,$A25,Movimientos!$C$2:$C$5000,"A reparación")</f>
        <v>0</v>
      </c>
      <c r="R25" s="45">
        <f>SUMIFS(Movimientos!$F$2:$F$5000,Movimientos!$D$2:$D$5000,$A25,Movimientos!$C$2:$C$5000,"A reparación")-SUMIFS(Movimientos!$F$2:$F$5000,Movimientos!$D$2:$D$5000,$A25,Movimientos!$C$2:$C$5000,"Retorno reparación")-SUMIFS(Movimientos!$F$2:$F$5000,Movimientos!$D$2:$D$5000,$A25,Movimientos!$C$2:$C$5000,"Baja desde reparación")</f>
        <v>0</v>
      </c>
      <c r="S25" s="45">
        <f>P25-Q25-R25</f>
        <v>4</v>
      </c>
    </row>
    <row r="26" spans="1:19">
      <c r="A26" s="15" t="s">
        <v>219</v>
      </c>
      <c r="B26" s="15" t="s">
        <v>220</v>
      </c>
      <c r="C26" s="42" t="s">
        <v>221</v>
      </c>
      <c r="D26" s="15" t="s">
        <v>101</v>
      </c>
      <c r="E26" s="42" t="s">
        <v>222</v>
      </c>
      <c r="F26" s="43">
        <v>1</v>
      </c>
      <c r="G26" s="15" t="s">
        <v>223</v>
      </c>
      <c r="H26" s="44">
        <v>4</v>
      </c>
      <c r="I26" s="15" t="s">
        <v>104</v>
      </c>
      <c r="J26" s="15" t="s">
        <v>33</v>
      </c>
      <c r="K26" s="15" t="s">
        <v>35</v>
      </c>
      <c r="L26" s="15"/>
      <c r="M26" s="15" t="s">
        <v>38</v>
      </c>
      <c r="N26" s="15"/>
      <c r="O26" s="15"/>
      <c r="P26" s="45">
        <f>H26+SUMIFS(Movimientos!$F$2:$F$5000,Movimientos!$D$2:$D$5000,$A26,Movimientos!$C$2:$C$5000,"Ingreso inventario")+SUMIFS(Movimientos!$F$2:$F$5000,Movimientos!$D$2:$D$5000,$A26,Movimientos!$C$2:$C$5000,"Ajuste")-SUMIFS(Movimientos!$F$2:$F$5000,Movimientos!$D$2:$D$5000,$A26,Movimientos!$C$2:$C$5000,"Consumido en evento")-SUMIFS(Movimientos!$F$2:$F$5000,Movimientos!$D$2:$D$5000,$A26,Movimientos!$C$2:$C$5000,"Consumo interno")-SUMIFS(Movimientos!$F$2:$F$5000,Movimientos!$D$2:$D$5000,$A26,Movimientos!$C$2:$C$5000,"Baja")-SUMIFS(Movimientos!$F$2:$F$5000,Movimientos!$D$2:$D$5000,$A26,Movimientos!$C$2:$C$5000,"Baja desde reparación")</f>
        <v>4</v>
      </c>
      <c r="Q26" s="45">
        <f>SUMIFS(Movimientos!$F$2:$F$5000,Movimientos!$D$2:$D$5000,$A26,Movimientos!$C$2:$C$5000,"Salida alquiler")-SUMIFS(Movimientos!$F$2:$F$5000,Movimientos!$D$2:$D$5000,$A26,Movimientos!$C$2:$C$5000,"Retorno alquiler")-SUMIFS(Movimientos!$F$2:$F$5000,Movimientos!$D$2:$D$5000,$A26,Movimientos!$C$2:$C$5000,"Consumido en evento")-SUMIFS(Movimientos!$F$2:$F$5000,Movimientos!$D$2:$D$5000,$A26,Movimientos!$C$2:$C$5000,"A reparación")</f>
        <v>0</v>
      </c>
      <c r="R26" s="45">
        <f>SUMIFS(Movimientos!$F$2:$F$5000,Movimientos!$D$2:$D$5000,$A26,Movimientos!$C$2:$C$5000,"A reparación")-SUMIFS(Movimientos!$F$2:$F$5000,Movimientos!$D$2:$D$5000,$A26,Movimientos!$C$2:$C$5000,"Retorno reparación")-SUMIFS(Movimientos!$F$2:$F$5000,Movimientos!$D$2:$D$5000,$A26,Movimientos!$C$2:$C$5000,"Baja desde reparación")</f>
        <v>0</v>
      </c>
      <c r="S26" s="45">
        <f>P26-Q26-R26</f>
        <v>4</v>
      </c>
    </row>
    <row r="27" spans="1:19">
      <c r="A27" s="15" t="s">
        <v>224</v>
      </c>
      <c r="B27" s="15" t="s">
        <v>225</v>
      </c>
      <c r="C27" s="42"/>
      <c r="D27" s="15" t="s">
        <v>101</v>
      </c>
      <c r="E27" s="42"/>
      <c r="F27" s="43">
        <v>1</v>
      </c>
      <c r="G27" s="15" t="s">
        <v>226</v>
      </c>
      <c r="H27" s="44">
        <v>72</v>
      </c>
      <c r="I27" s="15" t="s">
        <v>104</v>
      </c>
      <c r="J27" s="15" t="s">
        <v>33</v>
      </c>
      <c r="K27" s="15" t="s">
        <v>35</v>
      </c>
      <c r="L27" s="15"/>
      <c r="M27" s="15" t="s">
        <v>38</v>
      </c>
      <c r="N27" s="15"/>
      <c r="O27" s="15"/>
      <c r="P27" s="45">
        <f>H27+SUMIFS(Movimientos!$F$2:$F$5000,Movimientos!$D$2:$D$5000,$A27,Movimientos!$C$2:$C$5000,"Ingreso inventario")+SUMIFS(Movimientos!$F$2:$F$5000,Movimientos!$D$2:$D$5000,$A27,Movimientos!$C$2:$C$5000,"Ajuste")-SUMIFS(Movimientos!$F$2:$F$5000,Movimientos!$D$2:$D$5000,$A27,Movimientos!$C$2:$C$5000,"Consumido en evento")-SUMIFS(Movimientos!$F$2:$F$5000,Movimientos!$D$2:$D$5000,$A27,Movimientos!$C$2:$C$5000,"Consumo interno")-SUMIFS(Movimientos!$F$2:$F$5000,Movimientos!$D$2:$D$5000,$A27,Movimientos!$C$2:$C$5000,"Baja")-SUMIFS(Movimientos!$F$2:$F$5000,Movimientos!$D$2:$D$5000,$A27,Movimientos!$C$2:$C$5000,"Baja desde reparación")</f>
        <v>72</v>
      </c>
      <c r="Q27" s="45">
        <f>SUMIFS(Movimientos!$F$2:$F$5000,Movimientos!$D$2:$D$5000,$A27,Movimientos!$C$2:$C$5000,"Salida alquiler")-SUMIFS(Movimientos!$F$2:$F$5000,Movimientos!$D$2:$D$5000,$A27,Movimientos!$C$2:$C$5000,"Retorno alquiler")-SUMIFS(Movimientos!$F$2:$F$5000,Movimientos!$D$2:$D$5000,$A27,Movimientos!$C$2:$C$5000,"Consumido en evento")-SUMIFS(Movimientos!$F$2:$F$5000,Movimientos!$D$2:$D$5000,$A27,Movimientos!$C$2:$C$5000,"A reparación")</f>
        <v>0</v>
      </c>
      <c r="R27" s="45">
        <f>SUMIFS(Movimientos!$F$2:$F$5000,Movimientos!$D$2:$D$5000,$A27,Movimientos!$C$2:$C$5000,"A reparación")-SUMIFS(Movimientos!$F$2:$F$5000,Movimientos!$D$2:$D$5000,$A27,Movimientos!$C$2:$C$5000,"Retorno reparación")-SUMIFS(Movimientos!$F$2:$F$5000,Movimientos!$D$2:$D$5000,$A27,Movimientos!$C$2:$C$5000,"Baja desde reparación")</f>
        <v>0</v>
      </c>
      <c r="S27" s="45">
        <f>P27-Q27-R27</f>
        <v>72</v>
      </c>
    </row>
    <row r="28" spans="1:19">
      <c r="A28" s="15" t="s">
        <v>227</v>
      </c>
      <c r="B28" s="15" t="s">
        <v>228</v>
      </c>
      <c r="C28" s="42" t="s">
        <v>229</v>
      </c>
      <c r="D28" s="15" t="s">
        <v>101</v>
      </c>
      <c r="E28" s="42" t="s">
        <v>230</v>
      </c>
      <c r="F28" s="43">
        <v>1</v>
      </c>
      <c r="G28" s="15" t="s">
        <v>168</v>
      </c>
      <c r="H28" s="44">
        <v>4</v>
      </c>
      <c r="I28" s="15" t="s">
        <v>104</v>
      </c>
      <c r="J28" s="15" t="s">
        <v>33</v>
      </c>
      <c r="K28" s="15" t="s">
        <v>35</v>
      </c>
      <c r="L28" s="15" t="s">
        <v>231</v>
      </c>
      <c r="M28" s="15" t="s">
        <v>38</v>
      </c>
      <c r="N28" s="15"/>
      <c r="O28" s="15"/>
      <c r="P28" s="45">
        <f>H28+SUMIFS(Movimientos!$F$2:$F$5000,Movimientos!$D$2:$D$5000,$A28,Movimientos!$C$2:$C$5000,"Ingreso inventario")+SUMIFS(Movimientos!$F$2:$F$5000,Movimientos!$D$2:$D$5000,$A28,Movimientos!$C$2:$C$5000,"Ajuste")-SUMIFS(Movimientos!$F$2:$F$5000,Movimientos!$D$2:$D$5000,$A28,Movimientos!$C$2:$C$5000,"Consumido en evento")-SUMIFS(Movimientos!$F$2:$F$5000,Movimientos!$D$2:$D$5000,$A28,Movimientos!$C$2:$C$5000,"Consumo interno")-SUMIFS(Movimientos!$F$2:$F$5000,Movimientos!$D$2:$D$5000,$A28,Movimientos!$C$2:$C$5000,"Baja")-SUMIFS(Movimientos!$F$2:$F$5000,Movimientos!$D$2:$D$5000,$A28,Movimientos!$C$2:$C$5000,"Baja desde reparación")</f>
        <v>4</v>
      </c>
      <c r="Q28" s="45">
        <f>SUMIFS(Movimientos!$F$2:$F$5000,Movimientos!$D$2:$D$5000,$A28,Movimientos!$C$2:$C$5000,"Salida alquiler")-SUMIFS(Movimientos!$F$2:$F$5000,Movimientos!$D$2:$D$5000,$A28,Movimientos!$C$2:$C$5000,"Retorno alquiler")-SUMIFS(Movimientos!$F$2:$F$5000,Movimientos!$D$2:$D$5000,$A28,Movimientos!$C$2:$C$5000,"Consumido en evento")-SUMIFS(Movimientos!$F$2:$F$5000,Movimientos!$D$2:$D$5000,$A28,Movimientos!$C$2:$C$5000,"A reparación")</f>
        <v>0</v>
      </c>
      <c r="R28" s="45">
        <f>SUMIFS(Movimientos!$F$2:$F$5000,Movimientos!$D$2:$D$5000,$A28,Movimientos!$C$2:$C$5000,"A reparación")-SUMIFS(Movimientos!$F$2:$F$5000,Movimientos!$D$2:$D$5000,$A28,Movimientos!$C$2:$C$5000,"Retorno reparación")-SUMIFS(Movimientos!$F$2:$F$5000,Movimientos!$D$2:$D$5000,$A28,Movimientos!$C$2:$C$5000,"Baja desde reparación")</f>
        <v>0</v>
      </c>
      <c r="S28" s="45">
        <f>P28-Q28-R28</f>
        <v>4</v>
      </c>
    </row>
    <row r="29" spans="1:19">
      <c r="A29" s="15" t="s">
        <v>232</v>
      </c>
      <c r="B29" s="15" t="s">
        <v>233</v>
      </c>
      <c r="C29" s="42" t="s">
        <v>234</v>
      </c>
      <c r="D29" s="15" t="s">
        <v>101</v>
      </c>
      <c r="E29" s="42" t="s">
        <v>235</v>
      </c>
      <c r="F29" s="43">
        <v>1</v>
      </c>
      <c r="G29" s="15" t="s">
        <v>168</v>
      </c>
      <c r="H29" s="44">
        <v>20</v>
      </c>
      <c r="I29" s="15" t="s">
        <v>104</v>
      </c>
      <c r="J29" s="15" t="s">
        <v>33</v>
      </c>
      <c r="K29" s="15" t="s">
        <v>35</v>
      </c>
      <c r="L29" s="15" t="s">
        <v>236</v>
      </c>
      <c r="M29" s="15" t="s">
        <v>38</v>
      </c>
      <c r="N29" s="15"/>
      <c r="O29" s="15"/>
      <c r="P29" s="45">
        <f>H29+SUMIFS(Movimientos!$F$2:$F$5000,Movimientos!$D$2:$D$5000,$A29,Movimientos!$C$2:$C$5000,"Ingreso inventario")+SUMIFS(Movimientos!$F$2:$F$5000,Movimientos!$D$2:$D$5000,$A29,Movimientos!$C$2:$C$5000,"Ajuste")-SUMIFS(Movimientos!$F$2:$F$5000,Movimientos!$D$2:$D$5000,$A29,Movimientos!$C$2:$C$5000,"Consumido en evento")-SUMIFS(Movimientos!$F$2:$F$5000,Movimientos!$D$2:$D$5000,$A29,Movimientos!$C$2:$C$5000,"Consumo interno")-SUMIFS(Movimientos!$F$2:$F$5000,Movimientos!$D$2:$D$5000,$A29,Movimientos!$C$2:$C$5000,"Baja")-SUMIFS(Movimientos!$F$2:$F$5000,Movimientos!$D$2:$D$5000,$A29,Movimientos!$C$2:$C$5000,"Baja desde reparación")</f>
        <v>20</v>
      </c>
      <c r="Q29" s="45">
        <f>SUMIFS(Movimientos!$F$2:$F$5000,Movimientos!$D$2:$D$5000,$A29,Movimientos!$C$2:$C$5000,"Salida alquiler")-SUMIFS(Movimientos!$F$2:$F$5000,Movimientos!$D$2:$D$5000,$A29,Movimientos!$C$2:$C$5000,"Retorno alquiler")-SUMIFS(Movimientos!$F$2:$F$5000,Movimientos!$D$2:$D$5000,$A29,Movimientos!$C$2:$C$5000,"Consumido en evento")-SUMIFS(Movimientos!$F$2:$F$5000,Movimientos!$D$2:$D$5000,$A29,Movimientos!$C$2:$C$5000,"A reparación")</f>
        <v>0</v>
      </c>
      <c r="R29" s="45">
        <f>SUMIFS(Movimientos!$F$2:$F$5000,Movimientos!$D$2:$D$5000,$A29,Movimientos!$C$2:$C$5000,"A reparación")-SUMIFS(Movimientos!$F$2:$F$5000,Movimientos!$D$2:$D$5000,$A29,Movimientos!$C$2:$C$5000,"Retorno reparación")-SUMIFS(Movimientos!$F$2:$F$5000,Movimientos!$D$2:$D$5000,$A29,Movimientos!$C$2:$C$5000,"Baja desde reparación")</f>
        <v>0</v>
      </c>
      <c r="S29" s="45">
        <f>P29-Q29-R29</f>
        <v>20</v>
      </c>
    </row>
    <row r="30" spans="1:19">
      <c r="A30" s="15" t="s">
        <v>237</v>
      </c>
      <c r="B30" s="15" t="s">
        <v>238</v>
      </c>
      <c r="C30" s="42" t="s">
        <v>239</v>
      </c>
      <c r="D30" s="15" t="s">
        <v>101</v>
      </c>
      <c r="E30" s="42" t="s">
        <v>240</v>
      </c>
      <c r="F30" s="43">
        <v>1</v>
      </c>
      <c r="G30" s="15" t="s">
        <v>241</v>
      </c>
      <c r="H30" s="44">
        <v>1</v>
      </c>
      <c r="I30" s="15" t="s">
        <v>104</v>
      </c>
      <c r="J30" s="15" t="s">
        <v>33</v>
      </c>
      <c r="K30" s="15" t="s">
        <v>35</v>
      </c>
      <c r="L30" s="15"/>
      <c r="M30" s="15" t="s">
        <v>38</v>
      </c>
      <c r="N30" s="15"/>
      <c r="O30" s="15"/>
      <c r="P30" s="45">
        <f>H30+SUMIFS(Movimientos!$F$2:$F$5000,Movimientos!$D$2:$D$5000,$A30,Movimientos!$C$2:$C$5000,"Ingreso inventario")+SUMIFS(Movimientos!$F$2:$F$5000,Movimientos!$D$2:$D$5000,$A30,Movimientos!$C$2:$C$5000,"Ajuste")-SUMIFS(Movimientos!$F$2:$F$5000,Movimientos!$D$2:$D$5000,$A30,Movimientos!$C$2:$C$5000,"Consumido en evento")-SUMIFS(Movimientos!$F$2:$F$5000,Movimientos!$D$2:$D$5000,$A30,Movimientos!$C$2:$C$5000,"Consumo interno")-SUMIFS(Movimientos!$F$2:$F$5000,Movimientos!$D$2:$D$5000,$A30,Movimientos!$C$2:$C$5000,"Baja")-SUMIFS(Movimientos!$F$2:$F$5000,Movimientos!$D$2:$D$5000,$A30,Movimientos!$C$2:$C$5000,"Baja desde reparación")</f>
        <v>1</v>
      </c>
      <c r="Q30" s="45">
        <f>SUMIFS(Movimientos!$F$2:$F$5000,Movimientos!$D$2:$D$5000,$A30,Movimientos!$C$2:$C$5000,"Salida alquiler")-SUMIFS(Movimientos!$F$2:$F$5000,Movimientos!$D$2:$D$5000,$A30,Movimientos!$C$2:$C$5000,"Retorno alquiler")-SUMIFS(Movimientos!$F$2:$F$5000,Movimientos!$D$2:$D$5000,$A30,Movimientos!$C$2:$C$5000,"Consumido en evento")-SUMIFS(Movimientos!$F$2:$F$5000,Movimientos!$D$2:$D$5000,$A30,Movimientos!$C$2:$C$5000,"A reparación")</f>
        <v>0</v>
      </c>
      <c r="R30" s="45">
        <f>SUMIFS(Movimientos!$F$2:$F$5000,Movimientos!$D$2:$D$5000,$A30,Movimientos!$C$2:$C$5000,"A reparación")-SUMIFS(Movimientos!$F$2:$F$5000,Movimientos!$D$2:$D$5000,$A30,Movimientos!$C$2:$C$5000,"Retorno reparación")-SUMIFS(Movimientos!$F$2:$F$5000,Movimientos!$D$2:$D$5000,$A30,Movimientos!$C$2:$C$5000,"Baja desde reparación")</f>
        <v>0</v>
      </c>
      <c r="S30" s="45">
        <f>P30-Q30-R30</f>
        <v>1</v>
      </c>
    </row>
    <row r="31" spans="1:19">
      <c r="A31" s="15" t="s">
        <v>242</v>
      </c>
      <c r="B31" s="15" t="s">
        <v>243</v>
      </c>
      <c r="C31" s="42" t="s">
        <v>244</v>
      </c>
      <c r="D31" s="15" t="s">
        <v>101</v>
      </c>
      <c r="E31" s="42" t="s">
        <v>245</v>
      </c>
      <c r="F31" s="43">
        <v>1</v>
      </c>
      <c r="G31" s="15" t="s">
        <v>246</v>
      </c>
      <c r="H31" s="44">
        <v>3</v>
      </c>
      <c r="I31" s="15" t="s">
        <v>104</v>
      </c>
      <c r="J31" s="15" t="s">
        <v>33</v>
      </c>
      <c r="K31" s="15" t="s">
        <v>35</v>
      </c>
      <c r="L31" s="15" t="s">
        <v>247</v>
      </c>
      <c r="M31" s="15" t="s">
        <v>38</v>
      </c>
      <c r="N31" s="15"/>
      <c r="O31" s="15"/>
      <c r="P31" s="45">
        <f>H31+SUMIFS(Movimientos!$F$2:$F$5000,Movimientos!$D$2:$D$5000,$A31,Movimientos!$C$2:$C$5000,"Ingreso inventario")+SUMIFS(Movimientos!$F$2:$F$5000,Movimientos!$D$2:$D$5000,$A31,Movimientos!$C$2:$C$5000,"Ajuste")-SUMIFS(Movimientos!$F$2:$F$5000,Movimientos!$D$2:$D$5000,$A31,Movimientos!$C$2:$C$5000,"Consumido en evento")-SUMIFS(Movimientos!$F$2:$F$5000,Movimientos!$D$2:$D$5000,$A31,Movimientos!$C$2:$C$5000,"Consumo interno")-SUMIFS(Movimientos!$F$2:$F$5000,Movimientos!$D$2:$D$5000,$A31,Movimientos!$C$2:$C$5000,"Baja")-SUMIFS(Movimientos!$F$2:$F$5000,Movimientos!$D$2:$D$5000,$A31,Movimientos!$C$2:$C$5000,"Baja desde reparación")</f>
        <v>3</v>
      </c>
      <c r="Q31" s="45">
        <f>SUMIFS(Movimientos!$F$2:$F$5000,Movimientos!$D$2:$D$5000,$A31,Movimientos!$C$2:$C$5000,"Salida alquiler")-SUMIFS(Movimientos!$F$2:$F$5000,Movimientos!$D$2:$D$5000,$A31,Movimientos!$C$2:$C$5000,"Retorno alquiler")-SUMIFS(Movimientos!$F$2:$F$5000,Movimientos!$D$2:$D$5000,$A31,Movimientos!$C$2:$C$5000,"Consumido en evento")-SUMIFS(Movimientos!$F$2:$F$5000,Movimientos!$D$2:$D$5000,$A31,Movimientos!$C$2:$C$5000,"A reparación")</f>
        <v>0</v>
      </c>
      <c r="R31" s="45">
        <f>SUMIFS(Movimientos!$F$2:$F$5000,Movimientos!$D$2:$D$5000,$A31,Movimientos!$C$2:$C$5000,"A reparación")-SUMIFS(Movimientos!$F$2:$F$5000,Movimientos!$D$2:$D$5000,$A31,Movimientos!$C$2:$C$5000,"Retorno reparación")-SUMIFS(Movimientos!$F$2:$F$5000,Movimientos!$D$2:$D$5000,$A31,Movimientos!$C$2:$C$5000,"Baja desde reparación")</f>
        <v>0</v>
      </c>
      <c r="S31" s="45">
        <f>P31-Q31-R31</f>
        <v>3</v>
      </c>
    </row>
    <row r="32" spans="1:19">
      <c r="A32" s="15" t="s">
        <v>248</v>
      </c>
      <c r="B32" s="15" t="s">
        <v>249</v>
      </c>
      <c r="C32" s="42" t="s">
        <v>250</v>
      </c>
      <c r="D32" s="15" t="s">
        <v>101</v>
      </c>
      <c r="E32" s="42" t="s">
        <v>251</v>
      </c>
      <c r="F32" s="43">
        <v>1</v>
      </c>
      <c r="G32" s="15" t="s">
        <v>168</v>
      </c>
      <c r="H32" s="44">
        <v>98</v>
      </c>
      <c r="I32" s="15" t="s">
        <v>104</v>
      </c>
      <c r="J32" s="15" t="s">
        <v>33</v>
      </c>
      <c r="K32" s="15" t="s">
        <v>35</v>
      </c>
      <c r="L32" s="15" t="s">
        <v>252</v>
      </c>
      <c r="M32" s="15" t="s">
        <v>38</v>
      </c>
      <c r="N32" s="15"/>
      <c r="O32" s="15"/>
      <c r="P32" s="45">
        <f>H32+SUMIFS(Movimientos!$F$2:$F$5000,Movimientos!$D$2:$D$5000,$A32,Movimientos!$C$2:$C$5000,"Ingreso inventario")+SUMIFS(Movimientos!$F$2:$F$5000,Movimientos!$D$2:$D$5000,$A32,Movimientos!$C$2:$C$5000,"Ajuste")-SUMIFS(Movimientos!$F$2:$F$5000,Movimientos!$D$2:$D$5000,$A32,Movimientos!$C$2:$C$5000,"Consumido en evento")-SUMIFS(Movimientos!$F$2:$F$5000,Movimientos!$D$2:$D$5000,$A32,Movimientos!$C$2:$C$5000,"Consumo interno")-SUMIFS(Movimientos!$F$2:$F$5000,Movimientos!$D$2:$D$5000,$A32,Movimientos!$C$2:$C$5000,"Baja")-SUMIFS(Movimientos!$F$2:$F$5000,Movimientos!$D$2:$D$5000,$A32,Movimientos!$C$2:$C$5000,"Baja desde reparación")</f>
        <v>98</v>
      </c>
      <c r="Q32" s="45">
        <f>SUMIFS(Movimientos!$F$2:$F$5000,Movimientos!$D$2:$D$5000,$A32,Movimientos!$C$2:$C$5000,"Salida alquiler")-SUMIFS(Movimientos!$F$2:$F$5000,Movimientos!$D$2:$D$5000,$A32,Movimientos!$C$2:$C$5000,"Retorno alquiler")-SUMIFS(Movimientos!$F$2:$F$5000,Movimientos!$D$2:$D$5000,$A32,Movimientos!$C$2:$C$5000,"Consumido en evento")-SUMIFS(Movimientos!$F$2:$F$5000,Movimientos!$D$2:$D$5000,$A32,Movimientos!$C$2:$C$5000,"A reparación")</f>
        <v>0</v>
      </c>
      <c r="R32" s="45">
        <f>SUMIFS(Movimientos!$F$2:$F$5000,Movimientos!$D$2:$D$5000,$A32,Movimientos!$C$2:$C$5000,"A reparación")-SUMIFS(Movimientos!$F$2:$F$5000,Movimientos!$D$2:$D$5000,$A32,Movimientos!$C$2:$C$5000,"Retorno reparación")-SUMIFS(Movimientos!$F$2:$F$5000,Movimientos!$D$2:$D$5000,$A32,Movimientos!$C$2:$C$5000,"Baja desde reparación")</f>
        <v>0</v>
      </c>
      <c r="S32" s="45">
        <f>P32-Q32-R32</f>
        <v>98</v>
      </c>
    </row>
    <row r="33" spans="1:19">
      <c r="A33" s="15" t="s">
        <v>253</v>
      </c>
      <c r="B33" s="15" t="s">
        <v>254</v>
      </c>
      <c r="C33" s="42" t="s">
        <v>255</v>
      </c>
      <c r="D33" s="15" t="s">
        <v>101</v>
      </c>
      <c r="E33" s="42" t="s">
        <v>256</v>
      </c>
      <c r="F33" s="43">
        <v>1</v>
      </c>
      <c r="G33" s="15" t="s">
        <v>121</v>
      </c>
      <c r="H33" s="44">
        <v>11</v>
      </c>
      <c r="I33" s="15" t="s">
        <v>104</v>
      </c>
      <c r="J33" s="15" t="s">
        <v>33</v>
      </c>
      <c r="K33" s="15" t="s">
        <v>35</v>
      </c>
      <c r="L33" s="15" t="s">
        <v>257</v>
      </c>
      <c r="M33" s="15" t="s">
        <v>38</v>
      </c>
      <c r="N33" s="15"/>
      <c r="O33" s="15"/>
      <c r="P33" s="45">
        <f>H33+SUMIFS(Movimientos!$F$2:$F$5000,Movimientos!$D$2:$D$5000,$A33,Movimientos!$C$2:$C$5000,"Ingreso inventario")+SUMIFS(Movimientos!$F$2:$F$5000,Movimientos!$D$2:$D$5000,$A33,Movimientos!$C$2:$C$5000,"Ajuste")-SUMIFS(Movimientos!$F$2:$F$5000,Movimientos!$D$2:$D$5000,$A33,Movimientos!$C$2:$C$5000,"Consumido en evento")-SUMIFS(Movimientos!$F$2:$F$5000,Movimientos!$D$2:$D$5000,$A33,Movimientos!$C$2:$C$5000,"Consumo interno")-SUMIFS(Movimientos!$F$2:$F$5000,Movimientos!$D$2:$D$5000,$A33,Movimientos!$C$2:$C$5000,"Baja")-SUMIFS(Movimientos!$F$2:$F$5000,Movimientos!$D$2:$D$5000,$A33,Movimientos!$C$2:$C$5000,"Baja desde reparación")</f>
        <v>11</v>
      </c>
      <c r="Q33" s="45">
        <f>SUMIFS(Movimientos!$F$2:$F$5000,Movimientos!$D$2:$D$5000,$A33,Movimientos!$C$2:$C$5000,"Salida alquiler")-SUMIFS(Movimientos!$F$2:$F$5000,Movimientos!$D$2:$D$5000,$A33,Movimientos!$C$2:$C$5000,"Retorno alquiler")-SUMIFS(Movimientos!$F$2:$F$5000,Movimientos!$D$2:$D$5000,$A33,Movimientos!$C$2:$C$5000,"Consumido en evento")-SUMIFS(Movimientos!$F$2:$F$5000,Movimientos!$D$2:$D$5000,$A33,Movimientos!$C$2:$C$5000,"A reparación")</f>
        <v>0</v>
      </c>
      <c r="R33" s="45">
        <f>SUMIFS(Movimientos!$F$2:$F$5000,Movimientos!$D$2:$D$5000,$A33,Movimientos!$C$2:$C$5000,"A reparación")-SUMIFS(Movimientos!$F$2:$F$5000,Movimientos!$D$2:$D$5000,$A33,Movimientos!$C$2:$C$5000,"Retorno reparación")-SUMIFS(Movimientos!$F$2:$F$5000,Movimientos!$D$2:$D$5000,$A33,Movimientos!$C$2:$C$5000,"Baja desde reparación")</f>
        <v>0</v>
      </c>
      <c r="S33" s="45">
        <f>P33-Q33-R33</f>
        <v>11</v>
      </c>
    </row>
    <row r="34" spans="1:19">
      <c r="A34" s="15" t="s">
        <v>258</v>
      </c>
      <c r="B34" s="15" t="s">
        <v>259</v>
      </c>
      <c r="C34" s="42" t="s">
        <v>260</v>
      </c>
      <c r="D34" s="15" t="s">
        <v>101</v>
      </c>
      <c r="E34" s="42" t="s">
        <v>261</v>
      </c>
      <c r="F34" s="43">
        <v>1</v>
      </c>
      <c r="G34" s="15" t="s">
        <v>262</v>
      </c>
      <c r="H34" s="44">
        <v>0</v>
      </c>
      <c r="I34" s="15" t="s">
        <v>104</v>
      </c>
      <c r="J34" s="15" t="s">
        <v>33</v>
      </c>
      <c r="K34" s="15" t="s">
        <v>35</v>
      </c>
      <c r="L34" s="15"/>
      <c r="M34" s="15" t="s">
        <v>38</v>
      </c>
      <c r="N34" s="15"/>
      <c r="O34" s="15"/>
      <c r="P34" s="45">
        <f>H34+SUMIFS(Movimientos!$F$2:$F$5000,Movimientos!$D$2:$D$5000,$A34,Movimientos!$C$2:$C$5000,"Ingreso inventario")+SUMIFS(Movimientos!$F$2:$F$5000,Movimientos!$D$2:$D$5000,$A34,Movimientos!$C$2:$C$5000,"Ajuste")-SUMIFS(Movimientos!$F$2:$F$5000,Movimientos!$D$2:$D$5000,$A34,Movimientos!$C$2:$C$5000,"Consumido en evento")-SUMIFS(Movimientos!$F$2:$F$5000,Movimientos!$D$2:$D$5000,$A34,Movimientos!$C$2:$C$5000,"Consumo interno")-SUMIFS(Movimientos!$F$2:$F$5000,Movimientos!$D$2:$D$5000,$A34,Movimientos!$C$2:$C$5000,"Baja")-SUMIFS(Movimientos!$F$2:$F$5000,Movimientos!$D$2:$D$5000,$A34,Movimientos!$C$2:$C$5000,"Baja desde reparación")</f>
        <v>0</v>
      </c>
      <c r="Q34" s="45">
        <f>SUMIFS(Movimientos!$F$2:$F$5000,Movimientos!$D$2:$D$5000,$A34,Movimientos!$C$2:$C$5000,"Salida alquiler")-SUMIFS(Movimientos!$F$2:$F$5000,Movimientos!$D$2:$D$5000,$A34,Movimientos!$C$2:$C$5000,"Retorno alquiler")-SUMIFS(Movimientos!$F$2:$F$5000,Movimientos!$D$2:$D$5000,$A34,Movimientos!$C$2:$C$5000,"Consumido en evento")-SUMIFS(Movimientos!$F$2:$F$5000,Movimientos!$D$2:$D$5000,$A34,Movimientos!$C$2:$C$5000,"A reparación")</f>
        <v>0</v>
      </c>
      <c r="R34" s="45">
        <f>SUMIFS(Movimientos!$F$2:$F$5000,Movimientos!$D$2:$D$5000,$A34,Movimientos!$C$2:$C$5000,"A reparación")-SUMIFS(Movimientos!$F$2:$F$5000,Movimientos!$D$2:$D$5000,$A34,Movimientos!$C$2:$C$5000,"Retorno reparación")-SUMIFS(Movimientos!$F$2:$F$5000,Movimientos!$D$2:$D$5000,$A34,Movimientos!$C$2:$C$5000,"Baja desde reparación")</f>
        <v>0</v>
      </c>
      <c r="S34" s="45">
        <f>P34-Q34-R34</f>
        <v>0</v>
      </c>
    </row>
    <row r="35" spans="1:19">
      <c r="A35" s="15" t="s">
        <v>263</v>
      </c>
      <c r="B35" s="15" t="s">
        <v>264</v>
      </c>
      <c r="C35" s="42" t="s">
        <v>265</v>
      </c>
      <c r="D35" s="15" t="s">
        <v>101</v>
      </c>
      <c r="E35" s="42" t="s">
        <v>266</v>
      </c>
      <c r="F35" s="43">
        <v>1</v>
      </c>
      <c r="G35" s="15" t="s">
        <v>158</v>
      </c>
      <c r="H35" s="44">
        <v>123</v>
      </c>
      <c r="I35" s="15" t="s">
        <v>104</v>
      </c>
      <c r="J35" s="15" t="s">
        <v>33</v>
      </c>
      <c r="K35" s="15" t="s">
        <v>35</v>
      </c>
      <c r="L35" s="15"/>
      <c r="M35" s="15" t="s">
        <v>38</v>
      </c>
      <c r="N35" s="15"/>
      <c r="O35" s="15"/>
      <c r="P35" s="45">
        <f>H35+SUMIFS(Movimientos!$F$2:$F$5000,Movimientos!$D$2:$D$5000,$A35,Movimientos!$C$2:$C$5000,"Ingreso inventario")+SUMIFS(Movimientos!$F$2:$F$5000,Movimientos!$D$2:$D$5000,$A35,Movimientos!$C$2:$C$5000,"Ajuste")-SUMIFS(Movimientos!$F$2:$F$5000,Movimientos!$D$2:$D$5000,$A35,Movimientos!$C$2:$C$5000,"Consumido en evento")-SUMIFS(Movimientos!$F$2:$F$5000,Movimientos!$D$2:$D$5000,$A35,Movimientos!$C$2:$C$5000,"Consumo interno")-SUMIFS(Movimientos!$F$2:$F$5000,Movimientos!$D$2:$D$5000,$A35,Movimientos!$C$2:$C$5000,"Baja")-SUMIFS(Movimientos!$F$2:$F$5000,Movimientos!$D$2:$D$5000,$A35,Movimientos!$C$2:$C$5000,"Baja desde reparación")</f>
        <v>123</v>
      </c>
      <c r="Q35" s="45">
        <f>SUMIFS(Movimientos!$F$2:$F$5000,Movimientos!$D$2:$D$5000,$A35,Movimientos!$C$2:$C$5000,"Salida alquiler")-SUMIFS(Movimientos!$F$2:$F$5000,Movimientos!$D$2:$D$5000,$A35,Movimientos!$C$2:$C$5000,"Retorno alquiler")-SUMIFS(Movimientos!$F$2:$F$5000,Movimientos!$D$2:$D$5000,$A35,Movimientos!$C$2:$C$5000,"Consumido en evento")-SUMIFS(Movimientos!$F$2:$F$5000,Movimientos!$D$2:$D$5000,$A35,Movimientos!$C$2:$C$5000,"A reparación")</f>
        <v>0</v>
      </c>
      <c r="R35" s="45">
        <f>SUMIFS(Movimientos!$F$2:$F$5000,Movimientos!$D$2:$D$5000,$A35,Movimientos!$C$2:$C$5000,"A reparación")-SUMIFS(Movimientos!$F$2:$F$5000,Movimientos!$D$2:$D$5000,$A35,Movimientos!$C$2:$C$5000,"Retorno reparación")-SUMIFS(Movimientos!$F$2:$F$5000,Movimientos!$D$2:$D$5000,$A35,Movimientos!$C$2:$C$5000,"Baja desde reparación")</f>
        <v>0</v>
      </c>
      <c r="S35" s="45">
        <f>P35-Q35-R35</f>
        <v>123</v>
      </c>
    </row>
    <row r="36" spans="1:19">
      <c r="A36" s="15" t="s">
        <v>267</v>
      </c>
      <c r="B36" s="15" t="s">
        <v>268</v>
      </c>
      <c r="C36" s="42" t="s">
        <v>269</v>
      </c>
      <c r="D36" s="15" t="s">
        <v>101</v>
      </c>
      <c r="E36" s="42" t="s">
        <v>270</v>
      </c>
      <c r="F36" s="43">
        <v>1</v>
      </c>
      <c r="G36" s="15" t="s">
        <v>158</v>
      </c>
      <c r="H36" s="44">
        <v>9</v>
      </c>
      <c r="I36" s="15" t="s">
        <v>104</v>
      </c>
      <c r="J36" s="15" t="s">
        <v>33</v>
      </c>
      <c r="K36" s="15" t="s">
        <v>35</v>
      </c>
      <c r="L36" s="15"/>
      <c r="M36" s="15" t="s">
        <v>38</v>
      </c>
      <c r="N36" s="15"/>
      <c r="O36" s="15"/>
      <c r="P36" s="45">
        <f>H36+SUMIFS(Movimientos!$F$2:$F$5000,Movimientos!$D$2:$D$5000,$A36,Movimientos!$C$2:$C$5000,"Ingreso inventario")+SUMIFS(Movimientos!$F$2:$F$5000,Movimientos!$D$2:$D$5000,$A36,Movimientos!$C$2:$C$5000,"Ajuste")-SUMIFS(Movimientos!$F$2:$F$5000,Movimientos!$D$2:$D$5000,$A36,Movimientos!$C$2:$C$5000,"Consumido en evento")-SUMIFS(Movimientos!$F$2:$F$5000,Movimientos!$D$2:$D$5000,$A36,Movimientos!$C$2:$C$5000,"Consumo interno")-SUMIFS(Movimientos!$F$2:$F$5000,Movimientos!$D$2:$D$5000,$A36,Movimientos!$C$2:$C$5000,"Baja")-SUMIFS(Movimientos!$F$2:$F$5000,Movimientos!$D$2:$D$5000,$A36,Movimientos!$C$2:$C$5000,"Baja desde reparación")</f>
        <v>9</v>
      </c>
      <c r="Q36" s="45">
        <f>SUMIFS(Movimientos!$F$2:$F$5000,Movimientos!$D$2:$D$5000,$A36,Movimientos!$C$2:$C$5000,"Salida alquiler")-SUMIFS(Movimientos!$F$2:$F$5000,Movimientos!$D$2:$D$5000,$A36,Movimientos!$C$2:$C$5000,"Retorno alquiler")-SUMIFS(Movimientos!$F$2:$F$5000,Movimientos!$D$2:$D$5000,$A36,Movimientos!$C$2:$C$5000,"Consumido en evento")-SUMIFS(Movimientos!$F$2:$F$5000,Movimientos!$D$2:$D$5000,$A36,Movimientos!$C$2:$C$5000,"A reparación")</f>
        <v>0</v>
      </c>
      <c r="R36" s="45">
        <f>SUMIFS(Movimientos!$F$2:$F$5000,Movimientos!$D$2:$D$5000,$A36,Movimientos!$C$2:$C$5000,"A reparación")-SUMIFS(Movimientos!$F$2:$F$5000,Movimientos!$D$2:$D$5000,$A36,Movimientos!$C$2:$C$5000,"Retorno reparación")-SUMIFS(Movimientos!$F$2:$F$5000,Movimientos!$D$2:$D$5000,$A36,Movimientos!$C$2:$C$5000,"Baja desde reparación")</f>
        <v>0</v>
      </c>
      <c r="S36" s="45">
        <f>P36-Q36-R36</f>
        <v>9</v>
      </c>
    </row>
    <row r="37" spans="1:19">
      <c r="A37" s="15" t="s">
        <v>271</v>
      </c>
      <c r="B37" s="15" t="s">
        <v>272</v>
      </c>
      <c r="C37" s="42" t="s">
        <v>273</v>
      </c>
      <c r="D37" s="15" t="s">
        <v>101</v>
      </c>
      <c r="E37" s="42" t="s">
        <v>274</v>
      </c>
      <c r="F37" s="43">
        <v>1</v>
      </c>
      <c r="G37" s="15" t="s">
        <v>275</v>
      </c>
      <c r="H37" s="44">
        <v>10</v>
      </c>
      <c r="I37" s="15" t="s">
        <v>104</v>
      </c>
      <c r="J37" s="15" t="s">
        <v>33</v>
      </c>
      <c r="K37" s="15" t="s">
        <v>35</v>
      </c>
      <c r="L37" s="15"/>
      <c r="M37" s="15" t="s">
        <v>38</v>
      </c>
      <c r="N37" s="15"/>
      <c r="O37" s="15"/>
      <c r="P37" s="45">
        <f>H37+SUMIFS(Movimientos!$F$2:$F$5000,Movimientos!$D$2:$D$5000,$A37,Movimientos!$C$2:$C$5000,"Ingreso inventario")+SUMIFS(Movimientos!$F$2:$F$5000,Movimientos!$D$2:$D$5000,$A37,Movimientos!$C$2:$C$5000,"Ajuste")-SUMIFS(Movimientos!$F$2:$F$5000,Movimientos!$D$2:$D$5000,$A37,Movimientos!$C$2:$C$5000,"Consumido en evento")-SUMIFS(Movimientos!$F$2:$F$5000,Movimientos!$D$2:$D$5000,$A37,Movimientos!$C$2:$C$5000,"Consumo interno")-SUMIFS(Movimientos!$F$2:$F$5000,Movimientos!$D$2:$D$5000,$A37,Movimientos!$C$2:$C$5000,"Baja")-SUMIFS(Movimientos!$F$2:$F$5000,Movimientos!$D$2:$D$5000,$A37,Movimientos!$C$2:$C$5000,"Baja desde reparación")</f>
        <v>10</v>
      </c>
      <c r="Q37" s="45">
        <f>SUMIFS(Movimientos!$F$2:$F$5000,Movimientos!$D$2:$D$5000,$A37,Movimientos!$C$2:$C$5000,"Salida alquiler")-SUMIFS(Movimientos!$F$2:$F$5000,Movimientos!$D$2:$D$5000,$A37,Movimientos!$C$2:$C$5000,"Retorno alquiler")-SUMIFS(Movimientos!$F$2:$F$5000,Movimientos!$D$2:$D$5000,$A37,Movimientos!$C$2:$C$5000,"Consumido en evento")-SUMIFS(Movimientos!$F$2:$F$5000,Movimientos!$D$2:$D$5000,$A37,Movimientos!$C$2:$C$5000,"A reparación")</f>
        <v>0</v>
      </c>
      <c r="R37" s="45">
        <f>SUMIFS(Movimientos!$F$2:$F$5000,Movimientos!$D$2:$D$5000,$A37,Movimientos!$C$2:$C$5000,"A reparación")-SUMIFS(Movimientos!$F$2:$F$5000,Movimientos!$D$2:$D$5000,$A37,Movimientos!$C$2:$C$5000,"Retorno reparación")-SUMIFS(Movimientos!$F$2:$F$5000,Movimientos!$D$2:$D$5000,$A37,Movimientos!$C$2:$C$5000,"Baja desde reparación")</f>
        <v>0</v>
      </c>
      <c r="S37" s="45">
        <f>P37-Q37-R37</f>
        <v>10</v>
      </c>
    </row>
    <row r="38" spans="1:19">
      <c r="A38" s="15" t="s">
        <v>276</v>
      </c>
      <c r="B38" s="15" t="s">
        <v>277</v>
      </c>
      <c r="C38" s="42" t="s">
        <v>278</v>
      </c>
      <c r="D38" s="15" t="s">
        <v>101</v>
      </c>
      <c r="E38" s="42" t="s">
        <v>279</v>
      </c>
      <c r="F38" s="43">
        <v>1</v>
      </c>
      <c r="G38" s="15" t="s">
        <v>168</v>
      </c>
      <c r="H38" s="44">
        <v>1</v>
      </c>
      <c r="I38" s="15" t="s">
        <v>104</v>
      </c>
      <c r="J38" s="15" t="s">
        <v>33</v>
      </c>
      <c r="K38" s="15" t="s">
        <v>35</v>
      </c>
      <c r="L38" s="15" t="s">
        <v>280</v>
      </c>
      <c r="M38" s="15" t="s">
        <v>38</v>
      </c>
      <c r="N38" s="15"/>
      <c r="O38" s="15"/>
      <c r="P38" s="45">
        <f>H38+SUMIFS(Movimientos!$F$2:$F$5000,Movimientos!$D$2:$D$5000,$A38,Movimientos!$C$2:$C$5000,"Ingreso inventario")+SUMIFS(Movimientos!$F$2:$F$5000,Movimientos!$D$2:$D$5000,$A38,Movimientos!$C$2:$C$5000,"Ajuste")-SUMIFS(Movimientos!$F$2:$F$5000,Movimientos!$D$2:$D$5000,$A38,Movimientos!$C$2:$C$5000,"Consumido en evento")-SUMIFS(Movimientos!$F$2:$F$5000,Movimientos!$D$2:$D$5000,$A38,Movimientos!$C$2:$C$5000,"Consumo interno")-SUMIFS(Movimientos!$F$2:$F$5000,Movimientos!$D$2:$D$5000,$A38,Movimientos!$C$2:$C$5000,"Baja")-SUMIFS(Movimientos!$F$2:$F$5000,Movimientos!$D$2:$D$5000,$A38,Movimientos!$C$2:$C$5000,"Baja desde reparación")</f>
        <v>1</v>
      </c>
      <c r="Q38" s="45">
        <f>SUMIFS(Movimientos!$F$2:$F$5000,Movimientos!$D$2:$D$5000,$A38,Movimientos!$C$2:$C$5000,"Salida alquiler")-SUMIFS(Movimientos!$F$2:$F$5000,Movimientos!$D$2:$D$5000,$A38,Movimientos!$C$2:$C$5000,"Retorno alquiler")-SUMIFS(Movimientos!$F$2:$F$5000,Movimientos!$D$2:$D$5000,$A38,Movimientos!$C$2:$C$5000,"Consumido en evento")-SUMIFS(Movimientos!$F$2:$F$5000,Movimientos!$D$2:$D$5000,$A38,Movimientos!$C$2:$C$5000,"A reparación")</f>
        <v>0</v>
      </c>
      <c r="R38" s="45">
        <f>SUMIFS(Movimientos!$F$2:$F$5000,Movimientos!$D$2:$D$5000,$A38,Movimientos!$C$2:$C$5000,"A reparación")-SUMIFS(Movimientos!$F$2:$F$5000,Movimientos!$D$2:$D$5000,$A38,Movimientos!$C$2:$C$5000,"Retorno reparación")-SUMIFS(Movimientos!$F$2:$F$5000,Movimientos!$D$2:$D$5000,$A38,Movimientos!$C$2:$C$5000,"Baja desde reparación")</f>
        <v>0</v>
      </c>
      <c r="S38" s="45">
        <f>P38-Q38-R38</f>
        <v>1</v>
      </c>
    </row>
    <row r="39" spans="1:19">
      <c r="A39" s="15" t="s">
        <v>281</v>
      </c>
      <c r="B39" s="15" t="s">
        <v>282</v>
      </c>
      <c r="C39" s="42"/>
      <c r="D39" s="15" t="s">
        <v>101</v>
      </c>
      <c r="E39" s="42"/>
      <c r="F39" s="43">
        <v>1</v>
      </c>
      <c r="G39" s="15" t="s">
        <v>168</v>
      </c>
      <c r="H39" s="44">
        <v>2</v>
      </c>
      <c r="I39" s="15" t="s">
        <v>104</v>
      </c>
      <c r="J39" s="15" t="s">
        <v>33</v>
      </c>
      <c r="K39" s="15" t="s">
        <v>35</v>
      </c>
      <c r="L39" s="15"/>
      <c r="M39" s="15" t="s">
        <v>38</v>
      </c>
      <c r="N39" s="15"/>
      <c r="O39" s="15"/>
      <c r="P39" s="45">
        <f>H39+SUMIFS(Movimientos!$F$2:$F$5000,Movimientos!$D$2:$D$5000,$A39,Movimientos!$C$2:$C$5000,"Ingreso inventario")+SUMIFS(Movimientos!$F$2:$F$5000,Movimientos!$D$2:$D$5000,$A39,Movimientos!$C$2:$C$5000,"Ajuste")-SUMIFS(Movimientos!$F$2:$F$5000,Movimientos!$D$2:$D$5000,$A39,Movimientos!$C$2:$C$5000,"Consumido en evento")-SUMIFS(Movimientos!$F$2:$F$5000,Movimientos!$D$2:$D$5000,$A39,Movimientos!$C$2:$C$5000,"Consumo interno")-SUMIFS(Movimientos!$F$2:$F$5000,Movimientos!$D$2:$D$5000,$A39,Movimientos!$C$2:$C$5000,"Baja")-SUMIFS(Movimientos!$F$2:$F$5000,Movimientos!$D$2:$D$5000,$A39,Movimientos!$C$2:$C$5000,"Baja desde reparación")</f>
        <v>2</v>
      </c>
      <c r="Q39" s="45">
        <f>SUMIFS(Movimientos!$F$2:$F$5000,Movimientos!$D$2:$D$5000,$A39,Movimientos!$C$2:$C$5000,"Salida alquiler")-SUMIFS(Movimientos!$F$2:$F$5000,Movimientos!$D$2:$D$5000,$A39,Movimientos!$C$2:$C$5000,"Retorno alquiler")-SUMIFS(Movimientos!$F$2:$F$5000,Movimientos!$D$2:$D$5000,$A39,Movimientos!$C$2:$C$5000,"Consumido en evento")-SUMIFS(Movimientos!$F$2:$F$5000,Movimientos!$D$2:$D$5000,$A39,Movimientos!$C$2:$C$5000,"A reparación")</f>
        <v>0</v>
      </c>
      <c r="R39" s="45">
        <f>SUMIFS(Movimientos!$F$2:$F$5000,Movimientos!$D$2:$D$5000,$A39,Movimientos!$C$2:$C$5000,"A reparación")-SUMIFS(Movimientos!$F$2:$F$5000,Movimientos!$D$2:$D$5000,$A39,Movimientos!$C$2:$C$5000,"Retorno reparación")-SUMIFS(Movimientos!$F$2:$F$5000,Movimientos!$D$2:$D$5000,$A39,Movimientos!$C$2:$C$5000,"Baja desde reparación")</f>
        <v>0</v>
      </c>
      <c r="S39" s="45">
        <f>P39-Q39-R39</f>
        <v>2</v>
      </c>
    </row>
    <row r="40" spans="1:19">
      <c r="A40" s="15" t="s">
        <v>283</v>
      </c>
      <c r="B40" s="15" t="s">
        <v>284</v>
      </c>
      <c r="C40" s="42" t="s">
        <v>285</v>
      </c>
      <c r="D40" s="15" t="s">
        <v>101</v>
      </c>
      <c r="E40" s="42" t="s">
        <v>286</v>
      </c>
      <c r="F40" s="43">
        <v>1</v>
      </c>
      <c r="G40" s="15" t="s">
        <v>168</v>
      </c>
      <c r="H40" s="44">
        <v>4</v>
      </c>
      <c r="I40" s="15" t="s">
        <v>104</v>
      </c>
      <c r="J40" s="15" t="s">
        <v>33</v>
      </c>
      <c r="K40" s="15" t="s">
        <v>35</v>
      </c>
      <c r="L40" s="15" t="s">
        <v>287</v>
      </c>
      <c r="M40" s="15" t="s">
        <v>38</v>
      </c>
      <c r="N40" s="15"/>
      <c r="O40" s="15"/>
      <c r="P40" s="45">
        <f>H40+SUMIFS(Movimientos!$F$2:$F$5000,Movimientos!$D$2:$D$5000,$A40,Movimientos!$C$2:$C$5000,"Ingreso inventario")+SUMIFS(Movimientos!$F$2:$F$5000,Movimientos!$D$2:$D$5000,$A40,Movimientos!$C$2:$C$5000,"Ajuste")-SUMIFS(Movimientos!$F$2:$F$5000,Movimientos!$D$2:$D$5000,$A40,Movimientos!$C$2:$C$5000,"Consumido en evento")-SUMIFS(Movimientos!$F$2:$F$5000,Movimientos!$D$2:$D$5000,$A40,Movimientos!$C$2:$C$5000,"Consumo interno")-SUMIFS(Movimientos!$F$2:$F$5000,Movimientos!$D$2:$D$5000,$A40,Movimientos!$C$2:$C$5000,"Baja")-SUMIFS(Movimientos!$F$2:$F$5000,Movimientos!$D$2:$D$5000,$A40,Movimientos!$C$2:$C$5000,"Baja desde reparación")</f>
        <v>4</v>
      </c>
      <c r="Q40" s="45">
        <f>SUMIFS(Movimientos!$F$2:$F$5000,Movimientos!$D$2:$D$5000,$A40,Movimientos!$C$2:$C$5000,"Salida alquiler")-SUMIFS(Movimientos!$F$2:$F$5000,Movimientos!$D$2:$D$5000,$A40,Movimientos!$C$2:$C$5000,"Retorno alquiler")-SUMIFS(Movimientos!$F$2:$F$5000,Movimientos!$D$2:$D$5000,$A40,Movimientos!$C$2:$C$5000,"Consumido en evento")-SUMIFS(Movimientos!$F$2:$F$5000,Movimientos!$D$2:$D$5000,$A40,Movimientos!$C$2:$C$5000,"A reparación")</f>
        <v>0</v>
      </c>
      <c r="R40" s="45">
        <f>SUMIFS(Movimientos!$F$2:$F$5000,Movimientos!$D$2:$D$5000,$A40,Movimientos!$C$2:$C$5000,"A reparación")-SUMIFS(Movimientos!$F$2:$F$5000,Movimientos!$D$2:$D$5000,$A40,Movimientos!$C$2:$C$5000,"Retorno reparación")-SUMIFS(Movimientos!$F$2:$F$5000,Movimientos!$D$2:$D$5000,$A40,Movimientos!$C$2:$C$5000,"Baja desde reparación")</f>
        <v>0</v>
      </c>
      <c r="S40" s="45">
        <f>P40-Q40-R40</f>
        <v>4</v>
      </c>
    </row>
    <row r="41" spans="1:19">
      <c r="A41" s="15" t="s">
        <v>288</v>
      </c>
      <c r="B41" s="15" t="s">
        <v>289</v>
      </c>
      <c r="C41" s="42"/>
      <c r="D41" s="15" t="s">
        <v>101</v>
      </c>
      <c r="E41" s="42"/>
      <c r="F41" s="43">
        <v>1</v>
      </c>
      <c r="G41" s="15" t="s">
        <v>168</v>
      </c>
      <c r="H41" s="44">
        <v>2</v>
      </c>
      <c r="I41" s="15" t="s">
        <v>104</v>
      </c>
      <c r="J41" s="15" t="s">
        <v>33</v>
      </c>
      <c r="K41" s="15" t="s">
        <v>35</v>
      </c>
      <c r="L41" s="15"/>
      <c r="M41" s="15" t="s">
        <v>38</v>
      </c>
      <c r="N41" s="15"/>
      <c r="O41" s="15"/>
      <c r="P41" s="45">
        <f>H41+SUMIFS(Movimientos!$F$2:$F$5000,Movimientos!$D$2:$D$5000,$A41,Movimientos!$C$2:$C$5000,"Ingreso inventario")+SUMIFS(Movimientos!$F$2:$F$5000,Movimientos!$D$2:$D$5000,$A41,Movimientos!$C$2:$C$5000,"Ajuste")-SUMIFS(Movimientos!$F$2:$F$5000,Movimientos!$D$2:$D$5000,$A41,Movimientos!$C$2:$C$5000,"Consumido en evento")-SUMIFS(Movimientos!$F$2:$F$5000,Movimientos!$D$2:$D$5000,$A41,Movimientos!$C$2:$C$5000,"Consumo interno")-SUMIFS(Movimientos!$F$2:$F$5000,Movimientos!$D$2:$D$5000,$A41,Movimientos!$C$2:$C$5000,"Baja")-SUMIFS(Movimientos!$F$2:$F$5000,Movimientos!$D$2:$D$5000,$A41,Movimientos!$C$2:$C$5000,"Baja desde reparación")</f>
        <v>2</v>
      </c>
      <c r="Q41" s="45">
        <f>SUMIFS(Movimientos!$F$2:$F$5000,Movimientos!$D$2:$D$5000,$A41,Movimientos!$C$2:$C$5000,"Salida alquiler")-SUMIFS(Movimientos!$F$2:$F$5000,Movimientos!$D$2:$D$5000,$A41,Movimientos!$C$2:$C$5000,"Retorno alquiler")-SUMIFS(Movimientos!$F$2:$F$5000,Movimientos!$D$2:$D$5000,$A41,Movimientos!$C$2:$C$5000,"Consumido en evento")-SUMIFS(Movimientos!$F$2:$F$5000,Movimientos!$D$2:$D$5000,$A41,Movimientos!$C$2:$C$5000,"A reparación")</f>
        <v>0</v>
      </c>
      <c r="R41" s="45">
        <f>SUMIFS(Movimientos!$F$2:$F$5000,Movimientos!$D$2:$D$5000,$A41,Movimientos!$C$2:$C$5000,"A reparación")-SUMIFS(Movimientos!$F$2:$F$5000,Movimientos!$D$2:$D$5000,$A41,Movimientos!$C$2:$C$5000,"Retorno reparación")-SUMIFS(Movimientos!$F$2:$F$5000,Movimientos!$D$2:$D$5000,$A41,Movimientos!$C$2:$C$5000,"Baja desde reparación")</f>
        <v>0</v>
      </c>
      <c r="S41" s="45">
        <f>P41-Q41-R41</f>
        <v>2</v>
      </c>
    </row>
    <row r="42" spans="1:19">
      <c r="A42" s="15" t="s">
        <v>290</v>
      </c>
      <c r="B42" s="15" t="s">
        <v>291</v>
      </c>
      <c r="C42" s="42" t="s">
        <v>292</v>
      </c>
      <c r="D42" s="15" t="s">
        <v>101</v>
      </c>
      <c r="E42" s="42" t="s">
        <v>293</v>
      </c>
      <c r="F42" s="43">
        <v>1</v>
      </c>
      <c r="G42" s="15" t="s">
        <v>168</v>
      </c>
      <c r="H42" s="44">
        <v>1</v>
      </c>
      <c r="I42" s="15" t="s">
        <v>104</v>
      </c>
      <c r="J42" s="15" t="s">
        <v>33</v>
      </c>
      <c r="K42" s="15" t="s">
        <v>35</v>
      </c>
      <c r="L42" s="15" t="s">
        <v>294</v>
      </c>
      <c r="M42" s="15" t="s">
        <v>38</v>
      </c>
      <c r="N42" s="15"/>
      <c r="O42" s="15"/>
      <c r="P42" s="45">
        <f>H42+SUMIFS(Movimientos!$F$2:$F$5000,Movimientos!$D$2:$D$5000,$A42,Movimientos!$C$2:$C$5000,"Ingreso inventario")+SUMIFS(Movimientos!$F$2:$F$5000,Movimientos!$D$2:$D$5000,$A42,Movimientos!$C$2:$C$5000,"Ajuste")-SUMIFS(Movimientos!$F$2:$F$5000,Movimientos!$D$2:$D$5000,$A42,Movimientos!$C$2:$C$5000,"Consumido en evento")-SUMIFS(Movimientos!$F$2:$F$5000,Movimientos!$D$2:$D$5000,$A42,Movimientos!$C$2:$C$5000,"Consumo interno")-SUMIFS(Movimientos!$F$2:$F$5000,Movimientos!$D$2:$D$5000,$A42,Movimientos!$C$2:$C$5000,"Baja")-SUMIFS(Movimientos!$F$2:$F$5000,Movimientos!$D$2:$D$5000,$A42,Movimientos!$C$2:$C$5000,"Baja desde reparación")</f>
        <v>1</v>
      </c>
      <c r="Q42" s="45">
        <f>SUMIFS(Movimientos!$F$2:$F$5000,Movimientos!$D$2:$D$5000,$A42,Movimientos!$C$2:$C$5000,"Salida alquiler")-SUMIFS(Movimientos!$F$2:$F$5000,Movimientos!$D$2:$D$5000,$A42,Movimientos!$C$2:$C$5000,"Retorno alquiler")-SUMIFS(Movimientos!$F$2:$F$5000,Movimientos!$D$2:$D$5000,$A42,Movimientos!$C$2:$C$5000,"Consumido en evento")-SUMIFS(Movimientos!$F$2:$F$5000,Movimientos!$D$2:$D$5000,$A42,Movimientos!$C$2:$C$5000,"A reparación")</f>
        <v>0</v>
      </c>
      <c r="R42" s="45">
        <f>SUMIFS(Movimientos!$F$2:$F$5000,Movimientos!$D$2:$D$5000,$A42,Movimientos!$C$2:$C$5000,"A reparación")-SUMIFS(Movimientos!$F$2:$F$5000,Movimientos!$D$2:$D$5000,$A42,Movimientos!$C$2:$C$5000,"Retorno reparación")-SUMIFS(Movimientos!$F$2:$F$5000,Movimientos!$D$2:$D$5000,$A42,Movimientos!$C$2:$C$5000,"Baja desde reparación")</f>
        <v>0</v>
      </c>
      <c r="S42" s="45">
        <f>P42-Q42-R42</f>
        <v>1</v>
      </c>
    </row>
    <row r="43" spans="1:19">
      <c r="A43" s="15" t="s">
        <v>295</v>
      </c>
      <c r="B43" s="15" t="s">
        <v>296</v>
      </c>
      <c r="C43" s="42"/>
      <c r="D43" s="15" t="s">
        <v>297</v>
      </c>
      <c r="E43" s="42"/>
      <c r="F43" s="43">
        <v>1</v>
      </c>
      <c r="G43" s="15" t="s">
        <v>226</v>
      </c>
      <c r="H43" s="44">
        <v>0</v>
      </c>
      <c r="I43" s="15" t="s">
        <v>104</v>
      </c>
      <c r="J43" s="15" t="s">
        <v>33</v>
      </c>
      <c r="K43" s="15" t="s">
        <v>35</v>
      </c>
      <c r="L43" s="15"/>
      <c r="M43" s="15" t="s">
        <v>38</v>
      </c>
      <c r="N43" s="15"/>
      <c r="O43" s="15"/>
      <c r="P43" s="45">
        <f>H43+SUMIFS(Movimientos!$F$2:$F$5000,Movimientos!$D$2:$D$5000,$A43,Movimientos!$C$2:$C$5000,"Ingreso inventario")+SUMIFS(Movimientos!$F$2:$F$5000,Movimientos!$D$2:$D$5000,$A43,Movimientos!$C$2:$C$5000,"Ajuste")-SUMIFS(Movimientos!$F$2:$F$5000,Movimientos!$D$2:$D$5000,$A43,Movimientos!$C$2:$C$5000,"Consumido en evento")-SUMIFS(Movimientos!$F$2:$F$5000,Movimientos!$D$2:$D$5000,$A43,Movimientos!$C$2:$C$5000,"Consumo interno")-SUMIFS(Movimientos!$F$2:$F$5000,Movimientos!$D$2:$D$5000,$A43,Movimientos!$C$2:$C$5000,"Baja")-SUMIFS(Movimientos!$F$2:$F$5000,Movimientos!$D$2:$D$5000,$A43,Movimientos!$C$2:$C$5000,"Baja desde reparación")</f>
        <v>0</v>
      </c>
      <c r="Q43" s="45">
        <f>SUMIFS(Movimientos!$F$2:$F$5000,Movimientos!$D$2:$D$5000,$A43,Movimientos!$C$2:$C$5000,"Salida alquiler")-SUMIFS(Movimientos!$F$2:$F$5000,Movimientos!$D$2:$D$5000,$A43,Movimientos!$C$2:$C$5000,"Retorno alquiler")-SUMIFS(Movimientos!$F$2:$F$5000,Movimientos!$D$2:$D$5000,$A43,Movimientos!$C$2:$C$5000,"Consumido en evento")-SUMIFS(Movimientos!$F$2:$F$5000,Movimientos!$D$2:$D$5000,$A43,Movimientos!$C$2:$C$5000,"A reparación")</f>
        <v>0</v>
      </c>
      <c r="R43" s="45">
        <f>SUMIFS(Movimientos!$F$2:$F$5000,Movimientos!$D$2:$D$5000,$A43,Movimientos!$C$2:$C$5000,"A reparación")-SUMIFS(Movimientos!$F$2:$F$5000,Movimientos!$D$2:$D$5000,$A43,Movimientos!$C$2:$C$5000,"Retorno reparación")-SUMIFS(Movimientos!$F$2:$F$5000,Movimientos!$D$2:$D$5000,$A43,Movimientos!$C$2:$C$5000,"Baja desde reparación")</f>
        <v>0</v>
      </c>
      <c r="S43" s="45">
        <f>P43-Q43-R43</f>
        <v>0</v>
      </c>
    </row>
    <row r="44" spans="1:19">
      <c r="A44" s="15" t="s">
        <v>298</v>
      </c>
      <c r="B44" s="15" t="s">
        <v>299</v>
      </c>
      <c r="C44" s="42"/>
      <c r="D44" s="15" t="s">
        <v>297</v>
      </c>
      <c r="E44" s="42"/>
      <c r="F44" s="43">
        <v>1</v>
      </c>
      <c r="G44" s="15" t="s">
        <v>226</v>
      </c>
      <c r="H44" s="44">
        <v>0</v>
      </c>
      <c r="I44" s="15" t="s">
        <v>104</v>
      </c>
      <c r="J44" s="15" t="s">
        <v>33</v>
      </c>
      <c r="K44" s="15" t="s">
        <v>35</v>
      </c>
      <c r="L44" s="15"/>
      <c r="M44" s="15" t="s">
        <v>38</v>
      </c>
      <c r="N44" s="15"/>
      <c r="O44" s="15"/>
      <c r="P44" s="45">
        <f>H44+SUMIFS(Movimientos!$F$2:$F$5000,Movimientos!$D$2:$D$5000,$A44,Movimientos!$C$2:$C$5000,"Ingreso inventario")+SUMIFS(Movimientos!$F$2:$F$5000,Movimientos!$D$2:$D$5000,$A44,Movimientos!$C$2:$C$5000,"Ajuste")-SUMIFS(Movimientos!$F$2:$F$5000,Movimientos!$D$2:$D$5000,$A44,Movimientos!$C$2:$C$5000,"Consumido en evento")-SUMIFS(Movimientos!$F$2:$F$5000,Movimientos!$D$2:$D$5000,$A44,Movimientos!$C$2:$C$5000,"Consumo interno")-SUMIFS(Movimientos!$F$2:$F$5000,Movimientos!$D$2:$D$5000,$A44,Movimientos!$C$2:$C$5000,"Baja")-SUMIFS(Movimientos!$F$2:$F$5000,Movimientos!$D$2:$D$5000,$A44,Movimientos!$C$2:$C$5000,"Baja desde reparación")</f>
        <v>0</v>
      </c>
      <c r="Q44" s="45">
        <f>SUMIFS(Movimientos!$F$2:$F$5000,Movimientos!$D$2:$D$5000,$A44,Movimientos!$C$2:$C$5000,"Salida alquiler")-SUMIFS(Movimientos!$F$2:$F$5000,Movimientos!$D$2:$D$5000,$A44,Movimientos!$C$2:$C$5000,"Retorno alquiler")-SUMIFS(Movimientos!$F$2:$F$5000,Movimientos!$D$2:$D$5000,$A44,Movimientos!$C$2:$C$5000,"Consumido en evento")-SUMIFS(Movimientos!$F$2:$F$5000,Movimientos!$D$2:$D$5000,$A44,Movimientos!$C$2:$C$5000,"A reparación")</f>
        <v>0</v>
      </c>
      <c r="R44" s="45">
        <f>SUMIFS(Movimientos!$F$2:$F$5000,Movimientos!$D$2:$D$5000,$A44,Movimientos!$C$2:$C$5000,"A reparación")-SUMIFS(Movimientos!$F$2:$F$5000,Movimientos!$D$2:$D$5000,$A44,Movimientos!$C$2:$C$5000,"Retorno reparación")-SUMIFS(Movimientos!$F$2:$F$5000,Movimientos!$D$2:$D$5000,$A44,Movimientos!$C$2:$C$5000,"Baja desde reparación")</f>
        <v>0</v>
      </c>
      <c r="S44" s="45">
        <f>P44-Q44-R44</f>
        <v>0</v>
      </c>
    </row>
    <row r="45" spans="1:19">
      <c r="A45" s="15" t="s">
        <v>300</v>
      </c>
      <c r="B45" s="15" t="s">
        <v>301</v>
      </c>
      <c r="C45" s="42" t="s">
        <v>302</v>
      </c>
      <c r="D45" s="15" t="s">
        <v>101</v>
      </c>
      <c r="E45" s="42" t="s">
        <v>303</v>
      </c>
      <c r="F45" s="43">
        <v>1</v>
      </c>
      <c r="G45" s="15" t="s">
        <v>304</v>
      </c>
      <c r="H45" s="44">
        <v>10</v>
      </c>
      <c r="I45" s="15" t="s">
        <v>104</v>
      </c>
      <c r="J45" s="15" t="s">
        <v>33</v>
      </c>
      <c r="K45" s="15" t="s">
        <v>35</v>
      </c>
      <c r="L45" s="15"/>
      <c r="M45" s="15" t="s">
        <v>38</v>
      </c>
      <c r="N45" s="15"/>
      <c r="O45" s="15"/>
      <c r="P45" s="45">
        <f>H45+SUMIFS(Movimientos!$F$2:$F$5000,Movimientos!$D$2:$D$5000,$A45,Movimientos!$C$2:$C$5000,"Ingreso inventario")+SUMIFS(Movimientos!$F$2:$F$5000,Movimientos!$D$2:$D$5000,$A45,Movimientos!$C$2:$C$5000,"Ajuste")-SUMIFS(Movimientos!$F$2:$F$5000,Movimientos!$D$2:$D$5000,$A45,Movimientos!$C$2:$C$5000,"Consumido en evento")-SUMIFS(Movimientos!$F$2:$F$5000,Movimientos!$D$2:$D$5000,$A45,Movimientos!$C$2:$C$5000,"Consumo interno")-SUMIFS(Movimientos!$F$2:$F$5000,Movimientos!$D$2:$D$5000,$A45,Movimientos!$C$2:$C$5000,"Baja")-SUMIFS(Movimientos!$F$2:$F$5000,Movimientos!$D$2:$D$5000,$A45,Movimientos!$C$2:$C$5000,"Baja desde reparación")</f>
        <v>10</v>
      </c>
      <c r="Q45" s="45">
        <f>SUMIFS(Movimientos!$F$2:$F$5000,Movimientos!$D$2:$D$5000,$A45,Movimientos!$C$2:$C$5000,"Salida alquiler")-SUMIFS(Movimientos!$F$2:$F$5000,Movimientos!$D$2:$D$5000,$A45,Movimientos!$C$2:$C$5000,"Retorno alquiler")-SUMIFS(Movimientos!$F$2:$F$5000,Movimientos!$D$2:$D$5000,$A45,Movimientos!$C$2:$C$5000,"Consumido en evento")-SUMIFS(Movimientos!$F$2:$F$5000,Movimientos!$D$2:$D$5000,$A45,Movimientos!$C$2:$C$5000,"A reparación")</f>
        <v>0</v>
      </c>
      <c r="R45" s="45">
        <f>SUMIFS(Movimientos!$F$2:$F$5000,Movimientos!$D$2:$D$5000,$A45,Movimientos!$C$2:$C$5000,"A reparación")-SUMIFS(Movimientos!$F$2:$F$5000,Movimientos!$D$2:$D$5000,$A45,Movimientos!$C$2:$C$5000,"Retorno reparación")-SUMIFS(Movimientos!$F$2:$F$5000,Movimientos!$D$2:$D$5000,$A45,Movimientos!$C$2:$C$5000,"Baja desde reparación")</f>
        <v>0</v>
      </c>
      <c r="S45" s="45">
        <f>P45-Q45-R45</f>
        <v>10</v>
      </c>
    </row>
    <row r="46" spans="1:19">
      <c r="A46" s="15" t="s">
        <v>305</v>
      </c>
      <c r="B46" s="15" t="s">
        <v>306</v>
      </c>
      <c r="C46" s="42" t="s">
        <v>307</v>
      </c>
      <c r="D46" s="15" t="s">
        <v>101</v>
      </c>
      <c r="E46" s="42" t="s">
        <v>308</v>
      </c>
      <c r="F46" s="43">
        <v>1</v>
      </c>
      <c r="G46" s="15" t="s">
        <v>304</v>
      </c>
      <c r="H46" s="44">
        <v>1</v>
      </c>
      <c r="I46" s="15" t="s">
        <v>104</v>
      </c>
      <c r="J46" s="15" t="s">
        <v>33</v>
      </c>
      <c r="K46" s="15" t="s">
        <v>35</v>
      </c>
      <c r="L46" s="15"/>
      <c r="M46" s="15" t="s">
        <v>38</v>
      </c>
      <c r="N46" s="15"/>
      <c r="O46" s="15"/>
      <c r="P46" s="45">
        <f>H46+SUMIFS(Movimientos!$F$2:$F$5000,Movimientos!$D$2:$D$5000,$A46,Movimientos!$C$2:$C$5000,"Ingreso inventario")+SUMIFS(Movimientos!$F$2:$F$5000,Movimientos!$D$2:$D$5000,$A46,Movimientos!$C$2:$C$5000,"Ajuste")-SUMIFS(Movimientos!$F$2:$F$5000,Movimientos!$D$2:$D$5000,$A46,Movimientos!$C$2:$C$5000,"Consumido en evento")-SUMIFS(Movimientos!$F$2:$F$5000,Movimientos!$D$2:$D$5000,$A46,Movimientos!$C$2:$C$5000,"Consumo interno")-SUMIFS(Movimientos!$F$2:$F$5000,Movimientos!$D$2:$D$5000,$A46,Movimientos!$C$2:$C$5000,"Baja")-SUMIFS(Movimientos!$F$2:$F$5000,Movimientos!$D$2:$D$5000,$A46,Movimientos!$C$2:$C$5000,"Baja desde reparación")</f>
        <v>1</v>
      </c>
      <c r="Q46" s="45">
        <f>SUMIFS(Movimientos!$F$2:$F$5000,Movimientos!$D$2:$D$5000,$A46,Movimientos!$C$2:$C$5000,"Salida alquiler")-SUMIFS(Movimientos!$F$2:$F$5000,Movimientos!$D$2:$D$5000,$A46,Movimientos!$C$2:$C$5000,"Retorno alquiler")-SUMIFS(Movimientos!$F$2:$F$5000,Movimientos!$D$2:$D$5000,$A46,Movimientos!$C$2:$C$5000,"Consumido en evento")-SUMIFS(Movimientos!$F$2:$F$5000,Movimientos!$D$2:$D$5000,$A46,Movimientos!$C$2:$C$5000,"A reparación")</f>
        <v>0</v>
      </c>
      <c r="R46" s="45">
        <f>SUMIFS(Movimientos!$F$2:$F$5000,Movimientos!$D$2:$D$5000,$A46,Movimientos!$C$2:$C$5000,"A reparación")-SUMIFS(Movimientos!$F$2:$F$5000,Movimientos!$D$2:$D$5000,$A46,Movimientos!$C$2:$C$5000,"Retorno reparación")-SUMIFS(Movimientos!$F$2:$F$5000,Movimientos!$D$2:$D$5000,$A46,Movimientos!$C$2:$C$5000,"Baja desde reparación")</f>
        <v>0</v>
      </c>
      <c r="S46" s="45">
        <f>P46-Q46-R46</f>
        <v>1</v>
      </c>
    </row>
    <row r="47" spans="1:19">
      <c r="A47" s="15" t="s">
        <v>309</v>
      </c>
      <c r="B47" s="15" t="s">
        <v>310</v>
      </c>
      <c r="C47" s="42" t="s">
        <v>311</v>
      </c>
      <c r="D47" s="15" t="s">
        <v>101</v>
      </c>
      <c r="E47" s="42" t="s">
        <v>312</v>
      </c>
      <c r="F47" s="43">
        <v>1</v>
      </c>
      <c r="G47" s="15" t="s">
        <v>304</v>
      </c>
      <c r="H47" s="44">
        <v>2</v>
      </c>
      <c r="I47" s="15" t="s">
        <v>104</v>
      </c>
      <c r="J47" s="15" t="s">
        <v>33</v>
      </c>
      <c r="K47" s="15" t="s">
        <v>35</v>
      </c>
      <c r="L47" s="15"/>
      <c r="M47" s="15" t="s">
        <v>38</v>
      </c>
      <c r="N47" s="15"/>
      <c r="O47" s="15"/>
      <c r="P47" s="45">
        <f>H47+SUMIFS(Movimientos!$F$2:$F$5000,Movimientos!$D$2:$D$5000,$A47,Movimientos!$C$2:$C$5000,"Ingreso inventario")+SUMIFS(Movimientos!$F$2:$F$5000,Movimientos!$D$2:$D$5000,$A47,Movimientos!$C$2:$C$5000,"Ajuste")-SUMIFS(Movimientos!$F$2:$F$5000,Movimientos!$D$2:$D$5000,$A47,Movimientos!$C$2:$C$5000,"Consumido en evento")-SUMIFS(Movimientos!$F$2:$F$5000,Movimientos!$D$2:$D$5000,$A47,Movimientos!$C$2:$C$5000,"Consumo interno")-SUMIFS(Movimientos!$F$2:$F$5000,Movimientos!$D$2:$D$5000,$A47,Movimientos!$C$2:$C$5000,"Baja")-SUMIFS(Movimientos!$F$2:$F$5000,Movimientos!$D$2:$D$5000,$A47,Movimientos!$C$2:$C$5000,"Baja desde reparación")</f>
        <v>2</v>
      </c>
      <c r="Q47" s="45">
        <f>SUMIFS(Movimientos!$F$2:$F$5000,Movimientos!$D$2:$D$5000,$A47,Movimientos!$C$2:$C$5000,"Salida alquiler")-SUMIFS(Movimientos!$F$2:$F$5000,Movimientos!$D$2:$D$5000,$A47,Movimientos!$C$2:$C$5000,"Retorno alquiler")-SUMIFS(Movimientos!$F$2:$F$5000,Movimientos!$D$2:$D$5000,$A47,Movimientos!$C$2:$C$5000,"Consumido en evento")-SUMIFS(Movimientos!$F$2:$F$5000,Movimientos!$D$2:$D$5000,$A47,Movimientos!$C$2:$C$5000,"A reparación")</f>
        <v>0</v>
      </c>
      <c r="R47" s="45">
        <f>SUMIFS(Movimientos!$F$2:$F$5000,Movimientos!$D$2:$D$5000,$A47,Movimientos!$C$2:$C$5000,"A reparación")-SUMIFS(Movimientos!$F$2:$F$5000,Movimientos!$D$2:$D$5000,$A47,Movimientos!$C$2:$C$5000,"Retorno reparación")-SUMIFS(Movimientos!$F$2:$F$5000,Movimientos!$D$2:$D$5000,$A47,Movimientos!$C$2:$C$5000,"Baja desde reparación")</f>
        <v>0</v>
      </c>
      <c r="S47" s="45">
        <f>P47-Q47-R47</f>
        <v>2</v>
      </c>
    </row>
    <row r="48" spans="1:19">
      <c r="A48" s="15" t="s">
        <v>313</v>
      </c>
      <c r="B48" s="15" t="s">
        <v>314</v>
      </c>
      <c r="C48" s="42" t="s">
        <v>315</v>
      </c>
      <c r="D48" s="15" t="s">
        <v>101</v>
      </c>
      <c r="E48" s="42" t="s">
        <v>316</v>
      </c>
      <c r="F48" s="43">
        <v>1</v>
      </c>
      <c r="G48" s="15" t="s">
        <v>317</v>
      </c>
      <c r="H48" s="44">
        <v>3</v>
      </c>
      <c r="I48" s="15" t="s">
        <v>104</v>
      </c>
      <c r="J48" s="15" t="s">
        <v>33</v>
      </c>
      <c r="K48" s="15" t="s">
        <v>35</v>
      </c>
      <c r="L48" s="15" t="s">
        <v>318</v>
      </c>
      <c r="M48" s="15" t="s">
        <v>38</v>
      </c>
      <c r="N48" s="15"/>
      <c r="O48" s="15"/>
      <c r="P48" s="45">
        <f>H48+SUMIFS(Movimientos!$F$2:$F$5000,Movimientos!$D$2:$D$5000,$A48,Movimientos!$C$2:$C$5000,"Ingreso inventario")+SUMIFS(Movimientos!$F$2:$F$5000,Movimientos!$D$2:$D$5000,$A48,Movimientos!$C$2:$C$5000,"Ajuste")-SUMIFS(Movimientos!$F$2:$F$5000,Movimientos!$D$2:$D$5000,$A48,Movimientos!$C$2:$C$5000,"Consumido en evento")-SUMIFS(Movimientos!$F$2:$F$5000,Movimientos!$D$2:$D$5000,$A48,Movimientos!$C$2:$C$5000,"Consumo interno")-SUMIFS(Movimientos!$F$2:$F$5000,Movimientos!$D$2:$D$5000,$A48,Movimientos!$C$2:$C$5000,"Baja")-SUMIFS(Movimientos!$F$2:$F$5000,Movimientos!$D$2:$D$5000,$A48,Movimientos!$C$2:$C$5000,"Baja desde reparación")</f>
        <v>3</v>
      </c>
      <c r="Q48" s="45">
        <f>SUMIFS(Movimientos!$F$2:$F$5000,Movimientos!$D$2:$D$5000,$A48,Movimientos!$C$2:$C$5000,"Salida alquiler")-SUMIFS(Movimientos!$F$2:$F$5000,Movimientos!$D$2:$D$5000,$A48,Movimientos!$C$2:$C$5000,"Retorno alquiler")-SUMIFS(Movimientos!$F$2:$F$5000,Movimientos!$D$2:$D$5000,$A48,Movimientos!$C$2:$C$5000,"Consumido en evento")-SUMIFS(Movimientos!$F$2:$F$5000,Movimientos!$D$2:$D$5000,$A48,Movimientos!$C$2:$C$5000,"A reparación")</f>
        <v>0</v>
      </c>
      <c r="R48" s="45">
        <f>SUMIFS(Movimientos!$F$2:$F$5000,Movimientos!$D$2:$D$5000,$A48,Movimientos!$C$2:$C$5000,"A reparación")-SUMIFS(Movimientos!$F$2:$F$5000,Movimientos!$D$2:$D$5000,$A48,Movimientos!$C$2:$C$5000,"Retorno reparación")-SUMIFS(Movimientos!$F$2:$F$5000,Movimientos!$D$2:$D$5000,$A48,Movimientos!$C$2:$C$5000,"Baja desde reparación")</f>
        <v>0</v>
      </c>
      <c r="S48" s="45">
        <f>P48-Q48-R48</f>
        <v>3</v>
      </c>
    </row>
    <row r="49" spans="1:19">
      <c r="A49" s="15" t="s">
        <v>319</v>
      </c>
      <c r="B49" s="15" t="s">
        <v>320</v>
      </c>
      <c r="C49" s="42" t="s">
        <v>321</v>
      </c>
      <c r="D49" s="15" t="s">
        <v>101</v>
      </c>
      <c r="E49" s="42" t="s">
        <v>322</v>
      </c>
      <c r="F49" s="43">
        <v>1</v>
      </c>
      <c r="G49" s="15" t="s">
        <v>317</v>
      </c>
      <c r="H49" s="44">
        <v>2</v>
      </c>
      <c r="I49" s="15" t="s">
        <v>104</v>
      </c>
      <c r="J49" s="15" t="s">
        <v>33</v>
      </c>
      <c r="K49" s="15" t="s">
        <v>35</v>
      </c>
      <c r="L49" s="15" t="s">
        <v>323</v>
      </c>
      <c r="M49" s="15" t="s">
        <v>38</v>
      </c>
      <c r="N49" s="15"/>
      <c r="O49" s="15"/>
      <c r="P49" s="45">
        <f>H49+SUMIFS(Movimientos!$F$2:$F$5000,Movimientos!$D$2:$D$5000,$A49,Movimientos!$C$2:$C$5000,"Ingreso inventario")+SUMIFS(Movimientos!$F$2:$F$5000,Movimientos!$D$2:$D$5000,$A49,Movimientos!$C$2:$C$5000,"Ajuste")-SUMIFS(Movimientos!$F$2:$F$5000,Movimientos!$D$2:$D$5000,$A49,Movimientos!$C$2:$C$5000,"Consumido en evento")-SUMIFS(Movimientos!$F$2:$F$5000,Movimientos!$D$2:$D$5000,$A49,Movimientos!$C$2:$C$5000,"Consumo interno")-SUMIFS(Movimientos!$F$2:$F$5000,Movimientos!$D$2:$D$5000,$A49,Movimientos!$C$2:$C$5000,"Baja")-SUMIFS(Movimientos!$F$2:$F$5000,Movimientos!$D$2:$D$5000,$A49,Movimientos!$C$2:$C$5000,"Baja desde reparación")</f>
        <v>2</v>
      </c>
      <c r="Q49" s="45">
        <f>SUMIFS(Movimientos!$F$2:$F$5000,Movimientos!$D$2:$D$5000,$A49,Movimientos!$C$2:$C$5000,"Salida alquiler")-SUMIFS(Movimientos!$F$2:$F$5000,Movimientos!$D$2:$D$5000,$A49,Movimientos!$C$2:$C$5000,"Retorno alquiler")-SUMIFS(Movimientos!$F$2:$F$5000,Movimientos!$D$2:$D$5000,$A49,Movimientos!$C$2:$C$5000,"Consumido en evento")-SUMIFS(Movimientos!$F$2:$F$5000,Movimientos!$D$2:$D$5000,$A49,Movimientos!$C$2:$C$5000,"A reparación")</f>
        <v>0</v>
      </c>
      <c r="R49" s="45">
        <f>SUMIFS(Movimientos!$F$2:$F$5000,Movimientos!$D$2:$D$5000,$A49,Movimientos!$C$2:$C$5000,"A reparación")-SUMIFS(Movimientos!$F$2:$F$5000,Movimientos!$D$2:$D$5000,$A49,Movimientos!$C$2:$C$5000,"Retorno reparación")-SUMIFS(Movimientos!$F$2:$F$5000,Movimientos!$D$2:$D$5000,$A49,Movimientos!$C$2:$C$5000,"Baja desde reparación")</f>
        <v>0</v>
      </c>
      <c r="S49" s="45">
        <f>P49-Q49-R49</f>
        <v>2</v>
      </c>
    </row>
    <row r="50" spans="1:19">
      <c r="A50" s="15" t="s">
        <v>324</v>
      </c>
      <c r="B50" s="15" t="s">
        <v>325</v>
      </c>
      <c r="C50" s="42" t="s">
        <v>326</v>
      </c>
      <c r="D50" s="15" t="s">
        <v>101</v>
      </c>
      <c r="E50" s="42" t="s">
        <v>327</v>
      </c>
      <c r="F50" s="43">
        <v>1</v>
      </c>
      <c r="G50" s="15" t="s">
        <v>317</v>
      </c>
      <c r="H50" s="44">
        <v>2</v>
      </c>
      <c r="I50" s="15" t="s">
        <v>104</v>
      </c>
      <c r="J50" s="15" t="s">
        <v>33</v>
      </c>
      <c r="K50" s="15" t="s">
        <v>35</v>
      </c>
      <c r="L50" s="15"/>
      <c r="M50" s="15" t="s">
        <v>38</v>
      </c>
      <c r="N50" s="15"/>
      <c r="O50" s="15"/>
      <c r="P50" s="45">
        <f>H50+SUMIFS(Movimientos!$F$2:$F$5000,Movimientos!$D$2:$D$5000,$A50,Movimientos!$C$2:$C$5000,"Ingreso inventario")+SUMIFS(Movimientos!$F$2:$F$5000,Movimientos!$D$2:$D$5000,$A50,Movimientos!$C$2:$C$5000,"Ajuste")-SUMIFS(Movimientos!$F$2:$F$5000,Movimientos!$D$2:$D$5000,$A50,Movimientos!$C$2:$C$5000,"Consumido en evento")-SUMIFS(Movimientos!$F$2:$F$5000,Movimientos!$D$2:$D$5000,$A50,Movimientos!$C$2:$C$5000,"Consumo interno")-SUMIFS(Movimientos!$F$2:$F$5000,Movimientos!$D$2:$D$5000,$A50,Movimientos!$C$2:$C$5000,"Baja")-SUMIFS(Movimientos!$F$2:$F$5000,Movimientos!$D$2:$D$5000,$A50,Movimientos!$C$2:$C$5000,"Baja desde reparación")</f>
        <v>2</v>
      </c>
      <c r="Q50" s="45">
        <f>SUMIFS(Movimientos!$F$2:$F$5000,Movimientos!$D$2:$D$5000,$A50,Movimientos!$C$2:$C$5000,"Salida alquiler")-SUMIFS(Movimientos!$F$2:$F$5000,Movimientos!$D$2:$D$5000,$A50,Movimientos!$C$2:$C$5000,"Retorno alquiler")-SUMIFS(Movimientos!$F$2:$F$5000,Movimientos!$D$2:$D$5000,$A50,Movimientos!$C$2:$C$5000,"Consumido en evento")-SUMIFS(Movimientos!$F$2:$F$5000,Movimientos!$D$2:$D$5000,$A50,Movimientos!$C$2:$C$5000,"A reparación")</f>
        <v>0</v>
      </c>
      <c r="R50" s="45">
        <f>SUMIFS(Movimientos!$F$2:$F$5000,Movimientos!$D$2:$D$5000,$A50,Movimientos!$C$2:$C$5000,"A reparación")-SUMIFS(Movimientos!$F$2:$F$5000,Movimientos!$D$2:$D$5000,$A50,Movimientos!$C$2:$C$5000,"Retorno reparación")-SUMIFS(Movimientos!$F$2:$F$5000,Movimientos!$D$2:$D$5000,$A50,Movimientos!$C$2:$C$5000,"Baja desde reparación")</f>
        <v>0</v>
      </c>
      <c r="S50" s="45">
        <f>P50-Q50-R50</f>
        <v>2</v>
      </c>
    </row>
    <row r="51" spans="1:19">
      <c r="A51" s="15" t="s">
        <v>328</v>
      </c>
      <c r="B51" s="15" t="s">
        <v>329</v>
      </c>
      <c r="C51" s="42" t="s">
        <v>330</v>
      </c>
      <c r="D51" s="15" t="s">
        <v>101</v>
      </c>
      <c r="E51" s="42" t="s">
        <v>331</v>
      </c>
      <c r="F51" s="43">
        <v>1</v>
      </c>
      <c r="G51" s="15" t="s">
        <v>317</v>
      </c>
      <c r="H51" s="44">
        <v>1</v>
      </c>
      <c r="I51" s="15" t="s">
        <v>104</v>
      </c>
      <c r="J51" s="15" t="s">
        <v>33</v>
      </c>
      <c r="K51" s="15" t="s">
        <v>35</v>
      </c>
      <c r="L51" s="15"/>
      <c r="M51" s="15" t="s">
        <v>38</v>
      </c>
      <c r="N51" s="15"/>
      <c r="O51" s="15"/>
      <c r="P51" s="45">
        <f>H51+SUMIFS(Movimientos!$F$2:$F$5000,Movimientos!$D$2:$D$5000,$A51,Movimientos!$C$2:$C$5000,"Ingreso inventario")+SUMIFS(Movimientos!$F$2:$F$5000,Movimientos!$D$2:$D$5000,$A51,Movimientos!$C$2:$C$5000,"Ajuste")-SUMIFS(Movimientos!$F$2:$F$5000,Movimientos!$D$2:$D$5000,$A51,Movimientos!$C$2:$C$5000,"Consumido en evento")-SUMIFS(Movimientos!$F$2:$F$5000,Movimientos!$D$2:$D$5000,$A51,Movimientos!$C$2:$C$5000,"Consumo interno")-SUMIFS(Movimientos!$F$2:$F$5000,Movimientos!$D$2:$D$5000,$A51,Movimientos!$C$2:$C$5000,"Baja")-SUMIFS(Movimientos!$F$2:$F$5000,Movimientos!$D$2:$D$5000,$A51,Movimientos!$C$2:$C$5000,"Baja desde reparación")</f>
        <v>1</v>
      </c>
      <c r="Q51" s="45">
        <f>SUMIFS(Movimientos!$F$2:$F$5000,Movimientos!$D$2:$D$5000,$A51,Movimientos!$C$2:$C$5000,"Salida alquiler")-SUMIFS(Movimientos!$F$2:$F$5000,Movimientos!$D$2:$D$5000,$A51,Movimientos!$C$2:$C$5000,"Retorno alquiler")-SUMIFS(Movimientos!$F$2:$F$5000,Movimientos!$D$2:$D$5000,$A51,Movimientos!$C$2:$C$5000,"Consumido en evento")-SUMIFS(Movimientos!$F$2:$F$5000,Movimientos!$D$2:$D$5000,$A51,Movimientos!$C$2:$C$5000,"A reparación")</f>
        <v>0</v>
      </c>
      <c r="R51" s="45">
        <f>SUMIFS(Movimientos!$F$2:$F$5000,Movimientos!$D$2:$D$5000,$A51,Movimientos!$C$2:$C$5000,"A reparación")-SUMIFS(Movimientos!$F$2:$F$5000,Movimientos!$D$2:$D$5000,$A51,Movimientos!$C$2:$C$5000,"Retorno reparación")-SUMIFS(Movimientos!$F$2:$F$5000,Movimientos!$D$2:$D$5000,$A51,Movimientos!$C$2:$C$5000,"Baja desde reparación")</f>
        <v>0</v>
      </c>
      <c r="S51" s="45">
        <f>P51-Q51-R51</f>
        <v>1</v>
      </c>
    </row>
    <row r="52" spans="1:19">
      <c r="A52" s="15" t="s">
        <v>332</v>
      </c>
      <c r="B52" s="15" t="s">
        <v>333</v>
      </c>
      <c r="C52" s="42" t="s">
        <v>334</v>
      </c>
      <c r="D52" s="15" t="s">
        <v>101</v>
      </c>
      <c r="E52" s="42" t="s">
        <v>335</v>
      </c>
      <c r="F52" s="43">
        <v>1</v>
      </c>
      <c r="G52" s="15" t="s">
        <v>317</v>
      </c>
      <c r="H52" s="44">
        <v>3</v>
      </c>
      <c r="I52" s="15" t="s">
        <v>104</v>
      </c>
      <c r="J52" s="15" t="s">
        <v>33</v>
      </c>
      <c r="K52" s="15" t="s">
        <v>35</v>
      </c>
      <c r="L52" s="15"/>
      <c r="M52" s="15" t="s">
        <v>38</v>
      </c>
      <c r="N52" s="15"/>
      <c r="O52" s="15"/>
      <c r="P52" s="45">
        <f>H52+SUMIFS(Movimientos!$F$2:$F$5000,Movimientos!$D$2:$D$5000,$A52,Movimientos!$C$2:$C$5000,"Ingreso inventario")+SUMIFS(Movimientos!$F$2:$F$5000,Movimientos!$D$2:$D$5000,$A52,Movimientos!$C$2:$C$5000,"Ajuste")-SUMIFS(Movimientos!$F$2:$F$5000,Movimientos!$D$2:$D$5000,$A52,Movimientos!$C$2:$C$5000,"Consumido en evento")-SUMIFS(Movimientos!$F$2:$F$5000,Movimientos!$D$2:$D$5000,$A52,Movimientos!$C$2:$C$5000,"Consumo interno")-SUMIFS(Movimientos!$F$2:$F$5000,Movimientos!$D$2:$D$5000,$A52,Movimientos!$C$2:$C$5000,"Baja")-SUMIFS(Movimientos!$F$2:$F$5000,Movimientos!$D$2:$D$5000,$A52,Movimientos!$C$2:$C$5000,"Baja desde reparación")</f>
        <v>3</v>
      </c>
      <c r="Q52" s="45">
        <f>SUMIFS(Movimientos!$F$2:$F$5000,Movimientos!$D$2:$D$5000,$A52,Movimientos!$C$2:$C$5000,"Salida alquiler")-SUMIFS(Movimientos!$F$2:$F$5000,Movimientos!$D$2:$D$5000,$A52,Movimientos!$C$2:$C$5000,"Retorno alquiler")-SUMIFS(Movimientos!$F$2:$F$5000,Movimientos!$D$2:$D$5000,$A52,Movimientos!$C$2:$C$5000,"Consumido en evento")-SUMIFS(Movimientos!$F$2:$F$5000,Movimientos!$D$2:$D$5000,$A52,Movimientos!$C$2:$C$5000,"A reparación")</f>
        <v>0</v>
      </c>
      <c r="R52" s="45">
        <f>SUMIFS(Movimientos!$F$2:$F$5000,Movimientos!$D$2:$D$5000,$A52,Movimientos!$C$2:$C$5000,"A reparación")-SUMIFS(Movimientos!$F$2:$F$5000,Movimientos!$D$2:$D$5000,$A52,Movimientos!$C$2:$C$5000,"Retorno reparación")-SUMIFS(Movimientos!$F$2:$F$5000,Movimientos!$D$2:$D$5000,$A52,Movimientos!$C$2:$C$5000,"Baja desde reparación")</f>
        <v>0</v>
      </c>
      <c r="S52" s="45">
        <f>P52-Q52-R52</f>
        <v>3</v>
      </c>
    </row>
    <row r="53" spans="1:19">
      <c r="A53" s="15" t="s">
        <v>336</v>
      </c>
      <c r="B53" s="15" t="s">
        <v>337</v>
      </c>
      <c r="C53" s="42" t="s">
        <v>338</v>
      </c>
      <c r="D53" s="15" t="s">
        <v>101</v>
      </c>
      <c r="E53" s="42" t="s">
        <v>339</v>
      </c>
      <c r="F53" s="43">
        <v>1</v>
      </c>
      <c r="G53" s="15" t="s">
        <v>317</v>
      </c>
      <c r="H53" s="44">
        <v>1</v>
      </c>
      <c r="I53" s="15" t="s">
        <v>104</v>
      </c>
      <c r="J53" s="15" t="s">
        <v>33</v>
      </c>
      <c r="K53" s="15" t="s">
        <v>35</v>
      </c>
      <c r="L53" s="15" t="s">
        <v>340</v>
      </c>
      <c r="M53" s="15" t="s">
        <v>38</v>
      </c>
      <c r="N53" s="15"/>
      <c r="O53" s="15"/>
      <c r="P53" s="45">
        <f>H53+SUMIFS(Movimientos!$F$2:$F$5000,Movimientos!$D$2:$D$5000,$A53,Movimientos!$C$2:$C$5000,"Ingreso inventario")+SUMIFS(Movimientos!$F$2:$F$5000,Movimientos!$D$2:$D$5000,$A53,Movimientos!$C$2:$C$5000,"Ajuste")-SUMIFS(Movimientos!$F$2:$F$5000,Movimientos!$D$2:$D$5000,$A53,Movimientos!$C$2:$C$5000,"Consumido en evento")-SUMIFS(Movimientos!$F$2:$F$5000,Movimientos!$D$2:$D$5000,$A53,Movimientos!$C$2:$C$5000,"Consumo interno")-SUMIFS(Movimientos!$F$2:$F$5000,Movimientos!$D$2:$D$5000,$A53,Movimientos!$C$2:$C$5000,"Baja")-SUMIFS(Movimientos!$F$2:$F$5000,Movimientos!$D$2:$D$5000,$A53,Movimientos!$C$2:$C$5000,"Baja desde reparación")</f>
        <v>1</v>
      </c>
      <c r="Q53" s="45">
        <f>SUMIFS(Movimientos!$F$2:$F$5000,Movimientos!$D$2:$D$5000,$A53,Movimientos!$C$2:$C$5000,"Salida alquiler")-SUMIFS(Movimientos!$F$2:$F$5000,Movimientos!$D$2:$D$5000,$A53,Movimientos!$C$2:$C$5000,"Retorno alquiler")-SUMIFS(Movimientos!$F$2:$F$5000,Movimientos!$D$2:$D$5000,$A53,Movimientos!$C$2:$C$5000,"Consumido en evento")-SUMIFS(Movimientos!$F$2:$F$5000,Movimientos!$D$2:$D$5000,$A53,Movimientos!$C$2:$C$5000,"A reparación")</f>
        <v>0</v>
      </c>
      <c r="R53" s="45">
        <f>SUMIFS(Movimientos!$F$2:$F$5000,Movimientos!$D$2:$D$5000,$A53,Movimientos!$C$2:$C$5000,"A reparación")-SUMIFS(Movimientos!$F$2:$F$5000,Movimientos!$D$2:$D$5000,$A53,Movimientos!$C$2:$C$5000,"Retorno reparación")-SUMIFS(Movimientos!$F$2:$F$5000,Movimientos!$D$2:$D$5000,$A53,Movimientos!$C$2:$C$5000,"Baja desde reparación")</f>
        <v>0</v>
      </c>
      <c r="S53" s="45">
        <f>P53-Q53-R53</f>
        <v>1</v>
      </c>
    </row>
    <row r="54" spans="1:19">
      <c r="A54" s="15" t="s">
        <v>341</v>
      </c>
      <c r="B54" s="15" t="s">
        <v>342</v>
      </c>
      <c r="C54" s="42" t="s">
        <v>343</v>
      </c>
      <c r="D54" s="15" t="s">
        <v>101</v>
      </c>
      <c r="E54" s="42" t="s">
        <v>344</v>
      </c>
      <c r="F54" s="43">
        <v>1</v>
      </c>
      <c r="G54" s="15" t="s">
        <v>317</v>
      </c>
      <c r="H54" s="44">
        <v>1</v>
      </c>
      <c r="I54" s="15" t="s">
        <v>104</v>
      </c>
      <c r="J54" s="15" t="s">
        <v>33</v>
      </c>
      <c r="K54" s="15" t="s">
        <v>35</v>
      </c>
      <c r="L54" s="15" t="s">
        <v>345</v>
      </c>
      <c r="M54" s="15" t="s">
        <v>38</v>
      </c>
      <c r="N54" s="15"/>
      <c r="O54" s="15"/>
      <c r="P54" s="45">
        <f>H54+SUMIFS(Movimientos!$F$2:$F$5000,Movimientos!$D$2:$D$5000,$A54,Movimientos!$C$2:$C$5000,"Ingreso inventario")+SUMIFS(Movimientos!$F$2:$F$5000,Movimientos!$D$2:$D$5000,$A54,Movimientos!$C$2:$C$5000,"Ajuste")-SUMIFS(Movimientos!$F$2:$F$5000,Movimientos!$D$2:$D$5000,$A54,Movimientos!$C$2:$C$5000,"Consumido en evento")-SUMIFS(Movimientos!$F$2:$F$5000,Movimientos!$D$2:$D$5000,$A54,Movimientos!$C$2:$C$5000,"Consumo interno")-SUMIFS(Movimientos!$F$2:$F$5000,Movimientos!$D$2:$D$5000,$A54,Movimientos!$C$2:$C$5000,"Baja")-SUMIFS(Movimientos!$F$2:$F$5000,Movimientos!$D$2:$D$5000,$A54,Movimientos!$C$2:$C$5000,"Baja desde reparación")</f>
        <v>1</v>
      </c>
      <c r="Q54" s="45">
        <f>SUMIFS(Movimientos!$F$2:$F$5000,Movimientos!$D$2:$D$5000,$A54,Movimientos!$C$2:$C$5000,"Salida alquiler")-SUMIFS(Movimientos!$F$2:$F$5000,Movimientos!$D$2:$D$5000,$A54,Movimientos!$C$2:$C$5000,"Retorno alquiler")-SUMIFS(Movimientos!$F$2:$F$5000,Movimientos!$D$2:$D$5000,$A54,Movimientos!$C$2:$C$5000,"Consumido en evento")-SUMIFS(Movimientos!$F$2:$F$5000,Movimientos!$D$2:$D$5000,$A54,Movimientos!$C$2:$C$5000,"A reparación")</f>
        <v>0</v>
      </c>
      <c r="R54" s="45">
        <f>SUMIFS(Movimientos!$F$2:$F$5000,Movimientos!$D$2:$D$5000,$A54,Movimientos!$C$2:$C$5000,"A reparación")-SUMIFS(Movimientos!$F$2:$F$5000,Movimientos!$D$2:$D$5000,$A54,Movimientos!$C$2:$C$5000,"Retorno reparación")-SUMIFS(Movimientos!$F$2:$F$5000,Movimientos!$D$2:$D$5000,$A54,Movimientos!$C$2:$C$5000,"Baja desde reparación")</f>
        <v>0</v>
      </c>
      <c r="S54" s="45">
        <f>P54-Q54-R54</f>
        <v>1</v>
      </c>
    </row>
    <row r="55" spans="1:19">
      <c r="A55" s="15" t="s">
        <v>346</v>
      </c>
      <c r="B55" s="15" t="s">
        <v>347</v>
      </c>
      <c r="C55" s="42" t="s">
        <v>348</v>
      </c>
      <c r="D55" s="15" t="s">
        <v>101</v>
      </c>
      <c r="E55" s="42" t="s">
        <v>349</v>
      </c>
      <c r="F55" s="43">
        <v>1</v>
      </c>
      <c r="G55" s="15" t="s">
        <v>317</v>
      </c>
      <c r="H55" s="44">
        <v>1</v>
      </c>
      <c r="I55" s="15" t="s">
        <v>104</v>
      </c>
      <c r="J55" s="15" t="s">
        <v>33</v>
      </c>
      <c r="K55" s="15" t="s">
        <v>35</v>
      </c>
      <c r="L55" s="15" t="s">
        <v>350</v>
      </c>
      <c r="M55" s="15" t="s">
        <v>38</v>
      </c>
      <c r="N55" s="15"/>
      <c r="O55" s="15"/>
      <c r="P55" s="45">
        <f>H55+SUMIFS(Movimientos!$F$2:$F$5000,Movimientos!$D$2:$D$5000,$A55,Movimientos!$C$2:$C$5000,"Ingreso inventario")+SUMIFS(Movimientos!$F$2:$F$5000,Movimientos!$D$2:$D$5000,$A55,Movimientos!$C$2:$C$5000,"Ajuste")-SUMIFS(Movimientos!$F$2:$F$5000,Movimientos!$D$2:$D$5000,$A55,Movimientos!$C$2:$C$5000,"Consumido en evento")-SUMIFS(Movimientos!$F$2:$F$5000,Movimientos!$D$2:$D$5000,$A55,Movimientos!$C$2:$C$5000,"Consumo interno")-SUMIFS(Movimientos!$F$2:$F$5000,Movimientos!$D$2:$D$5000,$A55,Movimientos!$C$2:$C$5000,"Baja")-SUMIFS(Movimientos!$F$2:$F$5000,Movimientos!$D$2:$D$5000,$A55,Movimientos!$C$2:$C$5000,"Baja desde reparación")</f>
        <v>1</v>
      </c>
      <c r="Q55" s="45">
        <f>SUMIFS(Movimientos!$F$2:$F$5000,Movimientos!$D$2:$D$5000,$A55,Movimientos!$C$2:$C$5000,"Salida alquiler")-SUMIFS(Movimientos!$F$2:$F$5000,Movimientos!$D$2:$D$5000,$A55,Movimientos!$C$2:$C$5000,"Retorno alquiler")-SUMIFS(Movimientos!$F$2:$F$5000,Movimientos!$D$2:$D$5000,$A55,Movimientos!$C$2:$C$5000,"Consumido en evento")-SUMIFS(Movimientos!$F$2:$F$5000,Movimientos!$D$2:$D$5000,$A55,Movimientos!$C$2:$C$5000,"A reparación")</f>
        <v>0</v>
      </c>
      <c r="R55" s="45">
        <f>SUMIFS(Movimientos!$F$2:$F$5000,Movimientos!$D$2:$D$5000,$A55,Movimientos!$C$2:$C$5000,"A reparación")-SUMIFS(Movimientos!$F$2:$F$5000,Movimientos!$D$2:$D$5000,$A55,Movimientos!$C$2:$C$5000,"Retorno reparación")-SUMIFS(Movimientos!$F$2:$F$5000,Movimientos!$D$2:$D$5000,$A55,Movimientos!$C$2:$C$5000,"Baja desde reparación")</f>
        <v>0</v>
      </c>
      <c r="S55" s="45">
        <f>P55-Q55-R55</f>
        <v>1</v>
      </c>
    </row>
    <row r="56" spans="1:19">
      <c r="A56" s="15" t="s">
        <v>351</v>
      </c>
      <c r="B56" s="15" t="s">
        <v>352</v>
      </c>
      <c r="C56" s="42" t="s">
        <v>353</v>
      </c>
      <c r="D56" s="15" t="s">
        <v>101</v>
      </c>
      <c r="E56" s="42" t="s">
        <v>354</v>
      </c>
      <c r="F56" s="43">
        <v>1</v>
      </c>
      <c r="G56" s="15" t="s">
        <v>168</v>
      </c>
      <c r="H56" s="44">
        <v>1</v>
      </c>
      <c r="I56" s="15" t="s">
        <v>104</v>
      </c>
      <c r="J56" s="15" t="s">
        <v>33</v>
      </c>
      <c r="K56" s="15" t="s">
        <v>35</v>
      </c>
      <c r="L56" s="15"/>
      <c r="M56" s="15" t="s">
        <v>38</v>
      </c>
      <c r="N56" s="15"/>
      <c r="O56" s="15"/>
      <c r="P56" s="45">
        <f>H56+SUMIFS(Movimientos!$F$2:$F$5000,Movimientos!$D$2:$D$5000,$A56,Movimientos!$C$2:$C$5000,"Ingreso inventario")+SUMIFS(Movimientos!$F$2:$F$5000,Movimientos!$D$2:$D$5000,$A56,Movimientos!$C$2:$C$5000,"Ajuste")-SUMIFS(Movimientos!$F$2:$F$5000,Movimientos!$D$2:$D$5000,$A56,Movimientos!$C$2:$C$5000,"Consumido en evento")-SUMIFS(Movimientos!$F$2:$F$5000,Movimientos!$D$2:$D$5000,$A56,Movimientos!$C$2:$C$5000,"Consumo interno")-SUMIFS(Movimientos!$F$2:$F$5000,Movimientos!$D$2:$D$5000,$A56,Movimientos!$C$2:$C$5000,"Baja")-SUMIFS(Movimientos!$F$2:$F$5000,Movimientos!$D$2:$D$5000,$A56,Movimientos!$C$2:$C$5000,"Baja desde reparación")</f>
        <v>1</v>
      </c>
      <c r="Q56" s="45">
        <f>SUMIFS(Movimientos!$F$2:$F$5000,Movimientos!$D$2:$D$5000,$A56,Movimientos!$C$2:$C$5000,"Salida alquiler")-SUMIFS(Movimientos!$F$2:$F$5000,Movimientos!$D$2:$D$5000,$A56,Movimientos!$C$2:$C$5000,"Retorno alquiler")-SUMIFS(Movimientos!$F$2:$F$5000,Movimientos!$D$2:$D$5000,$A56,Movimientos!$C$2:$C$5000,"Consumido en evento")-SUMIFS(Movimientos!$F$2:$F$5000,Movimientos!$D$2:$D$5000,$A56,Movimientos!$C$2:$C$5000,"A reparación")</f>
        <v>0</v>
      </c>
      <c r="R56" s="45">
        <f>SUMIFS(Movimientos!$F$2:$F$5000,Movimientos!$D$2:$D$5000,$A56,Movimientos!$C$2:$C$5000,"A reparación")-SUMIFS(Movimientos!$F$2:$F$5000,Movimientos!$D$2:$D$5000,$A56,Movimientos!$C$2:$C$5000,"Retorno reparación")-SUMIFS(Movimientos!$F$2:$F$5000,Movimientos!$D$2:$D$5000,$A56,Movimientos!$C$2:$C$5000,"Baja desde reparación")</f>
        <v>0</v>
      </c>
      <c r="S56" s="45">
        <f>P56-Q56-R56</f>
        <v>1</v>
      </c>
    </row>
    <row r="57" spans="1:19">
      <c r="A57" s="15" t="s">
        <v>355</v>
      </c>
      <c r="B57" s="15" t="s">
        <v>356</v>
      </c>
      <c r="C57" s="42" t="s">
        <v>357</v>
      </c>
      <c r="D57" s="15" t="s">
        <v>101</v>
      </c>
      <c r="E57" s="42" t="s">
        <v>358</v>
      </c>
      <c r="F57" s="43">
        <v>1</v>
      </c>
      <c r="G57" s="15" t="s">
        <v>168</v>
      </c>
      <c r="H57" s="44">
        <v>4</v>
      </c>
      <c r="I57" s="15" t="s">
        <v>104</v>
      </c>
      <c r="J57" s="15" t="s">
        <v>33</v>
      </c>
      <c r="K57" s="15" t="s">
        <v>35</v>
      </c>
      <c r="L57" s="15"/>
      <c r="M57" s="15" t="s">
        <v>38</v>
      </c>
      <c r="N57" s="15"/>
      <c r="O57" s="15"/>
      <c r="P57" s="45">
        <f>H57+SUMIFS(Movimientos!$F$2:$F$5000,Movimientos!$D$2:$D$5000,$A57,Movimientos!$C$2:$C$5000,"Ingreso inventario")+SUMIFS(Movimientos!$F$2:$F$5000,Movimientos!$D$2:$D$5000,$A57,Movimientos!$C$2:$C$5000,"Ajuste")-SUMIFS(Movimientos!$F$2:$F$5000,Movimientos!$D$2:$D$5000,$A57,Movimientos!$C$2:$C$5000,"Consumido en evento")-SUMIFS(Movimientos!$F$2:$F$5000,Movimientos!$D$2:$D$5000,$A57,Movimientos!$C$2:$C$5000,"Consumo interno")-SUMIFS(Movimientos!$F$2:$F$5000,Movimientos!$D$2:$D$5000,$A57,Movimientos!$C$2:$C$5000,"Baja")-SUMIFS(Movimientos!$F$2:$F$5000,Movimientos!$D$2:$D$5000,$A57,Movimientos!$C$2:$C$5000,"Baja desde reparación")</f>
        <v>4</v>
      </c>
      <c r="Q57" s="45">
        <f>SUMIFS(Movimientos!$F$2:$F$5000,Movimientos!$D$2:$D$5000,$A57,Movimientos!$C$2:$C$5000,"Salida alquiler")-SUMIFS(Movimientos!$F$2:$F$5000,Movimientos!$D$2:$D$5000,$A57,Movimientos!$C$2:$C$5000,"Retorno alquiler")-SUMIFS(Movimientos!$F$2:$F$5000,Movimientos!$D$2:$D$5000,$A57,Movimientos!$C$2:$C$5000,"Consumido en evento")-SUMIFS(Movimientos!$F$2:$F$5000,Movimientos!$D$2:$D$5000,$A57,Movimientos!$C$2:$C$5000,"A reparación")</f>
        <v>0</v>
      </c>
      <c r="R57" s="45">
        <f>SUMIFS(Movimientos!$F$2:$F$5000,Movimientos!$D$2:$D$5000,$A57,Movimientos!$C$2:$C$5000,"A reparación")-SUMIFS(Movimientos!$F$2:$F$5000,Movimientos!$D$2:$D$5000,$A57,Movimientos!$C$2:$C$5000,"Retorno reparación")-SUMIFS(Movimientos!$F$2:$F$5000,Movimientos!$D$2:$D$5000,$A57,Movimientos!$C$2:$C$5000,"Baja desde reparación")</f>
        <v>0</v>
      </c>
      <c r="S57" s="45">
        <f>P57-Q57-R57</f>
        <v>4</v>
      </c>
    </row>
    <row r="58" spans="1:19">
      <c r="A58" s="15" t="s">
        <v>359</v>
      </c>
      <c r="B58" s="15" t="s">
        <v>360</v>
      </c>
      <c r="C58" s="42" t="s">
        <v>361</v>
      </c>
      <c r="D58" s="15" t="s">
        <v>101</v>
      </c>
      <c r="E58" s="42" t="s">
        <v>362</v>
      </c>
      <c r="F58" s="43">
        <v>1</v>
      </c>
      <c r="G58" s="15" t="s">
        <v>363</v>
      </c>
      <c r="H58" s="44">
        <v>106</v>
      </c>
      <c r="I58" s="15" t="s">
        <v>104</v>
      </c>
      <c r="J58" s="15" t="s">
        <v>33</v>
      </c>
      <c r="K58" s="15" t="s">
        <v>35</v>
      </c>
      <c r="L58" s="15"/>
      <c r="M58" s="15" t="s">
        <v>38</v>
      </c>
      <c r="N58" s="15"/>
      <c r="O58" s="15"/>
      <c r="P58" s="45">
        <f>H58+SUMIFS(Movimientos!$F$2:$F$5000,Movimientos!$D$2:$D$5000,$A58,Movimientos!$C$2:$C$5000,"Ingreso inventario")+SUMIFS(Movimientos!$F$2:$F$5000,Movimientos!$D$2:$D$5000,$A58,Movimientos!$C$2:$C$5000,"Ajuste")-SUMIFS(Movimientos!$F$2:$F$5000,Movimientos!$D$2:$D$5000,$A58,Movimientos!$C$2:$C$5000,"Consumido en evento")-SUMIFS(Movimientos!$F$2:$F$5000,Movimientos!$D$2:$D$5000,$A58,Movimientos!$C$2:$C$5000,"Consumo interno")-SUMIFS(Movimientos!$F$2:$F$5000,Movimientos!$D$2:$D$5000,$A58,Movimientos!$C$2:$C$5000,"Baja")-SUMIFS(Movimientos!$F$2:$F$5000,Movimientos!$D$2:$D$5000,$A58,Movimientos!$C$2:$C$5000,"Baja desde reparación")</f>
        <v>106</v>
      </c>
      <c r="Q58" s="45">
        <f>SUMIFS(Movimientos!$F$2:$F$5000,Movimientos!$D$2:$D$5000,$A58,Movimientos!$C$2:$C$5000,"Salida alquiler")-SUMIFS(Movimientos!$F$2:$F$5000,Movimientos!$D$2:$D$5000,$A58,Movimientos!$C$2:$C$5000,"Retorno alquiler")-SUMIFS(Movimientos!$F$2:$F$5000,Movimientos!$D$2:$D$5000,$A58,Movimientos!$C$2:$C$5000,"Consumido en evento")-SUMIFS(Movimientos!$F$2:$F$5000,Movimientos!$D$2:$D$5000,$A58,Movimientos!$C$2:$C$5000,"A reparación")</f>
        <v>0</v>
      </c>
      <c r="R58" s="45">
        <f>SUMIFS(Movimientos!$F$2:$F$5000,Movimientos!$D$2:$D$5000,$A58,Movimientos!$C$2:$C$5000,"A reparación")-SUMIFS(Movimientos!$F$2:$F$5000,Movimientos!$D$2:$D$5000,$A58,Movimientos!$C$2:$C$5000,"Retorno reparación")-SUMIFS(Movimientos!$F$2:$F$5000,Movimientos!$D$2:$D$5000,$A58,Movimientos!$C$2:$C$5000,"Baja desde reparación")</f>
        <v>0</v>
      </c>
      <c r="S58" s="45">
        <f>P58-Q58-R58</f>
        <v>106</v>
      </c>
    </row>
    <row r="59" spans="1:19">
      <c r="A59" s="15" t="s">
        <v>364</v>
      </c>
      <c r="B59" s="15" t="s">
        <v>365</v>
      </c>
      <c r="C59" s="42" t="s">
        <v>366</v>
      </c>
      <c r="D59" s="15" t="s">
        <v>101</v>
      </c>
      <c r="E59" s="42" t="s">
        <v>367</v>
      </c>
      <c r="F59" s="43">
        <v>1</v>
      </c>
      <c r="G59" s="15" t="s">
        <v>363</v>
      </c>
      <c r="H59" s="44">
        <v>121</v>
      </c>
      <c r="I59" s="15" t="s">
        <v>104</v>
      </c>
      <c r="J59" s="15" t="s">
        <v>33</v>
      </c>
      <c r="K59" s="15" t="s">
        <v>35</v>
      </c>
      <c r="L59" s="15"/>
      <c r="M59" s="15" t="s">
        <v>38</v>
      </c>
      <c r="N59" s="15"/>
      <c r="O59" s="15"/>
      <c r="P59" s="45">
        <f>H59+SUMIFS(Movimientos!$F$2:$F$5000,Movimientos!$D$2:$D$5000,$A59,Movimientos!$C$2:$C$5000,"Ingreso inventario")+SUMIFS(Movimientos!$F$2:$F$5000,Movimientos!$D$2:$D$5000,$A59,Movimientos!$C$2:$C$5000,"Ajuste")-SUMIFS(Movimientos!$F$2:$F$5000,Movimientos!$D$2:$D$5000,$A59,Movimientos!$C$2:$C$5000,"Consumido en evento")-SUMIFS(Movimientos!$F$2:$F$5000,Movimientos!$D$2:$D$5000,$A59,Movimientos!$C$2:$C$5000,"Consumo interno")-SUMIFS(Movimientos!$F$2:$F$5000,Movimientos!$D$2:$D$5000,$A59,Movimientos!$C$2:$C$5000,"Baja")-SUMIFS(Movimientos!$F$2:$F$5000,Movimientos!$D$2:$D$5000,$A59,Movimientos!$C$2:$C$5000,"Baja desde reparación")</f>
        <v>121</v>
      </c>
      <c r="Q59" s="45">
        <f>SUMIFS(Movimientos!$F$2:$F$5000,Movimientos!$D$2:$D$5000,$A59,Movimientos!$C$2:$C$5000,"Salida alquiler")-SUMIFS(Movimientos!$F$2:$F$5000,Movimientos!$D$2:$D$5000,$A59,Movimientos!$C$2:$C$5000,"Retorno alquiler")-SUMIFS(Movimientos!$F$2:$F$5000,Movimientos!$D$2:$D$5000,$A59,Movimientos!$C$2:$C$5000,"Consumido en evento")-SUMIFS(Movimientos!$F$2:$F$5000,Movimientos!$D$2:$D$5000,$A59,Movimientos!$C$2:$C$5000,"A reparación")</f>
        <v>0</v>
      </c>
      <c r="R59" s="45">
        <f>SUMIFS(Movimientos!$F$2:$F$5000,Movimientos!$D$2:$D$5000,$A59,Movimientos!$C$2:$C$5000,"A reparación")-SUMIFS(Movimientos!$F$2:$F$5000,Movimientos!$D$2:$D$5000,$A59,Movimientos!$C$2:$C$5000,"Retorno reparación")-SUMIFS(Movimientos!$F$2:$F$5000,Movimientos!$D$2:$D$5000,$A59,Movimientos!$C$2:$C$5000,"Baja desde reparación")</f>
        <v>0</v>
      </c>
      <c r="S59" s="45">
        <f>P59-Q59-R59</f>
        <v>121</v>
      </c>
    </row>
    <row r="60" spans="1:19">
      <c r="A60" s="15" t="s">
        <v>368</v>
      </c>
      <c r="B60" s="15" t="s">
        <v>369</v>
      </c>
      <c r="C60" s="42" t="s">
        <v>370</v>
      </c>
      <c r="D60" s="15" t="s">
        <v>101</v>
      </c>
      <c r="E60" s="42" t="s">
        <v>371</v>
      </c>
      <c r="F60" s="43">
        <v>1</v>
      </c>
      <c r="G60" s="15" t="s">
        <v>363</v>
      </c>
      <c r="H60" s="44">
        <v>138</v>
      </c>
      <c r="I60" s="15" t="s">
        <v>104</v>
      </c>
      <c r="J60" s="15" t="s">
        <v>33</v>
      </c>
      <c r="K60" s="15" t="s">
        <v>35</v>
      </c>
      <c r="L60" s="15"/>
      <c r="M60" s="15" t="s">
        <v>38</v>
      </c>
      <c r="N60" s="15"/>
      <c r="O60" s="15"/>
      <c r="P60" s="45">
        <f>H60+SUMIFS(Movimientos!$F$2:$F$5000,Movimientos!$D$2:$D$5000,$A60,Movimientos!$C$2:$C$5000,"Ingreso inventario")+SUMIFS(Movimientos!$F$2:$F$5000,Movimientos!$D$2:$D$5000,$A60,Movimientos!$C$2:$C$5000,"Ajuste")-SUMIFS(Movimientos!$F$2:$F$5000,Movimientos!$D$2:$D$5000,$A60,Movimientos!$C$2:$C$5000,"Consumido en evento")-SUMIFS(Movimientos!$F$2:$F$5000,Movimientos!$D$2:$D$5000,$A60,Movimientos!$C$2:$C$5000,"Consumo interno")-SUMIFS(Movimientos!$F$2:$F$5000,Movimientos!$D$2:$D$5000,$A60,Movimientos!$C$2:$C$5000,"Baja")-SUMIFS(Movimientos!$F$2:$F$5000,Movimientos!$D$2:$D$5000,$A60,Movimientos!$C$2:$C$5000,"Baja desde reparación")</f>
        <v>138</v>
      </c>
      <c r="Q60" s="45">
        <f>SUMIFS(Movimientos!$F$2:$F$5000,Movimientos!$D$2:$D$5000,$A60,Movimientos!$C$2:$C$5000,"Salida alquiler")-SUMIFS(Movimientos!$F$2:$F$5000,Movimientos!$D$2:$D$5000,$A60,Movimientos!$C$2:$C$5000,"Retorno alquiler")-SUMIFS(Movimientos!$F$2:$F$5000,Movimientos!$D$2:$D$5000,$A60,Movimientos!$C$2:$C$5000,"Consumido en evento")-SUMIFS(Movimientos!$F$2:$F$5000,Movimientos!$D$2:$D$5000,$A60,Movimientos!$C$2:$C$5000,"A reparación")</f>
        <v>0</v>
      </c>
      <c r="R60" s="45">
        <f>SUMIFS(Movimientos!$F$2:$F$5000,Movimientos!$D$2:$D$5000,$A60,Movimientos!$C$2:$C$5000,"A reparación")-SUMIFS(Movimientos!$F$2:$F$5000,Movimientos!$D$2:$D$5000,$A60,Movimientos!$C$2:$C$5000,"Retorno reparación")-SUMIFS(Movimientos!$F$2:$F$5000,Movimientos!$D$2:$D$5000,$A60,Movimientos!$C$2:$C$5000,"Baja desde reparación")</f>
        <v>0</v>
      </c>
      <c r="S60" s="45">
        <f>P60-Q60-R60</f>
        <v>138</v>
      </c>
    </row>
    <row r="61" spans="1:19">
      <c r="A61" s="15" t="s">
        <v>372</v>
      </c>
      <c r="B61" s="15" t="s">
        <v>373</v>
      </c>
      <c r="C61" s="42" t="s">
        <v>374</v>
      </c>
      <c r="D61" s="15" t="s">
        <v>101</v>
      </c>
      <c r="E61" s="42" t="s">
        <v>375</v>
      </c>
      <c r="F61" s="43">
        <v>1</v>
      </c>
      <c r="G61" s="15" t="s">
        <v>262</v>
      </c>
      <c r="H61" s="44">
        <v>6</v>
      </c>
      <c r="I61" s="15" t="s">
        <v>104</v>
      </c>
      <c r="J61" s="15" t="s">
        <v>33</v>
      </c>
      <c r="K61" s="15" t="s">
        <v>35</v>
      </c>
      <c r="L61" s="15"/>
      <c r="M61" s="15" t="s">
        <v>38</v>
      </c>
      <c r="N61" s="15"/>
      <c r="O61" s="15"/>
      <c r="P61" s="45">
        <f>H61+SUMIFS(Movimientos!$F$2:$F$5000,Movimientos!$D$2:$D$5000,$A61,Movimientos!$C$2:$C$5000,"Ingreso inventario")+SUMIFS(Movimientos!$F$2:$F$5000,Movimientos!$D$2:$D$5000,$A61,Movimientos!$C$2:$C$5000,"Ajuste")-SUMIFS(Movimientos!$F$2:$F$5000,Movimientos!$D$2:$D$5000,$A61,Movimientos!$C$2:$C$5000,"Consumido en evento")-SUMIFS(Movimientos!$F$2:$F$5000,Movimientos!$D$2:$D$5000,$A61,Movimientos!$C$2:$C$5000,"Consumo interno")-SUMIFS(Movimientos!$F$2:$F$5000,Movimientos!$D$2:$D$5000,$A61,Movimientos!$C$2:$C$5000,"Baja")-SUMIFS(Movimientos!$F$2:$F$5000,Movimientos!$D$2:$D$5000,$A61,Movimientos!$C$2:$C$5000,"Baja desde reparación")</f>
        <v>6</v>
      </c>
      <c r="Q61" s="45">
        <f>SUMIFS(Movimientos!$F$2:$F$5000,Movimientos!$D$2:$D$5000,$A61,Movimientos!$C$2:$C$5000,"Salida alquiler")-SUMIFS(Movimientos!$F$2:$F$5000,Movimientos!$D$2:$D$5000,$A61,Movimientos!$C$2:$C$5000,"Retorno alquiler")-SUMIFS(Movimientos!$F$2:$F$5000,Movimientos!$D$2:$D$5000,$A61,Movimientos!$C$2:$C$5000,"Consumido en evento")-SUMIFS(Movimientos!$F$2:$F$5000,Movimientos!$D$2:$D$5000,$A61,Movimientos!$C$2:$C$5000,"A reparación")</f>
        <v>0</v>
      </c>
      <c r="R61" s="45">
        <f>SUMIFS(Movimientos!$F$2:$F$5000,Movimientos!$D$2:$D$5000,$A61,Movimientos!$C$2:$C$5000,"A reparación")-SUMIFS(Movimientos!$F$2:$F$5000,Movimientos!$D$2:$D$5000,$A61,Movimientos!$C$2:$C$5000,"Retorno reparación")-SUMIFS(Movimientos!$F$2:$F$5000,Movimientos!$D$2:$D$5000,$A61,Movimientos!$C$2:$C$5000,"Baja desde reparación")</f>
        <v>0</v>
      </c>
      <c r="S61" s="45">
        <f>P61-Q61-R61</f>
        <v>6</v>
      </c>
    </row>
    <row r="62" spans="1:19">
      <c r="A62" s="15" t="s">
        <v>376</v>
      </c>
      <c r="B62" s="15" t="s">
        <v>377</v>
      </c>
      <c r="C62" s="42" t="s">
        <v>378</v>
      </c>
      <c r="D62" s="15" t="s">
        <v>101</v>
      </c>
      <c r="E62" s="42" t="s">
        <v>379</v>
      </c>
      <c r="F62" s="43">
        <v>1</v>
      </c>
      <c r="G62" s="15" t="s">
        <v>380</v>
      </c>
      <c r="H62" s="44">
        <v>15</v>
      </c>
      <c r="I62" s="15" t="s">
        <v>104</v>
      </c>
      <c r="J62" s="15" t="s">
        <v>33</v>
      </c>
      <c r="K62" s="15" t="s">
        <v>35</v>
      </c>
      <c r="L62" s="15"/>
      <c r="M62" s="15" t="s">
        <v>38</v>
      </c>
      <c r="N62" s="15"/>
      <c r="O62" s="15"/>
      <c r="P62" s="45">
        <f>H62+SUMIFS(Movimientos!$F$2:$F$5000,Movimientos!$D$2:$D$5000,$A62,Movimientos!$C$2:$C$5000,"Ingreso inventario")+SUMIFS(Movimientos!$F$2:$F$5000,Movimientos!$D$2:$D$5000,$A62,Movimientos!$C$2:$C$5000,"Ajuste")-SUMIFS(Movimientos!$F$2:$F$5000,Movimientos!$D$2:$D$5000,$A62,Movimientos!$C$2:$C$5000,"Consumido en evento")-SUMIFS(Movimientos!$F$2:$F$5000,Movimientos!$D$2:$D$5000,$A62,Movimientos!$C$2:$C$5000,"Consumo interno")-SUMIFS(Movimientos!$F$2:$F$5000,Movimientos!$D$2:$D$5000,$A62,Movimientos!$C$2:$C$5000,"Baja")-SUMIFS(Movimientos!$F$2:$F$5000,Movimientos!$D$2:$D$5000,$A62,Movimientos!$C$2:$C$5000,"Baja desde reparación")</f>
        <v>15</v>
      </c>
      <c r="Q62" s="45">
        <f>SUMIFS(Movimientos!$F$2:$F$5000,Movimientos!$D$2:$D$5000,$A62,Movimientos!$C$2:$C$5000,"Salida alquiler")-SUMIFS(Movimientos!$F$2:$F$5000,Movimientos!$D$2:$D$5000,$A62,Movimientos!$C$2:$C$5000,"Retorno alquiler")-SUMIFS(Movimientos!$F$2:$F$5000,Movimientos!$D$2:$D$5000,$A62,Movimientos!$C$2:$C$5000,"Consumido en evento")-SUMIFS(Movimientos!$F$2:$F$5000,Movimientos!$D$2:$D$5000,$A62,Movimientos!$C$2:$C$5000,"A reparación")</f>
        <v>0</v>
      </c>
      <c r="R62" s="45">
        <f>SUMIFS(Movimientos!$F$2:$F$5000,Movimientos!$D$2:$D$5000,$A62,Movimientos!$C$2:$C$5000,"A reparación")-SUMIFS(Movimientos!$F$2:$F$5000,Movimientos!$D$2:$D$5000,$A62,Movimientos!$C$2:$C$5000,"Retorno reparación")-SUMIFS(Movimientos!$F$2:$F$5000,Movimientos!$D$2:$D$5000,$A62,Movimientos!$C$2:$C$5000,"Baja desde reparación")</f>
        <v>0</v>
      </c>
      <c r="S62" s="45">
        <f>P62-Q62-R62</f>
        <v>15</v>
      </c>
    </row>
    <row r="63" spans="1:19">
      <c r="A63" s="15" t="s">
        <v>381</v>
      </c>
      <c r="B63" s="15" t="s">
        <v>382</v>
      </c>
      <c r="C63" s="42" t="s">
        <v>383</v>
      </c>
      <c r="D63" s="15" t="s">
        <v>101</v>
      </c>
      <c r="E63" s="42" t="s">
        <v>384</v>
      </c>
      <c r="F63" s="43">
        <v>1</v>
      </c>
      <c r="G63" s="15" t="s">
        <v>168</v>
      </c>
      <c r="H63" s="44">
        <v>6</v>
      </c>
      <c r="I63" s="15" t="s">
        <v>104</v>
      </c>
      <c r="J63" s="15" t="s">
        <v>33</v>
      </c>
      <c r="K63" s="15" t="s">
        <v>35</v>
      </c>
      <c r="L63" s="15" t="s">
        <v>385</v>
      </c>
      <c r="M63" s="15" t="s">
        <v>38</v>
      </c>
      <c r="N63" s="15"/>
      <c r="O63" s="15"/>
      <c r="P63" s="45">
        <f>H63+SUMIFS(Movimientos!$F$2:$F$5000,Movimientos!$D$2:$D$5000,$A63,Movimientos!$C$2:$C$5000,"Ingreso inventario")+SUMIFS(Movimientos!$F$2:$F$5000,Movimientos!$D$2:$D$5000,$A63,Movimientos!$C$2:$C$5000,"Ajuste")-SUMIFS(Movimientos!$F$2:$F$5000,Movimientos!$D$2:$D$5000,$A63,Movimientos!$C$2:$C$5000,"Consumido en evento")-SUMIFS(Movimientos!$F$2:$F$5000,Movimientos!$D$2:$D$5000,$A63,Movimientos!$C$2:$C$5000,"Consumo interno")-SUMIFS(Movimientos!$F$2:$F$5000,Movimientos!$D$2:$D$5000,$A63,Movimientos!$C$2:$C$5000,"Baja")-SUMIFS(Movimientos!$F$2:$F$5000,Movimientos!$D$2:$D$5000,$A63,Movimientos!$C$2:$C$5000,"Baja desde reparación")</f>
        <v>6</v>
      </c>
      <c r="Q63" s="45">
        <f>SUMIFS(Movimientos!$F$2:$F$5000,Movimientos!$D$2:$D$5000,$A63,Movimientos!$C$2:$C$5000,"Salida alquiler")-SUMIFS(Movimientos!$F$2:$F$5000,Movimientos!$D$2:$D$5000,$A63,Movimientos!$C$2:$C$5000,"Retorno alquiler")-SUMIFS(Movimientos!$F$2:$F$5000,Movimientos!$D$2:$D$5000,$A63,Movimientos!$C$2:$C$5000,"Consumido en evento")-SUMIFS(Movimientos!$F$2:$F$5000,Movimientos!$D$2:$D$5000,$A63,Movimientos!$C$2:$C$5000,"A reparación")</f>
        <v>0</v>
      </c>
      <c r="R63" s="45">
        <f>SUMIFS(Movimientos!$F$2:$F$5000,Movimientos!$D$2:$D$5000,$A63,Movimientos!$C$2:$C$5000,"A reparación")-SUMIFS(Movimientos!$F$2:$F$5000,Movimientos!$D$2:$D$5000,$A63,Movimientos!$C$2:$C$5000,"Retorno reparación")-SUMIFS(Movimientos!$F$2:$F$5000,Movimientos!$D$2:$D$5000,$A63,Movimientos!$C$2:$C$5000,"Baja desde reparación")</f>
        <v>0</v>
      </c>
      <c r="S63" s="45">
        <f>P63-Q63-R63</f>
        <v>6</v>
      </c>
    </row>
    <row r="64" spans="1:19">
      <c r="A64" s="15" t="s">
        <v>386</v>
      </c>
      <c r="B64" s="15" t="s">
        <v>387</v>
      </c>
      <c r="C64" s="42" t="s">
        <v>388</v>
      </c>
      <c r="D64" s="15" t="s">
        <v>101</v>
      </c>
      <c r="E64" s="42" t="s">
        <v>389</v>
      </c>
      <c r="F64" s="43">
        <v>1</v>
      </c>
      <c r="G64" s="15" t="s">
        <v>168</v>
      </c>
      <c r="H64" s="44">
        <v>3</v>
      </c>
      <c r="I64" s="15" t="s">
        <v>104</v>
      </c>
      <c r="J64" s="15" t="s">
        <v>33</v>
      </c>
      <c r="K64" s="15" t="s">
        <v>35</v>
      </c>
      <c r="L64" s="15" t="s">
        <v>390</v>
      </c>
      <c r="M64" s="15" t="s">
        <v>38</v>
      </c>
      <c r="N64" s="15"/>
      <c r="O64" s="15"/>
      <c r="P64" s="45">
        <f>H64+SUMIFS(Movimientos!$F$2:$F$5000,Movimientos!$D$2:$D$5000,$A64,Movimientos!$C$2:$C$5000,"Ingreso inventario")+SUMIFS(Movimientos!$F$2:$F$5000,Movimientos!$D$2:$D$5000,$A64,Movimientos!$C$2:$C$5000,"Ajuste")-SUMIFS(Movimientos!$F$2:$F$5000,Movimientos!$D$2:$D$5000,$A64,Movimientos!$C$2:$C$5000,"Consumido en evento")-SUMIFS(Movimientos!$F$2:$F$5000,Movimientos!$D$2:$D$5000,$A64,Movimientos!$C$2:$C$5000,"Consumo interno")-SUMIFS(Movimientos!$F$2:$F$5000,Movimientos!$D$2:$D$5000,$A64,Movimientos!$C$2:$C$5000,"Baja")-SUMIFS(Movimientos!$F$2:$F$5000,Movimientos!$D$2:$D$5000,$A64,Movimientos!$C$2:$C$5000,"Baja desde reparación")</f>
        <v>3</v>
      </c>
      <c r="Q64" s="45">
        <f>SUMIFS(Movimientos!$F$2:$F$5000,Movimientos!$D$2:$D$5000,$A64,Movimientos!$C$2:$C$5000,"Salida alquiler")-SUMIFS(Movimientos!$F$2:$F$5000,Movimientos!$D$2:$D$5000,$A64,Movimientos!$C$2:$C$5000,"Retorno alquiler")-SUMIFS(Movimientos!$F$2:$F$5000,Movimientos!$D$2:$D$5000,$A64,Movimientos!$C$2:$C$5000,"Consumido en evento")-SUMIFS(Movimientos!$F$2:$F$5000,Movimientos!$D$2:$D$5000,$A64,Movimientos!$C$2:$C$5000,"A reparación")</f>
        <v>0</v>
      </c>
      <c r="R64" s="45">
        <f>SUMIFS(Movimientos!$F$2:$F$5000,Movimientos!$D$2:$D$5000,$A64,Movimientos!$C$2:$C$5000,"A reparación")-SUMIFS(Movimientos!$F$2:$F$5000,Movimientos!$D$2:$D$5000,$A64,Movimientos!$C$2:$C$5000,"Retorno reparación")-SUMIFS(Movimientos!$F$2:$F$5000,Movimientos!$D$2:$D$5000,$A64,Movimientos!$C$2:$C$5000,"Baja desde reparación")</f>
        <v>0</v>
      </c>
      <c r="S64" s="45">
        <f>P64-Q64-R64</f>
        <v>3</v>
      </c>
    </row>
    <row r="65" spans="1:19">
      <c r="A65" s="15" t="s">
        <v>391</v>
      </c>
      <c r="B65" s="15" t="s">
        <v>392</v>
      </c>
      <c r="C65" s="42" t="s">
        <v>393</v>
      </c>
      <c r="D65" s="15" t="s">
        <v>101</v>
      </c>
      <c r="E65" s="42" t="s">
        <v>394</v>
      </c>
      <c r="F65" s="43">
        <v>1</v>
      </c>
      <c r="G65" s="15" t="s">
        <v>168</v>
      </c>
      <c r="H65" s="44">
        <v>0</v>
      </c>
      <c r="I65" s="15" t="s">
        <v>104</v>
      </c>
      <c r="J65" s="15" t="s">
        <v>33</v>
      </c>
      <c r="K65" s="15" t="s">
        <v>35</v>
      </c>
      <c r="L65" s="15" t="s">
        <v>395</v>
      </c>
      <c r="M65" s="15" t="s">
        <v>38</v>
      </c>
      <c r="N65" s="15"/>
      <c r="O65" s="15"/>
      <c r="P65" s="45">
        <f>H65+SUMIFS(Movimientos!$F$2:$F$5000,Movimientos!$D$2:$D$5000,$A65,Movimientos!$C$2:$C$5000,"Ingreso inventario")+SUMIFS(Movimientos!$F$2:$F$5000,Movimientos!$D$2:$D$5000,$A65,Movimientos!$C$2:$C$5000,"Ajuste")-SUMIFS(Movimientos!$F$2:$F$5000,Movimientos!$D$2:$D$5000,$A65,Movimientos!$C$2:$C$5000,"Consumido en evento")-SUMIFS(Movimientos!$F$2:$F$5000,Movimientos!$D$2:$D$5000,$A65,Movimientos!$C$2:$C$5000,"Consumo interno")-SUMIFS(Movimientos!$F$2:$F$5000,Movimientos!$D$2:$D$5000,$A65,Movimientos!$C$2:$C$5000,"Baja")-SUMIFS(Movimientos!$F$2:$F$5000,Movimientos!$D$2:$D$5000,$A65,Movimientos!$C$2:$C$5000,"Baja desde reparación")</f>
        <v>0</v>
      </c>
      <c r="Q65" s="45">
        <f>SUMIFS(Movimientos!$F$2:$F$5000,Movimientos!$D$2:$D$5000,$A65,Movimientos!$C$2:$C$5000,"Salida alquiler")-SUMIFS(Movimientos!$F$2:$F$5000,Movimientos!$D$2:$D$5000,$A65,Movimientos!$C$2:$C$5000,"Retorno alquiler")-SUMIFS(Movimientos!$F$2:$F$5000,Movimientos!$D$2:$D$5000,$A65,Movimientos!$C$2:$C$5000,"Consumido en evento")-SUMIFS(Movimientos!$F$2:$F$5000,Movimientos!$D$2:$D$5000,$A65,Movimientos!$C$2:$C$5000,"A reparación")</f>
        <v>0</v>
      </c>
      <c r="R65" s="45">
        <f>SUMIFS(Movimientos!$F$2:$F$5000,Movimientos!$D$2:$D$5000,$A65,Movimientos!$C$2:$C$5000,"A reparación")-SUMIFS(Movimientos!$F$2:$F$5000,Movimientos!$D$2:$D$5000,$A65,Movimientos!$C$2:$C$5000,"Retorno reparación")-SUMIFS(Movimientos!$F$2:$F$5000,Movimientos!$D$2:$D$5000,$A65,Movimientos!$C$2:$C$5000,"Baja desde reparación")</f>
        <v>0</v>
      </c>
      <c r="S65" s="45">
        <f>P65-Q65-R65</f>
        <v>0</v>
      </c>
    </row>
    <row r="66" spans="1:19">
      <c r="A66" s="15" t="s">
        <v>396</v>
      </c>
      <c r="B66" s="15" t="s">
        <v>397</v>
      </c>
      <c r="C66" s="42" t="s">
        <v>398</v>
      </c>
      <c r="D66" s="15" t="s">
        <v>101</v>
      </c>
      <c r="E66" s="42" t="s">
        <v>399</v>
      </c>
      <c r="F66" s="43">
        <v>1</v>
      </c>
      <c r="G66" s="15" t="s">
        <v>168</v>
      </c>
      <c r="H66" s="44">
        <v>3</v>
      </c>
      <c r="I66" s="15" t="s">
        <v>104</v>
      </c>
      <c r="J66" s="15" t="s">
        <v>33</v>
      </c>
      <c r="K66" s="15" t="s">
        <v>35</v>
      </c>
      <c r="L66" s="15" t="s">
        <v>400</v>
      </c>
      <c r="M66" s="15" t="s">
        <v>38</v>
      </c>
      <c r="N66" s="15"/>
      <c r="O66" s="15"/>
      <c r="P66" s="45">
        <f>H66+SUMIFS(Movimientos!$F$2:$F$5000,Movimientos!$D$2:$D$5000,$A66,Movimientos!$C$2:$C$5000,"Ingreso inventario")+SUMIFS(Movimientos!$F$2:$F$5000,Movimientos!$D$2:$D$5000,$A66,Movimientos!$C$2:$C$5000,"Ajuste")-SUMIFS(Movimientos!$F$2:$F$5000,Movimientos!$D$2:$D$5000,$A66,Movimientos!$C$2:$C$5000,"Consumido en evento")-SUMIFS(Movimientos!$F$2:$F$5000,Movimientos!$D$2:$D$5000,$A66,Movimientos!$C$2:$C$5000,"Consumo interno")-SUMIFS(Movimientos!$F$2:$F$5000,Movimientos!$D$2:$D$5000,$A66,Movimientos!$C$2:$C$5000,"Baja")-SUMIFS(Movimientos!$F$2:$F$5000,Movimientos!$D$2:$D$5000,$A66,Movimientos!$C$2:$C$5000,"Baja desde reparación")</f>
        <v>3</v>
      </c>
      <c r="Q66" s="45">
        <f>SUMIFS(Movimientos!$F$2:$F$5000,Movimientos!$D$2:$D$5000,$A66,Movimientos!$C$2:$C$5000,"Salida alquiler")-SUMIFS(Movimientos!$F$2:$F$5000,Movimientos!$D$2:$D$5000,$A66,Movimientos!$C$2:$C$5000,"Retorno alquiler")-SUMIFS(Movimientos!$F$2:$F$5000,Movimientos!$D$2:$D$5000,$A66,Movimientos!$C$2:$C$5000,"Consumido en evento")-SUMIFS(Movimientos!$F$2:$F$5000,Movimientos!$D$2:$D$5000,$A66,Movimientos!$C$2:$C$5000,"A reparación")</f>
        <v>0</v>
      </c>
      <c r="R66" s="45">
        <f>SUMIFS(Movimientos!$F$2:$F$5000,Movimientos!$D$2:$D$5000,$A66,Movimientos!$C$2:$C$5000,"A reparación")-SUMIFS(Movimientos!$F$2:$F$5000,Movimientos!$D$2:$D$5000,$A66,Movimientos!$C$2:$C$5000,"Retorno reparación")-SUMIFS(Movimientos!$F$2:$F$5000,Movimientos!$D$2:$D$5000,$A66,Movimientos!$C$2:$C$5000,"Baja desde reparación")</f>
        <v>0</v>
      </c>
      <c r="S66" s="45">
        <f>P66-Q66-R66</f>
        <v>3</v>
      </c>
    </row>
    <row r="67" spans="1:19">
      <c r="A67" s="15" t="s">
        <v>401</v>
      </c>
      <c r="B67" s="15" t="s">
        <v>402</v>
      </c>
      <c r="C67" s="42" t="s">
        <v>403</v>
      </c>
      <c r="D67" s="15" t="s">
        <v>101</v>
      </c>
      <c r="E67" s="42" t="s">
        <v>404</v>
      </c>
      <c r="F67" s="43">
        <v>1</v>
      </c>
      <c r="G67" s="15" t="s">
        <v>168</v>
      </c>
      <c r="H67" s="44">
        <v>5</v>
      </c>
      <c r="I67" s="15" t="s">
        <v>104</v>
      </c>
      <c r="J67" s="15" t="s">
        <v>33</v>
      </c>
      <c r="K67" s="15" t="s">
        <v>35</v>
      </c>
      <c r="L67" s="15"/>
      <c r="M67" s="15" t="s">
        <v>38</v>
      </c>
      <c r="N67" s="15"/>
      <c r="O67" s="15"/>
      <c r="P67" s="45">
        <f>H67+SUMIFS(Movimientos!$F$2:$F$5000,Movimientos!$D$2:$D$5000,$A67,Movimientos!$C$2:$C$5000,"Ingreso inventario")+SUMIFS(Movimientos!$F$2:$F$5000,Movimientos!$D$2:$D$5000,$A67,Movimientos!$C$2:$C$5000,"Ajuste")-SUMIFS(Movimientos!$F$2:$F$5000,Movimientos!$D$2:$D$5000,$A67,Movimientos!$C$2:$C$5000,"Consumido en evento")-SUMIFS(Movimientos!$F$2:$F$5000,Movimientos!$D$2:$D$5000,$A67,Movimientos!$C$2:$C$5000,"Consumo interno")-SUMIFS(Movimientos!$F$2:$F$5000,Movimientos!$D$2:$D$5000,$A67,Movimientos!$C$2:$C$5000,"Baja")-SUMIFS(Movimientos!$F$2:$F$5000,Movimientos!$D$2:$D$5000,$A67,Movimientos!$C$2:$C$5000,"Baja desde reparación")</f>
        <v>5</v>
      </c>
      <c r="Q67" s="45">
        <f>SUMIFS(Movimientos!$F$2:$F$5000,Movimientos!$D$2:$D$5000,$A67,Movimientos!$C$2:$C$5000,"Salida alquiler")-SUMIFS(Movimientos!$F$2:$F$5000,Movimientos!$D$2:$D$5000,$A67,Movimientos!$C$2:$C$5000,"Retorno alquiler")-SUMIFS(Movimientos!$F$2:$F$5000,Movimientos!$D$2:$D$5000,$A67,Movimientos!$C$2:$C$5000,"Consumido en evento")-SUMIFS(Movimientos!$F$2:$F$5000,Movimientos!$D$2:$D$5000,$A67,Movimientos!$C$2:$C$5000,"A reparación")</f>
        <v>0</v>
      </c>
      <c r="R67" s="45">
        <f>SUMIFS(Movimientos!$F$2:$F$5000,Movimientos!$D$2:$D$5000,$A67,Movimientos!$C$2:$C$5000,"A reparación")-SUMIFS(Movimientos!$F$2:$F$5000,Movimientos!$D$2:$D$5000,$A67,Movimientos!$C$2:$C$5000,"Retorno reparación")-SUMIFS(Movimientos!$F$2:$F$5000,Movimientos!$D$2:$D$5000,$A67,Movimientos!$C$2:$C$5000,"Baja desde reparación")</f>
        <v>0</v>
      </c>
      <c r="S67" s="45">
        <f>P67-Q67-R67</f>
        <v>5</v>
      </c>
    </row>
    <row r="68" spans="1:19">
      <c r="A68" s="15" t="s">
        <v>405</v>
      </c>
      <c r="B68" s="15" t="s">
        <v>406</v>
      </c>
      <c r="C68" s="42" t="s">
        <v>407</v>
      </c>
      <c r="D68" s="15" t="s">
        <v>101</v>
      </c>
      <c r="E68" s="42" t="s">
        <v>408</v>
      </c>
      <c r="F68" s="43">
        <v>1</v>
      </c>
      <c r="G68" s="15" t="s">
        <v>409</v>
      </c>
      <c r="H68" s="44">
        <v>1</v>
      </c>
      <c r="I68" s="15" t="s">
        <v>104</v>
      </c>
      <c r="J68" s="15" t="s">
        <v>33</v>
      </c>
      <c r="K68" s="15" t="s">
        <v>35</v>
      </c>
      <c r="L68" s="15"/>
      <c r="M68" s="15" t="s">
        <v>38</v>
      </c>
      <c r="N68" s="15"/>
      <c r="O68" s="15"/>
      <c r="P68" s="45">
        <f>H68+SUMIFS(Movimientos!$F$2:$F$5000,Movimientos!$D$2:$D$5000,$A68,Movimientos!$C$2:$C$5000,"Ingreso inventario")+SUMIFS(Movimientos!$F$2:$F$5000,Movimientos!$D$2:$D$5000,$A68,Movimientos!$C$2:$C$5000,"Ajuste")-SUMIFS(Movimientos!$F$2:$F$5000,Movimientos!$D$2:$D$5000,$A68,Movimientos!$C$2:$C$5000,"Consumido en evento")-SUMIFS(Movimientos!$F$2:$F$5000,Movimientos!$D$2:$D$5000,$A68,Movimientos!$C$2:$C$5000,"Consumo interno")-SUMIFS(Movimientos!$F$2:$F$5000,Movimientos!$D$2:$D$5000,$A68,Movimientos!$C$2:$C$5000,"Baja")-SUMIFS(Movimientos!$F$2:$F$5000,Movimientos!$D$2:$D$5000,$A68,Movimientos!$C$2:$C$5000,"Baja desde reparación")</f>
        <v>1</v>
      </c>
      <c r="Q68" s="45">
        <f>SUMIFS(Movimientos!$F$2:$F$5000,Movimientos!$D$2:$D$5000,$A68,Movimientos!$C$2:$C$5000,"Salida alquiler")-SUMIFS(Movimientos!$F$2:$F$5000,Movimientos!$D$2:$D$5000,$A68,Movimientos!$C$2:$C$5000,"Retorno alquiler")-SUMIFS(Movimientos!$F$2:$F$5000,Movimientos!$D$2:$D$5000,$A68,Movimientos!$C$2:$C$5000,"Consumido en evento")-SUMIFS(Movimientos!$F$2:$F$5000,Movimientos!$D$2:$D$5000,$A68,Movimientos!$C$2:$C$5000,"A reparación")</f>
        <v>0</v>
      </c>
      <c r="R68" s="45">
        <f>SUMIFS(Movimientos!$F$2:$F$5000,Movimientos!$D$2:$D$5000,$A68,Movimientos!$C$2:$C$5000,"A reparación")-SUMIFS(Movimientos!$F$2:$F$5000,Movimientos!$D$2:$D$5000,$A68,Movimientos!$C$2:$C$5000,"Retorno reparación")-SUMIFS(Movimientos!$F$2:$F$5000,Movimientos!$D$2:$D$5000,$A68,Movimientos!$C$2:$C$5000,"Baja desde reparación")</f>
        <v>0</v>
      </c>
      <c r="S68" s="45">
        <f>P68-Q68-R68</f>
        <v>1</v>
      </c>
    </row>
    <row r="69" spans="1:19">
      <c r="A69" s="15" t="s">
        <v>410</v>
      </c>
      <c r="B69" s="15" t="s">
        <v>411</v>
      </c>
      <c r="C69" s="42" t="s">
        <v>412</v>
      </c>
      <c r="D69" s="15" t="s">
        <v>101</v>
      </c>
      <c r="E69" s="42" t="s">
        <v>413</v>
      </c>
      <c r="F69" s="43">
        <v>1</v>
      </c>
      <c r="G69" s="15" t="s">
        <v>168</v>
      </c>
      <c r="H69" s="44">
        <v>3</v>
      </c>
      <c r="I69" s="15" t="s">
        <v>104</v>
      </c>
      <c r="J69" s="15" t="s">
        <v>33</v>
      </c>
      <c r="K69" s="15" t="s">
        <v>35</v>
      </c>
      <c r="L69" s="15"/>
      <c r="M69" s="15" t="s">
        <v>38</v>
      </c>
      <c r="N69" s="15"/>
      <c r="O69" s="15"/>
      <c r="P69" s="45">
        <f>H69+SUMIFS(Movimientos!$F$2:$F$5000,Movimientos!$D$2:$D$5000,$A69,Movimientos!$C$2:$C$5000,"Ingreso inventario")+SUMIFS(Movimientos!$F$2:$F$5000,Movimientos!$D$2:$D$5000,$A69,Movimientos!$C$2:$C$5000,"Ajuste")-SUMIFS(Movimientos!$F$2:$F$5000,Movimientos!$D$2:$D$5000,$A69,Movimientos!$C$2:$C$5000,"Consumido en evento")-SUMIFS(Movimientos!$F$2:$F$5000,Movimientos!$D$2:$D$5000,$A69,Movimientos!$C$2:$C$5000,"Consumo interno")-SUMIFS(Movimientos!$F$2:$F$5000,Movimientos!$D$2:$D$5000,$A69,Movimientos!$C$2:$C$5000,"Baja")-SUMIFS(Movimientos!$F$2:$F$5000,Movimientos!$D$2:$D$5000,$A69,Movimientos!$C$2:$C$5000,"Baja desde reparación")</f>
        <v>3</v>
      </c>
      <c r="Q69" s="45">
        <f>SUMIFS(Movimientos!$F$2:$F$5000,Movimientos!$D$2:$D$5000,$A69,Movimientos!$C$2:$C$5000,"Salida alquiler")-SUMIFS(Movimientos!$F$2:$F$5000,Movimientos!$D$2:$D$5000,$A69,Movimientos!$C$2:$C$5000,"Retorno alquiler")-SUMIFS(Movimientos!$F$2:$F$5000,Movimientos!$D$2:$D$5000,$A69,Movimientos!$C$2:$C$5000,"Consumido en evento")-SUMIFS(Movimientos!$F$2:$F$5000,Movimientos!$D$2:$D$5000,$A69,Movimientos!$C$2:$C$5000,"A reparación")</f>
        <v>0</v>
      </c>
      <c r="R69" s="45">
        <f>SUMIFS(Movimientos!$F$2:$F$5000,Movimientos!$D$2:$D$5000,$A69,Movimientos!$C$2:$C$5000,"A reparación")-SUMIFS(Movimientos!$F$2:$F$5000,Movimientos!$D$2:$D$5000,$A69,Movimientos!$C$2:$C$5000,"Retorno reparación")-SUMIFS(Movimientos!$F$2:$F$5000,Movimientos!$D$2:$D$5000,$A69,Movimientos!$C$2:$C$5000,"Baja desde reparación")</f>
        <v>0</v>
      </c>
      <c r="S69" s="45">
        <f>P69-Q69-R69</f>
        <v>3</v>
      </c>
    </row>
    <row r="70" spans="1:19">
      <c r="A70" s="15" t="s">
        <v>414</v>
      </c>
      <c r="B70" s="15" t="s">
        <v>415</v>
      </c>
      <c r="C70" s="42" t="s">
        <v>416</v>
      </c>
      <c r="D70" s="15" t="s">
        <v>101</v>
      </c>
      <c r="E70" s="42" t="s">
        <v>417</v>
      </c>
      <c r="F70" s="43">
        <v>1</v>
      </c>
      <c r="G70" s="15" t="s">
        <v>168</v>
      </c>
      <c r="H70" s="44">
        <v>2</v>
      </c>
      <c r="I70" s="15" t="s">
        <v>104</v>
      </c>
      <c r="J70" s="15" t="s">
        <v>33</v>
      </c>
      <c r="K70" s="15" t="s">
        <v>35</v>
      </c>
      <c r="L70" s="15" t="s">
        <v>418</v>
      </c>
      <c r="M70" s="15" t="s">
        <v>38</v>
      </c>
      <c r="N70" s="15"/>
      <c r="O70" s="15"/>
      <c r="P70" s="45">
        <f>H70+SUMIFS(Movimientos!$F$2:$F$5000,Movimientos!$D$2:$D$5000,$A70,Movimientos!$C$2:$C$5000,"Ingreso inventario")+SUMIFS(Movimientos!$F$2:$F$5000,Movimientos!$D$2:$D$5000,$A70,Movimientos!$C$2:$C$5000,"Ajuste")-SUMIFS(Movimientos!$F$2:$F$5000,Movimientos!$D$2:$D$5000,$A70,Movimientos!$C$2:$C$5000,"Consumido en evento")-SUMIFS(Movimientos!$F$2:$F$5000,Movimientos!$D$2:$D$5000,$A70,Movimientos!$C$2:$C$5000,"Consumo interno")-SUMIFS(Movimientos!$F$2:$F$5000,Movimientos!$D$2:$D$5000,$A70,Movimientos!$C$2:$C$5000,"Baja")-SUMIFS(Movimientos!$F$2:$F$5000,Movimientos!$D$2:$D$5000,$A70,Movimientos!$C$2:$C$5000,"Baja desde reparación")</f>
        <v>2</v>
      </c>
      <c r="Q70" s="45">
        <f>SUMIFS(Movimientos!$F$2:$F$5000,Movimientos!$D$2:$D$5000,$A70,Movimientos!$C$2:$C$5000,"Salida alquiler")-SUMIFS(Movimientos!$F$2:$F$5000,Movimientos!$D$2:$D$5000,$A70,Movimientos!$C$2:$C$5000,"Retorno alquiler")-SUMIFS(Movimientos!$F$2:$F$5000,Movimientos!$D$2:$D$5000,$A70,Movimientos!$C$2:$C$5000,"Consumido en evento")-SUMIFS(Movimientos!$F$2:$F$5000,Movimientos!$D$2:$D$5000,$A70,Movimientos!$C$2:$C$5000,"A reparación")</f>
        <v>0</v>
      </c>
      <c r="R70" s="45">
        <f>SUMIFS(Movimientos!$F$2:$F$5000,Movimientos!$D$2:$D$5000,$A70,Movimientos!$C$2:$C$5000,"A reparación")-SUMIFS(Movimientos!$F$2:$F$5000,Movimientos!$D$2:$D$5000,$A70,Movimientos!$C$2:$C$5000,"Retorno reparación")-SUMIFS(Movimientos!$F$2:$F$5000,Movimientos!$D$2:$D$5000,$A70,Movimientos!$C$2:$C$5000,"Baja desde reparación")</f>
        <v>0</v>
      </c>
      <c r="S70" s="45">
        <f>P70-Q70-R70</f>
        <v>2</v>
      </c>
    </row>
    <row r="71" spans="1:19">
      <c r="A71" s="15" t="s">
        <v>419</v>
      </c>
      <c r="B71" s="15" t="s">
        <v>420</v>
      </c>
      <c r="C71" s="42" t="s">
        <v>421</v>
      </c>
      <c r="D71" s="15" t="s">
        <v>101</v>
      </c>
      <c r="E71" s="42" t="s">
        <v>422</v>
      </c>
      <c r="F71" s="43">
        <v>1</v>
      </c>
      <c r="G71" s="15" t="s">
        <v>423</v>
      </c>
      <c r="H71" s="44">
        <v>1</v>
      </c>
      <c r="I71" s="15" t="s">
        <v>104</v>
      </c>
      <c r="J71" s="15" t="s">
        <v>33</v>
      </c>
      <c r="K71" s="15" t="s">
        <v>35</v>
      </c>
      <c r="L71" s="15"/>
      <c r="M71" s="15" t="s">
        <v>38</v>
      </c>
      <c r="N71" s="15"/>
      <c r="O71" s="15"/>
      <c r="P71" s="45">
        <f>H71+SUMIFS(Movimientos!$F$2:$F$5000,Movimientos!$D$2:$D$5000,$A71,Movimientos!$C$2:$C$5000,"Ingreso inventario")+SUMIFS(Movimientos!$F$2:$F$5000,Movimientos!$D$2:$D$5000,$A71,Movimientos!$C$2:$C$5000,"Ajuste")-SUMIFS(Movimientos!$F$2:$F$5000,Movimientos!$D$2:$D$5000,$A71,Movimientos!$C$2:$C$5000,"Consumido en evento")-SUMIFS(Movimientos!$F$2:$F$5000,Movimientos!$D$2:$D$5000,$A71,Movimientos!$C$2:$C$5000,"Consumo interno")-SUMIFS(Movimientos!$F$2:$F$5000,Movimientos!$D$2:$D$5000,$A71,Movimientos!$C$2:$C$5000,"Baja")-SUMIFS(Movimientos!$F$2:$F$5000,Movimientos!$D$2:$D$5000,$A71,Movimientos!$C$2:$C$5000,"Baja desde reparación")</f>
        <v>1</v>
      </c>
      <c r="Q71" s="45">
        <f>SUMIFS(Movimientos!$F$2:$F$5000,Movimientos!$D$2:$D$5000,$A71,Movimientos!$C$2:$C$5000,"Salida alquiler")-SUMIFS(Movimientos!$F$2:$F$5000,Movimientos!$D$2:$D$5000,$A71,Movimientos!$C$2:$C$5000,"Retorno alquiler")-SUMIFS(Movimientos!$F$2:$F$5000,Movimientos!$D$2:$D$5000,$A71,Movimientos!$C$2:$C$5000,"Consumido en evento")-SUMIFS(Movimientos!$F$2:$F$5000,Movimientos!$D$2:$D$5000,$A71,Movimientos!$C$2:$C$5000,"A reparación")</f>
        <v>0</v>
      </c>
      <c r="R71" s="45">
        <f>SUMIFS(Movimientos!$F$2:$F$5000,Movimientos!$D$2:$D$5000,$A71,Movimientos!$C$2:$C$5000,"A reparación")-SUMIFS(Movimientos!$F$2:$F$5000,Movimientos!$D$2:$D$5000,$A71,Movimientos!$C$2:$C$5000,"Retorno reparación")-SUMIFS(Movimientos!$F$2:$F$5000,Movimientos!$D$2:$D$5000,$A71,Movimientos!$C$2:$C$5000,"Baja desde reparación")</f>
        <v>0</v>
      </c>
      <c r="S71" s="45">
        <f>P71-Q71-R71</f>
        <v>1</v>
      </c>
    </row>
    <row r="72" spans="1:19">
      <c r="A72" s="15" t="s">
        <v>424</v>
      </c>
      <c r="B72" s="15" t="s">
        <v>425</v>
      </c>
      <c r="C72" s="42" t="s">
        <v>426</v>
      </c>
      <c r="D72" s="15" t="s">
        <v>101</v>
      </c>
      <c r="E72" s="42" t="s">
        <v>427</v>
      </c>
      <c r="F72" s="43">
        <v>1</v>
      </c>
      <c r="G72" s="15" t="s">
        <v>423</v>
      </c>
      <c r="H72" s="44">
        <v>2</v>
      </c>
      <c r="I72" s="15" t="s">
        <v>104</v>
      </c>
      <c r="J72" s="15" t="s">
        <v>33</v>
      </c>
      <c r="K72" s="15" t="s">
        <v>35</v>
      </c>
      <c r="L72" s="15"/>
      <c r="M72" s="15" t="s">
        <v>38</v>
      </c>
      <c r="N72" s="15"/>
      <c r="O72" s="15"/>
      <c r="P72" s="45">
        <f>H72+SUMIFS(Movimientos!$F$2:$F$5000,Movimientos!$D$2:$D$5000,$A72,Movimientos!$C$2:$C$5000,"Ingreso inventario")+SUMIFS(Movimientos!$F$2:$F$5000,Movimientos!$D$2:$D$5000,$A72,Movimientos!$C$2:$C$5000,"Ajuste")-SUMIFS(Movimientos!$F$2:$F$5000,Movimientos!$D$2:$D$5000,$A72,Movimientos!$C$2:$C$5000,"Consumido en evento")-SUMIFS(Movimientos!$F$2:$F$5000,Movimientos!$D$2:$D$5000,$A72,Movimientos!$C$2:$C$5000,"Consumo interno")-SUMIFS(Movimientos!$F$2:$F$5000,Movimientos!$D$2:$D$5000,$A72,Movimientos!$C$2:$C$5000,"Baja")-SUMIFS(Movimientos!$F$2:$F$5000,Movimientos!$D$2:$D$5000,$A72,Movimientos!$C$2:$C$5000,"Baja desde reparación")</f>
        <v>2</v>
      </c>
      <c r="Q72" s="45">
        <f>SUMIFS(Movimientos!$F$2:$F$5000,Movimientos!$D$2:$D$5000,$A72,Movimientos!$C$2:$C$5000,"Salida alquiler")-SUMIFS(Movimientos!$F$2:$F$5000,Movimientos!$D$2:$D$5000,$A72,Movimientos!$C$2:$C$5000,"Retorno alquiler")-SUMIFS(Movimientos!$F$2:$F$5000,Movimientos!$D$2:$D$5000,$A72,Movimientos!$C$2:$C$5000,"Consumido en evento")-SUMIFS(Movimientos!$F$2:$F$5000,Movimientos!$D$2:$D$5000,$A72,Movimientos!$C$2:$C$5000,"A reparación")</f>
        <v>0</v>
      </c>
      <c r="R72" s="45">
        <f>SUMIFS(Movimientos!$F$2:$F$5000,Movimientos!$D$2:$D$5000,$A72,Movimientos!$C$2:$C$5000,"A reparación")-SUMIFS(Movimientos!$F$2:$F$5000,Movimientos!$D$2:$D$5000,$A72,Movimientos!$C$2:$C$5000,"Retorno reparación")-SUMIFS(Movimientos!$F$2:$F$5000,Movimientos!$D$2:$D$5000,$A72,Movimientos!$C$2:$C$5000,"Baja desde reparación")</f>
        <v>0</v>
      </c>
      <c r="S72" s="45">
        <f>P72-Q72-R72</f>
        <v>2</v>
      </c>
    </row>
    <row r="73" spans="1:19">
      <c r="A73" s="15" t="s">
        <v>428</v>
      </c>
      <c r="B73" s="15" t="s">
        <v>429</v>
      </c>
      <c r="C73" s="42" t="s">
        <v>430</v>
      </c>
      <c r="D73" s="15" t="s">
        <v>101</v>
      </c>
      <c r="E73" s="42" t="s">
        <v>431</v>
      </c>
      <c r="F73" s="43">
        <v>1</v>
      </c>
      <c r="G73" s="15" t="s">
        <v>158</v>
      </c>
      <c r="H73" s="44">
        <v>1</v>
      </c>
      <c r="I73" s="15" t="s">
        <v>104</v>
      </c>
      <c r="J73" s="15" t="s">
        <v>33</v>
      </c>
      <c r="K73" s="15" t="s">
        <v>35</v>
      </c>
      <c r="L73" s="15" t="s">
        <v>432</v>
      </c>
      <c r="M73" s="15" t="s">
        <v>38</v>
      </c>
      <c r="N73" s="15"/>
      <c r="O73" s="15"/>
      <c r="P73" s="45">
        <f>H73+SUMIFS(Movimientos!$F$2:$F$5000,Movimientos!$D$2:$D$5000,$A73,Movimientos!$C$2:$C$5000,"Ingreso inventario")+SUMIFS(Movimientos!$F$2:$F$5000,Movimientos!$D$2:$D$5000,$A73,Movimientos!$C$2:$C$5000,"Ajuste")-SUMIFS(Movimientos!$F$2:$F$5000,Movimientos!$D$2:$D$5000,$A73,Movimientos!$C$2:$C$5000,"Consumido en evento")-SUMIFS(Movimientos!$F$2:$F$5000,Movimientos!$D$2:$D$5000,$A73,Movimientos!$C$2:$C$5000,"Consumo interno")-SUMIFS(Movimientos!$F$2:$F$5000,Movimientos!$D$2:$D$5000,$A73,Movimientos!$C$2:$C$5000,"Baja")-SUMIFS(Movimientos!$F$2:$F$5000,Movimientos!$D$2:$D$5000,$A73,Movimientos!$C$2:$C$5000,"Baja desde reparación")</f>
        <v>1</v>
      </c>
      <c r="Q73" s="45">
        <f>SUMIFS(Movimientos!$F$2:$F$5000,Movimientos!$D$2:$D$5000,$A73,Movimientos!$C$2:$C$5000,"Salida alquiler")-SUMIFS(Movimientos!$F$2:$F$5000,Movimientos!$D$2:$D$5000,$A73,Movimientos!$C$2:$C$5000,"Retorno alquiler")-SUMIFS(Movimientos!$F$2:$F$5000,Movimientos!$D$2:$D$5000,$A73,Movimientos!$C$2:$C$5000,"Consumido en evento")-SUMIFS(Movimientos!$F$2:$F$5000,Movimientos!$D$2:$D$5000,$A73,Movimientos!$C$2:$C$5000,"A reparación")</f>
        <v>0</v>
      </c>
      <c r="R73" s="45">
        <f>SUMIFS(Movimientos!$F$2:$F$5000,Movimientos!$D$2:$D$5000,$A73,Movimientos!$C$2:$C$5000,"A reparación")-SUMIFS(Movimientos!$F$2:$F$5000,Movimientos!$D$2:$D$5000,$A73,Movimientos!$C$2:$C$5000,"Retorno reparación")-SUMIFS(Movimientos!$F$2:$F$5000,Movimientos!$D$2:$D$5000,$A73,Movimientos!$C$2:$C$5000,"Baja desde reparación")</f>
        <v>0</v>
      </c>
      <c r="S73" s="45">
        <f>P73-Q73-R73</f>
        <v>1</v>
      </c>
    </row>
    <row r="74" spans="1:19">
      <c r="A74" s="15" t="s">
        <v>433</v>
      </c>
      <c r="B74" s="15" t="s">
        <v>434</v>
      </c>
      <c r="C74" s="42" t="s">
        <v>435</v>
      </c>
      <c r="D74" s="15" t="s">
        <v>101</v>
      </c>
      <c r="E74" s="42" t="s">
        <v>436</v>
      </c>
      <c r="F74" s="43">
        <v>1</v>
      </c>
      <c r="G74" s="15" t="s">
        <v>168</v>
      </c>
      <c r="H74" s="44">
        <v>4</v>
      </c>
      <c r="I74" s="15" t="s">
        <v>104</v>
      </c>
      <c r="J74" s="15" t="s">
        <v>33</v>
      </c>
      <c r="K74" s="15" t="s">
        <v>35</v>
      </c>
      <c r="L74" s="15"/>
      <c r="M74" s="15" t="s">
        <v>38</v>
      </c>
      <c r="N74" s="15"/>
      <c r="O74" s="15"/>
      <c r="P74" s="45">
        <f>H74+SUMIFS(Movimientos!$F$2:$F$5000,Movimientos!$D$2:$D$5000,$A74,Movimientos!$C$2:$C$5000,"Ingreso inventario")+SUMIFS(Movimientos!$F$2:$F$5000,Movimientos!$D$2:$D$5000,$A74,Movimientos!$C$2:$C$5000,"Ajuste")-SUMIFS(Movimientos!$F$2:$F$5000,Movimientos!$D$2:$D$5000,$A74,Movimientos!$C$2:$C$5000,"Consumido en evento")-SUMIFS(Movimientos!$F$2:$F$5000,Movimientos!$D$2:$D$5000,$A74,Movimientos!$C$2:$C$5000,"Consumo interno")-SUMIFS(Movimientos!$F$2:$F$5000,Movimientos!$D$2:$D$5000,$A74,Movimientos!$C$2:$C$5000,"Baja")-SUMIFS(Movimientos!$F$2:$F$5000,Movimientos!$D$2:$D$5000,$A74,Movimientos!$C$2:$C$5000,"Baja desde reparación")</f>
        <v>4</v>
      </c>
      <c r="Q74" s="45">
        <f>SUMIFS(Movimientos!$F$2:$F$5000,Movimientos!$D$2:$D$5000,$A74,Movimientos!$C$2:$C$5000,"Salida alquiler")-SUMIFS(Movimientos!$F$2:$F$5000,Movimientos!$D$2:$D$5000,$A74,Movimientos!$C$2:$C$5000,"Retorno alquiler")-SUMIFS(Movimientos!$F$2:$F$5000,Movimientos!$D$2:$D$5000,$A74,Movimientos!$C$2:$C$5000,"Consumido en evento")-SUMIFS(Movimientos!$F$2:$F$5000,Movimientos!$D$2:$D$5000,$A74,Movimientos!$C$2:$C$5000,"A reparación")</f>
        <v>0</v>
      </c>
      <c r="R74" s="45">
        <f>SUMIFS(Movimientos!$F$2:$F$5000,Movimientos!$D$2:$D$5000,$A74,Movimientos!$C$2:$C$5000,"A reparación")-SUMIFS(Movimientos!$F$2:$F$5000,Movimientos!$D$2:$D$5000,$A74,Movimientos!$C$2:$C$5000,"Retorno reparación")-SUMIFS(Movimientos!$F$2:$F$5000,Movimientos!$D$2:$D$5000,$A74,Movimientos!$C$2:$C$5000,"Baja desde reparación")</f>
        <v>0</v>
      </c>
      <c r="S74" s="45">
        <f>P74-Q74-R74</f>
        <v>4</v>
      </c>
    </row>
    <row r="75" spans="1:19">
      <c r="A75" s="15" t="s">
        <v>437</v>
      </c>
      <c r="B75" s="15" t="s">
        <v>438</v>
      </c>
      <c r="C75" s="42" t="s">
        <v>439</v>
      </c>
      <c r="D75" s="15" t="s">
        <v>101</v>
      </c>
      <c r="E75" s="42" t="s">
        <v>440</v>
      </c>
      <c r="F75" s="43">
        <v>1</v>
      </c>
      <c r="G75" s="15" t="s">
        <v>168</v>
      </c>
      <c r="H75" s="44">
        <v>1</v>
      </c>
      <c r="I75" s="15" t="s">
        <v>104</v>
      </c>
      <c r="J75" s="15" t="s">
        <v>33</v>
      </c>
      <c r="K75" s="15" t="s">
        <v>35</v>
      </c>
      <c r="L75" s="15" t="s">
        <v>441</v>
      </c>
      <c r="M75" s="15" t="s">
        <v>38</v>
      </c>
      <c r="N75" s="15"/>
      <c r="O75" s="15"/>
      <c r="P75" s="45">
        <f>H75+SUMIFS(Movimientos!$F$2:$F$5000,Movimientos!$D$2:$D$5000,$A75,Movimientos!$C$2:$C$5000,"Ingreso inventario")+SUMIFS(Movimientos!$F$2:$F$5000,Movimientos!$D$2:$D$5000,$A75,Movimientos!$C$2:$C$5000,"Ajuste")-SUMIFS(Movimientos!$F$2:$F$5000,Movimientos!$D$2:$D$5000,$A75,Movimientos!$C$2:$C$5000,"Consumido en evento")-SUMIFS(Movimientos!$F$2:$F$5000,Movimientos!$D$2:$D$5000,$A75,Movimientos!$C$2:$C$5000,"Consumo interno")-SUMIFS(Movimientos!$F$2:$F$5000,Movimientos!$D$2:$D$5000,$A75,Movimientos!$C$2:$C$5000,"Baja")-SUMIFS(Movimientos!$F$2:$F$5000,Movimientos!$D$2:$D$5000,$A75,Movimientos!$C$2:$C$5000,"Baja desde reparación")</f>
        <v>1</v>
      </c>
      <c r="Q75" s="45">
        <f>SUMIFS(Movimientos!$F$2:$F$5000,Movimientos!$D$2:$D$5000,$A75,Movimientos!$C$2:$C$5000,"Salida alquiler")-SUMIFS(Movimientos!$F$2:$F$5000,Movimientos!$D$2:$D$5000,$A75,Movimientos!$C$2:$C$5000,"Retorno alquiler")-SUMIFS(Movimientos!$F$2:$F$5000,Movimientos!$D$2:$D$5000,$A75,Movimientos!$C$2:$C$5000,"Consumido en evento")-SUMIFS(Movimientos!$F$2:$F$5000,Movimientos!$D$2:$D$5000,$A75,Movimientos!$C$2:$C$5000,"A reparación")</f>
        <v>0</v>
      </c>
      <c r="R75" s="45">
        <f>SUMIFS(Movimientos!$F$2:$F$5000,Movimientos!$D$2:$D$5000,$A75,Movimientos!$C$2:$C$5000,"A reparación")-SUMIFS(Movimientos!$F$2:$F$5000,Movimientos!$D$2:$D$5000,$A75,Movimientos!$C$2:$C$5000,"Retorno reparación")-SUMIFS(Movimientos!$F$2:$F$5000,Movimientos!$D$2:$D$5000,$A75,Movimientos!$C$2:$C$5000,"Baja desde reparación")</f>
        <v>0</v>
      </c>
      <c r="S75" s="45">
        <f>P75-Q75-R75</f>
        <v>1</v>
      </c>
    </row>
    <row r="76" spans="1:19">
      <c r="A76" s="15" t="s">
        <v>442</v>
      </c>
      <c r="B76" s="15" t="s">
        <v>443</v>
      </c>
      <c r="C76" s="42" t="s">
        <v>444</v>
      </c>
      <c r="D76" s="15" t="s">
        <v>101</v>
      </c>
      <c r="E76" s="42" t="s">
        <v>445</v>
      </c>
      <c r="F76" s="43">
        <v>1</v>
      </c>
      <c r="G76" s="15" t="s">
        <v>168</v>
      </c>
      <c r="H76" s="44">
        <v>3</v>
      </c>
      <c r="I76" s="15" t="s">
        <v>104</v>
      </c>
      <c r="J76" s="15" t="s">
        <v>33</v>
      </c>
      <c r="K76" s="15" t="s">
        <v>35</v>
      </c>
      <c r="L76" s="15"/>
      <c r="M76" s="15" t="s">
        <v>38</v>
      </c>
      <c r="N76" s="15"/>
      <c r="O76" s="15"/>
      <c r="P76" s="45">
        <f>H76+SUMIFS(Movimientos!$F$2:$F$5000,Movimientos!$D$2:$D$5000,$A76,Movimientos!$C$2:$C$5000,"Ingreso inventario")+SUMIFS(Movimientos!$F$2:$F$5000,Movimientos!$D$2:$D$5000,$A76,Movimientos!$C$2:$C$5000,"Ajuste")-SUMIFS(Movimientos!$F$2:$F$5000,Movimientos!$D$2:$D$5000,$A76,Movimientos!$C$2:$C$5000,"Consumido en evento")-SUMIFS(Movimientos!$F$2:$F$5000,Movimientos!$D$2:$D$5000,$A76,Movimientos!$C$2:$C$5000,"Consumo interno")-SUMIFS(Movimientos!$F$2:$F$5000,Movimientos!$D$2:$D$5000,$A76,Movimientos!$C$2:$C$5000,"Baja")-SUMIFS(Movimientos!$F$2:$F$5000,Movimientos!$D$2:$D$5000,$A76,Movimientos!$C$2:$C$5000,"Baja desde reparación")</f>
        <v>3</v>
      </c>
      <c r="Q76" s="45">
        <f>SUMIFS(Movimientos!$F$2:$F$5000,Movimientos!$D$2:$D$5000,$A76,Movimientos!$C$2:$C$5000,"Salida alquiler")-SUMIFS(Movimientos!$F$2:$F$5000,Movimientos!$D$2:$D$5000,$A76,Movimientos!$C$2:$C$5000,"Retorno alquiler")-SUMIFS(Movimientos!$F$2:$F$5000,Movimientos!$D$2:$D$5000,$A76,Movimientos!$C$2:$C$5000,"Consumido en evento")-SUMIFS(Movimientos!$F$2:$F$5000,Movimientos!$D$2:$D$5000,$A76,Movimientos!$C$2:$C$5000,"A reparación")</f>
        <v>0</v>
      </c>
      <c r="R76" s="45">
        <f>SUMIFS(Movimientos!$F$2:$F$5000,Movimientos!$D$2:$D$5000,$A76,Movimientos!$C$2:$C$5000,"A reparación")-SUMIFS(Movimientos!$F$2:$F$5000,Movimientos!$D$2:$D$5000,$A76,Movimientos!$C$2:$C$5000,"Retorno reparación")-SUMIFS(Movimientos!$F$2:$F$5000,Movimientos!$D$2:$D$5000,$A76,Movimientos!$C$2:$C$5000,"Baja desde reparación")</f>
        <v>0</v>
      </c>
      <c r="S76" s="45">
        <f>P76-Q76-R76</f>
        <v>3</v>
      </c>
    </row>
    <row r="77" spans="1:19">
      <c r="A77" s="15" t="s">
        <v>446</v>
      </c>
      <c r="B77" s="15" t="s">
        <v>447</v>
      </c>
      <c r="C77" s="42" t="s">
        <v>448</v>
      </c>
      <c r="D77" s="15" t="s">
        <v>101</v>
      </c>
      <c r="E77" s="42" t="s">
        <v>449</v>
      </c>
      <c r="F77" s="43">
        <v>1</v>
      </c>
      <c r="G77" s="15" t="s">
        <v>168</v>
      </c>
      <c r="H77" s="44">
        <v>2</v>
      </c>
      <c r="I77" s="15" t="s">
        <v>104</v>
      </c>
      <c r="J77" s="15" t="s">
        <v>33</v>
      </c>
      <c r="K77" s="15" t="s">
        <v>35</v>
      </c>
      <c r="L77" s="15"/>
      <c r="M77" s="15" t="s">
        <v>38</v>
      </c>
      <c r="N77" s="15"/>
      <c r="O77" s="15"/>
      <c r="P77" s="45">
        <f>H77+SUMIFS(Movimientos!$F$2:$F$5000,Movimientos!$D$2:$D$5000,$A77,Movimientos!$C$2:$C$5000,"Ingreso inventario")+SUMIFS(Movimientos!$F$2:$F$5000,Movimientos!$D$2:$D$5000,$A77,Movimientos!$C$2:$C$5000,"Ajuste")-SUMIFS(Movimientos!$F$2:$F$5000,Movimientos!$D$2:$D$5000,$A77,Movimientos!$C$2:$C$5000,"Consumido en evento")-SUMIFS(Movimientos!$F$2:$F$5000,Movimientos!$D$2:$D$5000,$A77,Movimientos!$C$2:$C$5000,"Consumo interno")-SUMIFS(Movimientos!$F$2:$F$5000,Movimientos!$D$2:$D$5000,$A77,Movimientos!$C$2:$C$5000,"Baja")-SUMIFS(Movimientos!$F$2:$F$5000,Movimientos!$D$2:$D$5000,$A77,Movimientos!$C$2:$C$5000,"Baja desde reparación")</f>
        <v>2</v>
      </c>
      <c r="Q77" s="45">
        <f>SUMIFS(Movimientos!$F$2:$F$5000,Movimientos!$D$2:$D$5000,$A77,Movimientos!$C$2:$C$5000,"Salida alquiler")-SUMIFS(Movimientos!$F$2:$F$5000,Movimientos!$D$2:$D$5000,$A77,Movimientos!$C$2:$C$5000,"Retorno alquiler")-SUMIFS(Movimientos!$F$2:$F$5000,Movimientos!$D$2:$D$5000,$A77,Movimientos!$C$2:$C$5000,"Consumido en evento")-SUMIFS(Movimientos!$F$2:$F$5000,Movimientos!$D$2:$D$5000,$A77,Movimientos!$C$2:$C$5000,"A reparación")</f>
        <v>0</v>
      </c>
      <c r="R77" s="45">
        <f>SUMIFS(Movimientos!$F$2:$F$5000,Movimientos!$D$2:$D$5000,$A77,Movimientos!$C$2:$C$5000,"A reparación")-SUMIFS(Movimientos!$F$2:$F$5000,Movimientos!$D$2:$D$5000,$A77,Movimientos!$C$2:$C$5000,"Retorno reparación")-SUMIFS(Movimientos!$F$2:$F$5000,Movimientos!$D$2:$D$5000,$A77,Movimientos!$C$2:$C$5000,"Baja desde reparación")</f>
        <v>0</v>
      </c>
      <c r="S77" s="45">
        <f>P77-Q77-R77</f>
        <v>2</v>
      </c>
    </row>
    <row r="78" spans="1:19">
      <c r="A78" s="15" t="s">
        <v>450</v>
      </c>
      <c r="B78" s="15" t="s">
        <v>451</v>
      </c>
      <c r="C78" s="42" t="s">
        <v>452</v>
      </c>
      <c r="D78" s="15" t="s">
        <v>101</v>
      </c>
      <c r="E78" s="42" t="s">
        <v>453</v>
      </c>
      <c r="F78" s="43">
        <v>1</v>
      </c>
      <c r="G78" s="15" t="s">
        <v>423</v>
      </c>
      <c r="H78" s="44">
        <v>1</v>
      </c>
      <c r="I78" s="15" t="s">
        <v>104</v>
      </c>
      <c r="J78" s="15" t="s">
        <v>33</v>
      </c>
      <c r="K78" s="15" t="s">
        <v>35</v>
      </c>
      <c r="L78" s="15" t="s">
        <v>454</v>
      </c>
      <c r="M78" s="15" t="s">
        <v>38</v>
      </c>
      <c r="N78" s="15"/>
      <c r="O78" s="15"/>
      <c r="P78" s="45">
        <f>H78+SUMIFS(Movimientos!$F$2:$F$5000,Movimientos!$D$2:$D$5000,$A78,Movimientos!$C$2:$C$5000,"Ingreso inventario")+SUMIFS(Movimientos!$F$2:$F$5000,Movimientos!$D$2:$D$5000,$A78,Movimientos!$C$2:$C$5000,"Ajuste")-SUMIFS(Movimientos!$F$2:$F$5000,Movimientos!$D$2:$D$5000,$A78,Movimientos!$C$2:$C$5000,"Consumido en evento")-SUMIFS(Movimientos!$F$2:$F$5000,Movimientos!$D$2:$D$5000,$A78,Movimientos!$C$2:$C$5000,"Consumo interno")-SUMIFS(Movimientos!$F$2:$F$5000,Movimientos!$D$2:$D$5000,$A78,Movimientos!$C$2:$C$5000,"Baja")-SUMIFS(Movimientos!$F$2:$F$5000,Movimientos!$D$2:$D$5000,$A78,Movimientos!$C$2:$C$5000,"Baja desde reparación")</f>
        <v>1</v>
      </c>
      <c r="Q78" s="45">
        <f>SUMIFS(Movimientos!$F$2:$F$5000,Movimientos!$D$2:$D$5000,$A78,Movimientos!$C$2:$C$5000,"Salida alquiler")-SUMIFS(Movimientos!$F$2:$F$5000,Movimientos!$D$2:$D$5000,$A78,Movimientos!$C$2:$C$5000,"Retorno alquiler")-SUMIFS(Movimientos!$F$2:$F$5000,Movimientos!$D$2:$D$5000,$A78,Movimientos!$C$2:$C$5000,"Consumido en evento")-SUMIFS(Movimientos!$F$2:$F$5000,Movimientos!$D$2:$D$5000,$A78,Movimientos!$C$2:$C$5000,"A reparación")</f>
        <v>0</v>
      </c>
      <c r="R78" s="45">
        <f>SUMIFS(Movimientos!$F$2:$F$5000,Movimientos!$D$2:$D$5000,$A78,Movimientos!$C$2:$C$5000,"A reparación")-SUMIFS(Movimientos!$F$2:$F$5000,Movimientos!$D$2:$D$5000,$A78,Movimientos!$C$2:$C$5000,"Retorno reparación")-SUMIFS(Movimientos!$F$2:$F$5000,Movimientos!$D$2:$D$5000,$A78,Movimientos!$C$2:$C$5000,"Baja desde reparación")</f>
        <v>0</v>
      </c>
      <c r="S78" s="45">
        <f>P78-Q78-R78</f>
        <v>1</v>
      </c>
    </row>
    <row r="79" spans="1:19">
      <c r="A79" s="15" t="s">
        <v>455</v>
      </c>
      <c r="B79" s="15" t="s">
        <v>456</v>
      </c>
      <c r="C79" s="42" t="s">
        <v>457</v>
      </c>
      <c r="D79" s="15" t="s">
        <v>101</v>
      </c>
      <c r="E79" s="42" t="s">
        <v>458</v>
      </c>
      <c r="F79" s="43">
        <v>1</v>
      </c>
      <c r="G79" s="15" t="s">
        <v>168</v>
      </c>
      <c r="H79" s="44">
        <v>1</v>
      </c>
      <c r="I79" s="15" t="s">
        <v>104</v>
      </c>
      <c r="J79" s="15" t="s">
        <v>33</v>
      </c>
      <c r="K79" s="15" t="s">
        <v>35</v>
      </c>
      <c r="L79" s="15"/>
      <c r="M79" s="15" t="s">
        <v>38</v>
      </c>
      <c r="N79" s="15"/>
      <c r="O79" s="15"/>
      <c r="P79" s="45">
        <f>H79+SUMIFS(Movimientos!$F$2:$F$5000,Movimientos!$D$2:$D$5000,$A79,Movimientos!$C$2:$C$5000,"Ingreso inventario")+SUMIFS(Movimientos!$F$2:$F$5000,Movimientos!$D$2:$D$5000,$A79,Movimientos!$C$2:$C$5000,"Ajuste")-SUMIFS(Movimientos!$F$2:$F$5000,Movimientos!$D$2:$D$5000,$A79,Movimientos!$C$2:$C$5000,"Consumido en evento")-SUMIFS(Movimientos!$F$2:$F$5000,Movimientos!$D$2:$D$5000,$A79,Movimientos!$C$2:$C$5000,"Consumo interno")-SUMIFS(Movimientos!$F$2:$F$5000,Movimientos!$D$2:$D$5000,$A79,Movimientos!$C$2:$C$5000,"Baja")-SUMIFS(Movimientos!$F$2:$F$5000,Movimientos!$D$2:$D$5000,$A79,Movimientos!$C$2:$C$5000,"Baja desde reparación")</f>
        <v>1</v>
      </c>
      <c r="Q79" s="45">
        <f>SUMIFS(Movimientos!$F$2:$F$5000,Movimientos!$D$2:$D$5000,$A79,Movimientos!$C$2:$C$5000,"Salida alquiler")-SUMIFS(Movimientos!$F$2:$F$5000,Movimientos!$D$2:$D$5000,$A79,Movimientos!$C$2:$C$5000,"Retorno alquiler")-SUMIFS(Movimientos!$F$2:$F$5000,Movimientos!$D$2:$D$5000,$A79,Movimientos!$C$2:$C$5000,"Consumido en evento")-SUMIFS(Movimientos!$F$2:$F$5000,Movimientos!$D$2:$D$5000,$A79,Movimientos!$C$2:$C$5000,"A reparación")</f>
        <v>0</v>
      </c>
      <c r="R79" s="45">
        <f>SUMIFS(Movimientos!$F$2:$F$5000,Movimientos!$D$2:$D$5000,$A79,Movimientos!$C$2:$C$5000,"A reparación")-SUMIFS(Movimientos!$F$2:$F$5000,Movimientos!$D$2:$D$5000,$A79,Movimientos!$C$2:$C$5000,"Retorno reparación")-SUMIFS(Movimientos!$F$2:$F$5000,Movimientos!$D$2:$D$5000,$A79,Movimientos!$C$2:$C$5000,"Baja desde reparación")</f>
        <v>0</v>
      </c>
      <c r="S79" s="45">
        <f>P79-Q79-R79</f>
        <v>1</v>
      </c>
    </row>
    <row r="80" spans="1:19">
      <c r="A80" s="15" t="s">
        <v>459</v>
      </c>
      <c r="B80" s="15" t="s">
        <v>460</v>
      </c>
      <c r="C80" s="42" t="s">
        <v>461</v>
      </c>
      <c r="D80" s="15" t="s">
        <v>101</v>
      </c>
      <c r="E80" s="42" t="s">
        <v>462</v>
      </c>
      <c r="F80" s="43">
        <v>1</v>
      </c>
      <c r="G80" s="15" t="s">
        <v>168</v>
      </c>
      <c r="H80" s="44">
        <v>1</v>
      </c>
      <c r="I80" s="15" t="s">
        <v>104</v>
      </c>
      <c r="J80" s="15" t="s">
        <v>33</v>
      </c>
      <c r="K80" s="15" t="s">
        <v>35</v>
      </c>
      <c r="L80" s="15" t="s">
        <v>463</v>
      </c>
      <c r="M80" s="15" t="s">
        <v>38</v>
      </c>
      <c r="N80" s="15"/>
      <c r="O80" s="15"/>
      <c r="P80" s="45">
        <f>H80+SUMIFS(Movimientos!$F$2:$F$5000,Movimientos!$D$2:$D$5000,$A80,Movimientos!$C$2:$C$5000,"Ingreso inventario")+SUMIFS(Movimientos!$F$2:$F$5000,Movimientos!$D$2:$D$5000,$A80,Movimientos!$C$2:$C$5000,"Ajuste")-SUMIFS(Movimientos!$F$2:$F$5000,Movimientos!$D$2:$D$5000,$A80,Movimientos!$C$2:$C$5000,"Consumido en evento")-SUMIFS(Movimientos!$F$2:$F$5000,Movimientos!$D$2:$D$5000,$A80,Movimientos!$C$2:$C$5000,"Consumo interno")-SUMIFS(Movimientos!$F$2:$F$5000,Movimientos!$D$2:$D$5000,$A80,Movimientos!$C$2:$C$5000,"Baja")-SUMIFS(Movimientos!$F$2:$F$5000,Movimientos!$D$2:$D$5000,$A80,Movimientos!$C$2:$C$5000,"Baja desde reparación")</f>
        <v>1</v>
      </c>
      <c r="Q80" s="45">
        <f>SUMIFS(Movimientos!$F$2:$F$5000,Movimientos!$D$2:$D$5000,$A80,Movimientos!$C$2:$C$5000,"Salida alquiler")-SUMIFS(Movimientos!$F$2:$F$5000,Movimientos!$D$2:$D$5000,$A80,Movimientos!$C$2:$C$5000,"Retorno alquiler")-SUMIFS(Movimientos!$F$2:$F$5000,Movimientos!$D$2:$D$5000,$A80,Movimientos!$C$2:$C$5000,"Consumido en evento")-SUMIFS(Movimientos!$F$2:$F$5000,Movimientos!$D$2:$D$5000,$A80,Movimientos!$C$2:$C$5000,"A reparación")</f>
        <v>0</v>
      </c>
      <c r="R80" s="45">
        <f>SUMIFS(Movimientos!$F$2:$F$5000,Movimientos!$D$2:$D$5000,$A80,Movimientos!$C$2:$C$5000,"A reparación")-SUMIFS(Movimientos!$F$2:$F$5000,Movimientos!$D$2:$D$5000,$A80,Movimientos!$C$2:$C$5000,"Retorno reparación")-SUMIFS(Movimientos!$F$2:$F$5000,Movimientos!$D$2:$D$5000,$A80,Movimientos!$C$2:$C$5000,"Baja desde reparación")</f>
        <v>0</v>
      </c>
      <c r="S80" s="45">
        <f>P80-Q80-R80</f>
        <v>1</v>
      </c>
    </row>
    <row r="81" spans="1:19">
      <c r="A81" s="15" t="s">
        <v>464</v>
      </c>
      <c r="B81" s="15" t="s">
        <v>465</v>
      </c>
      <c r="C81" s="42" t="s">
        <v>466</v>
      </c>
      <c r="D81" s="15" t="s">
        <v>101</v>
      </c>
      <c r="E81" s="42" t="s">
        <v>467</v>
      </c>
      <c r="F81" s="43">
        <v>1</v>
      </c>
      <c r="G81" s="15" t="s">
        <v>468</v>
      </c>
      <c r="H81" s="44">
        <v>1</v>
      </c>
      <c r="I81" s="15" t="s">
        <v>104</v>
      </c>
      <c r="J81" s="15" t="s">
        <v>33</v>
      </c>
      <c r="K81" s="15" t="s">
        <v>35</v>
      </c>
      <c r="L81" s="15"/>
      <c r="M81" s="15" t="s">
        <v>38</v>
      </c>
      <c r="N81" s="15"/>
      <c r="O81" s="15"/>
      <c r="P81" s="45">
        <f>H81+SUMIFS(Movimientos!$F$2:$F$5000,Movimientos!$D$2:$D$5000,$A81,Movimientos!$C$2:$C$5000,"Ingreso inventario")+SUMIFS(Movimientos!$F$2:$F$5000,Movimientos!$D$2:$D$5000,$A81,Movimientos!$C$2:$C$5000,"Ajuste")-SUMIFS(Movimientos!$F$2:$F$5000,Movimientos!$D$2:$D$5000,$A81,Movimientos!$C$2:$C$5000,"Consumido en evento")-SUMIFS(Movimientos!$F$2:$F$5000,Movimientos!$D$2:$D$5000,$A81,Movimientos!$C$2:$C$5000,"Consumo interno")-SUMIFS(Movimientos!$F$2:$F$5000,Movimientos!$D$2:$D$5000,$A81,Movimientos!$C$2:$C$5000,"Baja")-SUMIFS(Movimientos!$F$2:$F$5000,Movimientos!$D$2:$D$5000,$A81,Movimientos!$C$2:$C$5000,"Baja desde reparación")</f>
        <v>1</v>
      </c>
      <c r="Q81" s="45">
        <f>SUMIFS(Movimientos!$F$2:$F$5000,Movimientos!$D$2:$D$5000,$A81,Movimientos!$C$2:$C$5000,"Salida alquiler")-SUMIFS(Movimientos!$F$2:$F$5000,Movimientos!$D$2:$D$5000,$A81,Movimientos!$C$2:$C$5000,"Retorno alquiler")-SUMIFS(Movimientos!$F$2:$F$5000,Movimientos!$D$2:$D$5000,$A81,Movimientos!$C$2:$C$5000,"Consumido en evento")-SUMIFS(Movimientos!$F$2:$F$5000,Movimientos!$D$2:$D$5000,$A81,Movimientos!$C$2:$C$5000,"A reparación")</f>
        <v>0</v>
      </c>
      <c r="R81" s="45">
        <f>SUMIFS(Movimientos!$F$2:$F$5000,Movimientos!$D$2:$D$5000,$A81,Movimientos!$C$2:$C$5000,"A reparación")-SUMIFS(Movimientos!$F$2:$F$5000,Movimientos!$D$2:$D$5000,$A81,Movimientos!$C$2:$C$5000,"Retorno reparación")-SUMIFS(Movimientos!$F$2:$F$5000,Movimientos!$D$2:$D$5000,$A81,Movimientos!$C$2:$C$5000,"Baja desde reparación")</f>
        <v>0</v>
      </c>
      <c r="S81" s="45">
        <f>P81-Q81-R81</f>
        <v>1</v>
      </c>
    </row>
    <row r="82" spans="1:19">
      <c r="A82" s="15" t="s">
        <v>469</v>
      </c>
      <c r="B82" s="15" t="s">
        <v>470</v>
      </c>
      <c r="C82" s="42" t="s">
        <v>471</v>
      </c>
      <c r="D82" s="15" t="s">
        <v>101</v>
      </c>
      <c r="E82" s="42" t="s">
        <v>472</v>
      </c>
      <c r="F82" s="43">
        <v>1</v>
      </c>
      <c r="G82" s="15" t="s">
        <v>158</v>
      </c>
      <c r="H82" s="44">
        <v>1</v>
      </c>
      <c r="I82" s="15" t="s">
        <v>104</v>
      </c>
      <c r="J82" s="15" t="s">
        <v>33</v>
      </c>
      <c r="K82" s="15" t="s">
        <v>35</v>
      </c>
      <c r="L82" s="15" t="s">
        <v>473</v>
      </c>
      <c r="M82" s="15" t="s">
        <v>38</v>
      </c>
      <c r="N82" s="15"/>
      <c r="O82" s="15"/>
      <c r="P82" s="45">
        <f>H82+SUMIFS(Movimientos!$F$2:$F$5000,Movimientos!$D$2:$D$5000,$A82,Movimientos!$C$2:$C$5000,"Ingreso inventario")+SUMIFS(Movimientos!$F$2:$F$5000,Movimientos!$D$2:$D$5000,$A82,Movimientos!$C$2:$C$5000,"Ajuste")-SUMIFS(Movimientos!$F$2:$F$5000,Movimientos!$D$2:$D$5000,$A82,Movimientos!$C$2:$C$5000,"Consumido en evento")-SUMIFS(Movimientos!$F$2:$F$5000,Movimientos!$D$2:$D$5000,$A82,Movimientos!$C$2:$C$5000,"Consumo interno")-SUMIFS(Movimientos!$F$2:$F$5000,Movimientos!$D$2:$D$5000,$A82,Movimientos!$C$2:$C$5000,"Baja")-SUMIFS(Movimientos!$F$2:$F$5000,Movimientos!$D$2:$D$5000,$A82,Movimientos!$C$2:$C$5000,"Baja desde reparación")</f>
        <v>1</v>
      </c>
      <c r="Q82" s="45">
        <f>SUMIFS(Movimientos!$F$2:$F$5000,Movimientos!$D$2:$D$5000,$A82,Movimientos!$C$2:$C$5000,"Salida alquiler")-SUMIFS(Movimientos!$F$2:$F$5000,Movimientos!$D$2:$D$5000,$A82,Movimientos!$C$2:$C$5000,"Retorno alquiler")-SUMIFS(Movimientos!$F$2:$F$5000,Movimientos!$D$2:$D$5000,$A82,Movimientos!$C$2:$C$5000,"Consumido en evento")-SUMIFS(Movimientos!$F$2:$F$5000,Movimientos!$D$2:$D$5000,$A82,Movimientos!$C$2:$C$5000,"A reparación")</f>
        <v>0</v>
      </c>
      <c r="R82" s="45">
        <f>SUMIFS(Movimientos!$F$2:$F$5000,Movimientos!$D$2:$D$5000,$A82,Movimientos!$C$2:$C$5000,"A reparación")-SUMIFS(Movimientos!$F$2:$F$5000,Movimientos!$D$2:$D$5000,$A82,Movimientos!$C$2:$C$5000,"Retorno reparación")-SUMIFS(Movimientos!$F$2:$F$5000,Movimientos!$D$2:$D$5000,$A82,Movimientos!$C$2:$C$5000,"Baja desde reparación")</f>
        <v>0</v>
      </c>
      <c r="S82" s="45">
        <f>P82-Q82-R82</f>
        <v>1</v>
      </c>
    </row>
    <row r="83" spans="1:19">
      <c r="A83" s="15" t="s">
        <v>474</v>
      </c>
      <c r="B83" s="15" t="s">
        <v>475</v>
      </c>
      <c r="C83" s="42" t="s">
        <v>476</v>
      </c>
      <c r="D83" s="15" t="s">
        <v>101</v>
      </c>
      <c r="E83" s="42" t="s">
        <v>477</v>
      </c>
      <c r="F83" s="43">
        <v>1</v>
      </c>
      <c r="G83" s="15" t="s">
        <v>478</v>
      </c>
      <c r="H83" s="44">
        <v>12</v>
      </c>
      <c r="I83" s="15" t="s">
        <v>104</v>
      </c>
      <c r="J83" s="15" t="s">
        <v>33</v>
      </c>
      <c r="K83" s="15" t="s">
        <v>35</v>
      </c>
      <c r="L83" s="15" t="s">
        <v>479</v>
      </c>
      <c r="M83" s="15" t="s">
        <v>38</v>
      </c>
      <c r="N83" s="15"/>
      <c r="O83" s="15"/>
      <c r="P83" s="45">
        <f>H83+SUMIFS(Movimientos!$F$2:$F$5000,Movimientos!$D$2:$D$5000,$A83,Movimientos!$C$2:$C$5000,"Ingreso inventario")+SUMIFS(Movimientos!$F$2:$F$5000,Movimientos!$D$2:$D$5000,$A83,Movimientos!$C$2:$C$5000,"Ajuste")-SUMIFS(Movimientos!$F$2:$F$5000,Movimientos!$D$2:$D$5000,$A83,Movimientos!$C$2:$C$5000,"Consumido en evento")-SUMIFS(Movimientos!$F$2:$F$5000,Movimientos!$D$2:$D$5000,$A83,Movimientos!$C$2:$C$5000,"Consumo interno")-SUMIFS(Movimientos!$F$2:$F$5000,Movimientos!$D$2:$D$5000,$A83,Movimientos!$C$2:$C$5000,"Baja")-SUMIFS(Movimientos!$F$2:$F$5000,Movimientos!$D$2:$D$5000,$A83,Movimientos!$C$2:$C$5000,"Baja desde reparación")</f>
        <v>12</v>
      </c>
      <c r="Q83" s="45">
        <f>SUMIFS(Movimientos!$F$2:$F$5000,Movimientos!$D$2:$D$5000,$A83,Movimientos!$C$2:$C$5000,"Salida alquiler")-SUMIFS(Movimientos!$F$2:$F$5000,Movimientos!$D$2:$D$5000,$A83,Movimientos!$C$2:$C$5000,"Retorno alquiler")-SUMIFS(Movimientos!$F$2:$F$5000,Movimientos!$D$2:$D$5000,$A83,Movimientos!$C$2:$C$5000,"Consumido en evento")-SUMIFS(Movimientos!$F$2:$F$5000,Movimientos!$D$2:$D$5000,$A83,Movimientos!$C$2:$C$5000,"A reparación")</f>
        <v>0</v>
      </c>
      <c r="R83" s="45">
        <f>SUMIFS(Movimientos!$F$2:$F$5000,Movimientos!$D$2:$D$5000,$A83,Movimientos!$C$2:$C$5000,"A reparación")-SUMIFS(Movimientos!$F$2:$F$5000,Movimientos!$D$2:$D$5000,$A83,Movimientos!$C$2:$C$5000,"Retorno reparación")-SUMIFS(Movimientos!$F$2:$F$5000,Movimientos!$D$2:$D$5000,$A83,Movimientos!$C$2:$C$5000,"Baja desde reparación")</f>
        <v>0</v>
      </c>
      <c r="S83" s="45">
        <f>P83-Q83-R83</f>
        <v>12</v>
      </c>
    </row>
    <row r="84" spans="1:19">
      <c r="A84" s="15" t="s">
        <v>480</v>
      </c>
      <c r="B84" s="15" t="s">
        <v>481</v>
      </c>
      <c r="C84" s="42" t="s">
        <v>482</v>
      </c>
      <c r="D84" s="15" t="s">
        <v>101</v>
      </c>
      <c r="E84" s="42" t="s">
        <v>483</v>
      </c>
      <c r="F84" s="43">
        <v>1</v>
      </c>
      <c r="G84" s="15" t="s">
        <v>484</v>
      </c>
      <c r="H84" s="44">
        <v>2</v>
      </c>
      <c r="I84" s="15" t="s">
        <v>104</v>
      </c>
      <c r="J84" s="15" t="s">
        <v>33</v>
      </c>
      <c r="K84" s="15" t="s">
        <v>35</v>
      </c>
      <c r="L84" s="15" t="s">
        <v>485</v>
      </c>
      <c r="M84" s="15" t="s">
        <v>38</v>
      </c>
      <c r="N84" s="15"/>
      <c r="O84" s="15"/>
      <c r="P84" s="45">
        <f>H84+SUMIFS(Movimientos!$F$2:$F$5000,Movimientos!$D$2:$D$5000,$A84,Movimientos!$C$2:$C$5000,"Ingreso inventario")+SUMIFS(Movimientos!$F$2:$F$5000,Movimientos!$D$2:$D$5000,$A84,Movimientos!$C$2:$C$5000,"Ajuste")-SUMIFS(Movimientos!$F$2:$F$5000,Movimientos!$D$2:$D$5000,$A84,Movimientos!$C$2:$C$5000,"Consumido en evento")-SUMIFS(Movimientos!$F$2:$F$5000,Movimientos!$D$2:$D$5000,$A84,Movimientos!$C$2:$C$5000,"Consumo interno")-SUMIFS(Movimientos!$F$2:$F$5000,Movimientos!$D$2:$D$5000,$A84,Movimientos!$C$2:$C$5000,"Baja")-SUMIFS(Movimientos!$F$2:$F$5000,Movimientos!$D$2:$D$5000,$A84,Movimientos!$C$2:$C$5000,"Baja desde reparación")</f>
        <v>2</v>
      </c>
      <c r="Q84" s="45">
        <f>SUMIFS(Movimientos!$F$2:$F$5000,Movimientos!$D$2:$D$5000,$A84,Movimientos!$C$2:$C$5000,"Salida alquiler")-SUMIFS(Movimientos!$F$2:$F$5000,Movimientos!$D$2:$D$5000,$A84,Movimientos!$C$2:$C$5000,"Retorno alquiler")-SUMIFS(Movimientos!$F$2:$F$5000,Movimientos!$D$2:$D$5000,$A84,Movimientos!$C$2:$C$5000,"Consumido en evento")-SUMIFS(Movimientos!$F$2:$F$5000,Movimientos!$D$2:$D$5000,$A84,Movimientos!$C$2:$C$5000,"A reparación")</f>
        <v>0</v>
      </c>
      <c r="R84" s="45">
        <f>SUMIFS(Movimientos!$F$2:$F$5000,Movimientos!$D$2:$D$5000,$A84,Movimientos!$C$2:$C$5000,"A reparación")-SUMIFS(Movimientos!$F$2:$F$5000,Movimientos!$D$2:$D$5000,$A84,Movimientos!$C$2:$C$5000,"Retorno reparación")-SUMIFS(Movimientos!$F$2:$F$5000,Movimientos!$D$2:$D$5000,$A84,Movimientos!$C$2:$C$5000,"Baja desde reparación")</f>
        <v>0</v>
      </c>
      <c r="S84" s="45">
        <f>P84-Q84-R84</f>
        <v>2</v>
      </c>
    </row>
    <row r="85" spans="1:19">
      <c r="A85" s="15" t="s">
        <v>486</v>
      </c>
      <c r="B85" s="15" t="s">
        <v>487</v>
      </c>
      <c r="C85" s="42" t="s">
        <v>488</v>
      </c>
      <c r="D85" s="15" t="s">
        <v>101</v>
      </c>
      <c r="E85" s="42" t="s">
        <v>489</v>
      </c>
      <c r="F85" s="43">
        <v>1</v>
      </c>
      <c r="G85" s="15" t="s">
        <v>490</v>
      </c>
      <c r="H85" s="44">
        <v>2</v>
      </c>
      <c r="I85" s="15" t="s">
        <v>104</v>
      </c>
      <c r="J85" s="15" t="s">
        <v>33</v>
      </c>
      <c r="K85" s="15" t="s">
        <v>35</v>
      </c>
      <c r="L85" s="15"/>
      <c r="M85" s="15" t="s">
        <v>38</v>
      </c>
      <c r="N85" s="15"/>
      <c r="O85" s="15"/>
      <c r="P85" s="45">
        <f>H85+SUMIFS(Movimientos!$F$2:$F$5000,Movimientos!$D$2:$D$5000,$A85,Movimientos!$C$2:$C$5000,"Ingreso inventario")+SUMIFS(Movimientos!$F$2:$F$5000,Movimientos!$D$2:$D$5000,$A85,Movimientos!$C$2:$C$5000,"Ajuste")-SUMIFS(Movimientos!$F$2:$F$5000,Movimientos!$D$2:$D$5000,$A85,Movimientos!$C$2:$C$5000,"Consumido en evento")-SUMIFS(Movimientos!$F$2:$F$5000,Movimientos!$D$2:$D$5000,$A85,Movimientos!$C$2:$C$5000,"Consumo interno")-SUMIFS(Movimientos!$F$2:$F$5000,Movimientos!$D$2:$D$5000,$A85,Movimientos!$C$2:$C$5000,"Baja")-SUMIFS(Movimientos!$F$2:$F$5000,Movimientos!$D$2:$D$5000,$A85,Movimientos!$C$2:$C$5000,"Baja desde reparación")</f>
        <v>2</v>
      </c>
      <c r="Q85" s="45">
        <f>SUMIFS(Movimientos!$F$2:$F$5000,Movimientos!$D$2:$D$5000,$A85,Movimientos!$C$2:$C$5000,"Salida alquiler")-SUMIFS(Movimientos!$F$2:$F$5000,Movimientos!$D$2:$D$5000,$A85,Movimientos!$C$2:$C$5000,"Retorno alquiler")-SUMIFS(Movimientos!$F$2:$F$5000,Movimientos!$D$2:$D$5000,$A85,Movimientos!$C$2:$C$5000,"Consumido en evento")-SUMIFS(Movimientos!$F$2:$F$5000,Movimientos!$D$2:$D$5000,$A85,Movimientos!$C$2:$C$5000,"A reparación")</f>
        <v>0</v>
      </c>
      <c r="R85" s="45">
        <f>SUMIFS(Movimientos!$F$2:$F$5000,Movimientos!$D$2:$D$5000,$A85,Movimientos!$C$2:$C$5000,"A reparación")-SUMIFS(Movimientos!$F$2:$F$5000,Movimientos!$D$2:$D$5000,$A85,Movimientos!$C$2:$C$5000,"Retorno reparación")-SUMIFS(Movimientos!$F$2:$F$5000,Movimientos!$D$2:$D$5000,$A85,Movimientos!$C$2:$C$5000,"Baja desde reparación")</f>
        <v>0</v>
      </c>
      <c r="S85" s="45">
        <f>P85-Q85-R85</f>
        <v>2</v>
      </c>
    </row>
    <row r="86" spans="1:19">
      <c r="A86" s="15" t="s">
        <v>491</v>
      </c>
      <c r="B86" s="15" t="s">
        <v>492</v>
      </c>
      <c r="C86" s="42" t="s">
        <v>493</v>
      </c>
      <c r="D86" s="15" t="s">
        <v>101</v>
      </c>
      <c r="E86" s="42" t="s">
        <v>494</v>
      </c>
      <c r="F86" s="43">
        <v>1</v>
      </c>
      <c r="G86" s="15" t="s">
        <v>495</v>
      </c>
      <c r="H86" s="44">
        <v>2</v>
      </c>
      <c r="I86" s="15" t="s">
        <v>104</v>
      </c>
      <c r="J86" s="15" t="s">
        <v>33</v>
      </c>
      <c r="K86" s="15" t="s">
        <v>35</v>
      </c>
      <c r="L86" s="15" t="s">
        <v>496</v>
      </c>
      <c r="M86" s="15" t="s">
        <v>38</v>
      </c>
      <c r="N86" s="15"/>
      <c r="O86" s="15"/>
      <c r="P86" s="45">
        <f>H86+SUMIFS(Movimientos!$F$2:$F$5000,Movimientos!$D$2:$D$5000,$A86,Movimientos!$C$2:$C$5000,"Ingreso inventario")+SUMIFS(Movimientos!$F$2:$F$5000,Movimientos!$D$2:$D$5000,$A86,Movimientos!$C$2:$C$5000,"Ajuste")-SUMIFS(Movimientos!$F$2:$F$5000,Movimientos!$D$2:$D$5000,$A86,Movimientos!$C$2:$C$5000,"Consumido en evento")-SUMIFS(Movimientos!$F$2:$F$5000,Movimientos!$D$2:$D$5000,$A86,Movimientos!$C$2:$C$5000,"Consumo interno")-SUMIFS(Movimientos!$F$2:$F$5000,Movimientos!$D$2:$D$5000,$A86,Movimientos!$C$2:$C$5000,"Baja")-SUMIFS(Movimientos!$F$2:$F$5000,Movimientos!$D$2:$D$5000,$A86,Movimientos!$C$2:$C$5000,"Baja desde reparación")</f>
        <v>2</v>
      </c>
      <c r="Q86" s="45">
        <f>SUMIFS(Movimientos!$F$2:$F$5000,Movimientos!$D$2:$D$5000,$A86,Movimientos!$C$2:$C$5000,"Salida alquiler")-SUMIFS(Movimientos!$F$2:$F$5000,Movimientos!$D$2:$D$5000,$A86,Movimientos!$C$2:$C$5000,"Retorno alquiler")-SUMIFS(Movimientos!$F$2:$F$5000,Movimientos!$D$2:$D$5000,$A86,Movimientos!$C$2:$C$5000,"Consumido en evento")-SUMIFS(Movimientos!$F$2:$F$5000,Movimientos!$D$2:$D$5000,$A86,Movimientos!$C$2:$C$5000,"A reparación")</f>
        <v>0</v>
      </c>
      <c r="R86" s="45">
        <f>SUMIFS(Movimientos!$F$2:$F$5000,Movimientos!$D$2:$D$5000,$A86,Movimientos!$C$2:$C$5000,"A reparación")-SUMIFS(Movimientos!$F$2:$F$5000,Movimientos!$D$2:$D$5000,$A86,Movimientos!$C$2:$C$5000,"Retorno reparación")-SUMIFS(Movimientos!$F$2:$F$5000,Movimientos!$D$2:$D$5000,$A86,Movimientos!$C$2:$C$5000,"Baja desde reparación")</f>
        <v>0</v>
      </c>
      <c r="S86" s="45">
        <f>P86-Q86-R86</f>
        <v>2</v>
      </c>
    </row>
    <row r="87" spans="1:19">
      <c r="A87" s="15" t="s">
        <v>497</v>
      </c>
      <c r="B87" s="15" t="s">
        <v>498</v>
      </c>
      <c r="C87" s="42" t="s">
        <v>499</v>
      </c>
      <c r="D87" s="15" t="s">
        <v>101</v>
      </c>
      <c r="E87" s="42" t="s">
        <v>500</v>
      </c>
      <c r="F87" s="43">
        <v>1</v>
      </c>
      <c r="G87" s="15" t="s">
        <v>501</v>
      </c>
      <c r="H87" s="44">
        <v>20</v>
      </c>
      <c r="I87" s="15" t="s">
        <v>104</v>
      </c>
      <c r="J87" s="15" t="s">
        <v>33</v>
      </c>
      <c r="K87" s="15" t="s">
        <v>35</v>
      </c>
      <c r="L87" s="15" t="s">
        <v>502</v>
      </c>
      <c r="M87" s="15" t="s">
        <v>38</v>
      </c>
      <c r="N87" s="15"/>
      <c r="O87" s="15"/>
      <c r="P87" s="45">
        <f>H87+SUMIFS(Movimientos!$F$2:$F$5000,Movimientos!$D$2:$D$5000,$A87,Movimientos!$C$2:$C$5000,"Ingreso inventario")+SUMIFS(Movimientos!$F$2:$F$5000,Movimientos!$D$2:$D$5000,$A87,Movimientos!$C$2:$C$5000,"Ajuste")-SUMIFS(Movimientos!$F$2:$F$5000,Movimientos!$D$2:$D$5000,$A87,Movimientos!$C$2:$C$5000,"Consumido en evento")-SUMIFS(Movimientos!$F$2:$F$5000,Movimientos!$D$2:$D$5000,$A87,Movimientos!$C$2:$C$5000,"Consumo interno")-SUMIFS(Movimientos!$F$2:$F$5000,Movimientos!$D$2:$D$5000,$A87,Movimientos!$C$2:$C$5000,"Baja")-SUMIFS(Movimientos!$F$2:$F$5000,Movimientos!$D$2:$D$5000,$A87,Movimientos!$C$2:$C$5000,"Baja desde reparación")</f>
        <v>20</v>
      </c>
      <c r="Q87" s="45">
        <f>SUMIFS(Movimientos!$F$2:$F$5000,Movimientos!$D$2:$D$5000,$A87,Movimientos!$C$2:$C$5000,"Salida alquiler")-SUMIFS(Movimientos!$F$2:$F$5000,Movimientos!$D$2:$D$5000,$A87,Movimientos!$C$2:$C$5000,"Retorno alquiler")-SUMIFS(Movimientos!$F$2:$F$5000,Movimientos!$D$2:$D$5000,$A87,Movimientos!$C$2:$C$5000,"Consumido en evento")-SUMIFS(Movimientos!$F$2:$F$5000,Movimientos!$D$2:$D$5000,$A87,Movimientos!$C$2:$C$5000,"A reparación")</f>
        <v>0</v>
      </c>
      <c r="R87" s="45">
        <f>SUMIFS(Movimientos!$F$2:$F$5000,Movimientos!$D$2:$D$5000,$A87,Movimientos!$C$2:$C$5000,"A reparación")-SUMIFS(Movimientos!$F$2:$F$5000,Movimientos!$D$2:$D$5000,$A87,Movimientos!$C$2:$C$5000,"Retorno reparación")-SUMIFS(Movimientos!$F$2:$F$5000,Movimientos!$D$2:$D$5000,$A87,Movimientos!$C$2:$C$5000,"Baja desde reparación")</f>
        <v>0</v>
      </c>
      <c r="S87" s="45">
        <f>P87-Q87-R87</f>
        <v>20</v>
      </c>
    </row>
    <row r="88" spans="1:19">
      <c r="A88" s="15" t="s">
        <v>503</v>
      </c>
      <c r="B88" s="15" t="s">
        <v>504</v>
      </c>
      <c r="C88" s="42" t="s">
        <v>505</v>
      </c>
      <c r="D88" s="15" t="s">
        <v>101</v>
      </c>
      <c r="E88" s="42" t="s">
        <v>506</v>
      </c>
      <c r="F88" s="43">
        <v>1</v>
      </c>
      <c r="G88" s="15" t="s">
        <v>507</v>
      </c>
      <c r="H88" s="44">
        <v>2</v>
      </c>
      <c r="I88" s="15" t="s">
        <v>104</v>
      </c>
      <c r="J88" s="15" t="s">
        <v>33</v>
      </c>
      <c r="K88" s="15" t="s">
        <v>35</v>
      </c>
      <c r="L88" s="15"/>
      <c r="M88" s="15" t="s">
        <v>38</v>
      </c>
      <c r="N88" s="15"/>
      <c r="O88" s="15"/>
      <c r="P88" s="45">
        <f>H88+SUMIFS(Movimientos!$F$2:$F$5000,Movimientos!$D$2:$D$5000,$A88,Movimientos!$C$2:$C$5000,"Ingreso inventario")+SUMIFS(Movimientos!$F$2:$F$5000,Movimientos!$D$2:$D$5000,$A88,Movimientos!$C$2:$C$5000,"Ajuste")-SUMIFS(Movimientos!$F$2:$F$5000,Movimientos!$D$2:$D$5000,$A88,Movimientos!$C$2:$C$5000,"Consumido en evento")-SUMIFS(Movimientos!$F$2:$F$5000,Movimientos!$D$2:$D$5000,$A88,Movimientos!$C$2:$C$5000,"Consumo interno")-SUMIFS(Movimientos!$F$2:$F$5000,Movimientos!$D$2:$D$5000,$A88,Movimientos!$C$2:$C$5000,"Baja")-SUMIFS(Movimientos!$F$2:$F$5000,Movimientos!$D$2:$D$5000,$A88,Movimientos!$C$2:$C$5000,"Baja desde reparación")</f>
        <v>2</v>
      </c>
      <c r="Q88" s="45">
        <f>SUMIFS(Movimientos!$F$2:$F$5000,Movimientos!$D$2:$D$5000,$A88,Movimientos!$C$2:$C$5000,"Salida alquiler")-SUMIFS(Movimientos!$F$2:$F$5000,Movimientos!$D$2:$D$5000,$A88,Movimientos!$C$2:$C$5000,"Retorno alquiler")-SUMIFS(Movimientos!$F$2:$F$5000,Movimientos!$D$2:$D$5000,$A88,Movimientos!$C$2:$C$5000,"Consumido en evento")-SUMIFS(Movimientos!$F$2:$F$5000,Movimientos!$D$2:$D$5000,$A88,Movimientos!$C$2:$C$5000,"A reparación")</f>
        <v>0</v>
      </c>
      <c r="R88" s="45">
        <f>SUMIFS(Movimientos!$F$2:$F$5000,Movimientos!$D$2:$D$5000,$A88,Movimientos!$C$2:$C$5000,"A reparación")-SUMIFS(Movimientos!$F$2:$F$5000,Movimientos!$D$2:$D$5000,$A88,Movimientos!$C$2:$C$5000,"Retorno reparación")-SUMIFS(Movimientos!$F$2:$F$5000,Movimientos!$D$2:$D$5000,$A88,Movimientos!$C$2:$C$5000,"Baja desde reparación")</f>
        <v>0</v>
      </c>
      <c r="S88" s="45">
        <f>P88-Q88-R88</f>
        <v>2</v>
      </c>
    </row>
    <row r="89" spans="1:19">
      <c r="A89" s="15" t="s">
        <v>508</v>
      </c>
      <c r="B89" s="15" t="s">
        <v>509</v>
      </c>
      <c r="C89" s="42" t="s">
        <v>510</v>
      </c>
      <c r="D89" s="15" t="s">
        <v>101</v>
      </c>
      <c r="E89" s="42" t="s">
        <v>511</v>
      </c>
      <c r="F89" s="43">
        <v>1</v>
      </c>
      <c r="G89" s="15" t="s">
        <v>507</v>
      </c>
      <c r="H89" s="44">
        <v>3</v>
      </c>
      <c r="I89" s="15" t="s">
        <v>104</v>
      </c>
      <c r="J89" s="15" t="s">
        <v>33</v>
      </c>
      <c r="K89" s="15" t="s">
        <v>35</v>
      </c>
      <c r="L89" s="15"/>
      <c r="M89" s="15" t="s">
        <v>38</v>
      </c>
      <c r="N89" s="15"/>
      <c r="O89" s="15"/>
      <c r="P89" s="45">
        <f>H89+SUMIFS(Movimientos!$F$2:$F$5000,Movimientos!$D$2:$D$5000,$A89,Movimientos!$C$2:$C$5000,"Ingreso inventario")+SUMIFS(Movimientos!$F$2:$F$5000,Movimientos!$D$2:$D$5000,$A89,Movimientos!$C$2:$C$5000,"Ajuste")-SUMIFS(Movimientos!$F$2:$F$5000,Movimientos!$D$2:$D$5000,$A89,Movimientos!$C$2:$C$5000,"Consumido en evento")-SUMIFS(Movimientos!$F$2:$F$5000,Movimientos!$D$2:$D$5000,$A89,Movimientos!$C$2:$C$5000,"Consumo interno")-SUMIFS(Movimientos!$F$2:$F$5000,Movimientos!$D$2:$D$5000,$A89,Movimientos!$C$2:$C$5000,"Baja")-SUMIFS(Movimientos!$F$2:$F$5000,Movimientos!$D$2:$D$5000,$A89,Movimientos!$C$2:$C$5000,"Baja desde reparación")</f>
        <v>3</v>
      </c>
      <c r="Q89" s="45">
        <f>SUMIFS(Movimientos!$F$2:$F$5000,Movimientos!$D$2:$D$5000,$A89,Movimientos!$C$2:$C$5000,"Salida alquiler")-SUMIFS(Movimientos!$F$2:$F$5000,Movimientos!$D$2:$D$5000,$A89,Movimientos!$C$2:$C$5000,"Retorno alquiler")-SUMIFS(Movimientos!$F$2:$F$5000,Movimientos!$D$2:$D$5000,$A89,Movimientos!$C$2:$C$5000,"Consumido en evento")-SUMIFS(Movimientos!$F$2:$F$5000,Movimientos!$D$2:$D$5000,$A89,Movimientos!$C$2:$C$5000,"A reparación")</f>
        <v>0</v>
      </c>
      <c r="R89" s="45">
        <f>SUMIFS(Movimientos!$F$2:$F$5000,Movimientos!$D$2:$D$5000,$A89,Movimientos!$C$2:$C$5000,"A reparación")-SUMIFS(Movimientos!$F$2:$F$5000,Movimientos!$D$2:$D$5000,$A89,Movimientos!$C$2:$C$5000,"Retorno reparación")-SUMIFS(Movimientos!$F$2:$F$5000,Movimientos!$D$2:$D$5000,$A89,Movimientos!$C$2:$C$5000,"Baja desde reparación")</f>
        <v>0</v>
      </c>
      <c r="S89" s="45">
        <f>P89-Q89-R89</f>
        <v>3</v>
      </c>
    </row>
    <row r="90" spans="1:19">
      <c r="A90" s="15" t="s">
        <v>512</v>
      </c>
      <c r="B90" s="15" t="s">
        <v>513</v>
      </c>
      <c r="C90" s="42" t="s">
        <v>514</v>
      </c>
      <c r="D90" s="15" t="s">
        <v>101</v>
      </c>
      <c r="E90" s="42" t="s">
        <v>515</v>
      </c>
      <c r="F90" s="43">
        <v>1</v>
      </c>
      <c r="G90" s="15" t="s">
        <v>507</v>
      </c>
      <c r="H90" s="44">
        <v>40</v>
      </c>
      <c r="I90" s="15" t="s">
        <v>104</v>
      </c>
      <c r="J90" s="15" t="s">
        <v>33</v>
      </c>
      <c r="K90" s="15" t="s">
        <v>35</v>
      </c>
      <c r="L90" s="15"/>
      <c r="M90" s="15" t="s">
        <v>38</v>
      </c>
      <c r="N90" s="15"/>
      <c r="O90" s="15"/>
      <c r="P90" s="45">
        <f>H90+SUMIFS(Movimientos!$F$2:$F$5000,Movimientos!$D$2:$D$5000,$A90,Movimientos!$C$2:$C$5000,"Ingreso inventario")+SUMIFS(Movimientos!$F$2:$F$5000,Movimientos!$D$2:$D$5000,$A90,Movimientos!$C$2:$C$5000,"Ajuste")-SUMIFS(Movimientos!$F$2:$F$5000,Movimientos!$D$2:$D$5000,$A90,Movimientos!$C$2:$C$5000,"Consumido en evento")-SUMIFS(Movimientos!$F$2:$F$5000,Movimientos!$D$2:$D$5000,$A90,Movimientos!$C$2:$C$5000,"Consumo interno")-SUMIFS(Movimientos!$F$2:$F$5000,Movimientos!$D$2:$D$5000,$A90,Movimientos!$C$2:$C$5000,"Baja")-SUMIFS(Movimientos!$F$2:$F$5000,Movimientos!$D$2:$D$5000,$A90,Movimientos!$C$2:$C$5000,"Baja desde reparación")</f>
        <v>40</v>
      </c>
      <c r="Q90" s="45">
        <f>SUMIFS(Movimientos!$F$2:$F$5000,Movimientos!$D$2:$D$5000,$A90,Movimientos!$C$2:$C$5000,"Salida alquiler")-SUMIFS(Movimientos!$F$2:$F$5000,Movimientos!$D$2:$D$5000,$A90,Movimientos!$C$2:$C$5000,"Retorno alquiler")-SUMIFS(Movimientos!$F$2:$F$5000,Movimientos!$D$2:$D$5000,$A90,Movimientos!$C$2:$C$5000,"Consumido en evento")-SUMIFS(Movimientos!$F$2:$F$5000,Movimientos!$D$2:$D$5000,$A90,Movimientos!$C$2:$C$5000,"A reparación")</f>
        <v>0</v>
      </c>
      <c r="R90" s="45">
        <f>SUMIFS(Movimientos!$F$2:$F$5000,Movimientos!$D$2:$D$5000,$A90,Movimientos!$C$2:$C$5000,"A reparación")-SUMIFS(Movimientos!$F$2:$F$5000,Movimientos!$D$2:$D$5000,$A90,Movimientos!$C$2:$C$5000,"Retorno reparación")-SUMIFS(Movimientos!$F$2:$F$5000,Movimientos!$D$2:$D$5000,$A90,Movimientos!$C$2:$C$5000,"Baja desde reparación")</f>
        <v>0</v>
      </c>
      <c r="S90" s="45">
        <f>P90-Q90-R90</f>
        <v>40</v>
      </c>
    </row>
    <row r="91" spans="1:19">
      <c r="A91" s="15" t="s">
        <v>516</v>
      </c>
      <c r="B91" s="15" t="s">
        <v>517</v>
      </c>
      <c r="C91" s="42" t="s">
        <v>518</v>
      </c>
      <c r="D91" s="15" t="s">
        <v>101</v>
      </c>
      <c r="E91" s="42" t="s">
        <v>519</v>
      </c>
      <c r="F91" s="43">
        <v>1</v>
      </c>
      <c r="G91" s="15" t="s">
        <v>478</v>
      </c>
      <c r="H91" s="44">
        <v>21</v>
      </c>
      <c r="I91" s="15" t="s">
        <v>104</v>
      </c>
      <c r="J91" s="15" t="s">
        <v>33</v>
      </c>
      <c r="K91" s="15" t="s">
        <v>35</v>
      </c>
      <c r="L91" s="15"/>
      <c r="M91" s="15" t="s">
        <v>38</v>
      </c>
      <c r="N91" s="15"/>
      <c r="O91" s="15"/>
      <c r="P91" s="45">
        <f>H91+SUMIFS(Movimientos!$F$2:$F$5000,Movimientos!$D$2:$D$5000,$A91,Movimientos!$C$2:$C$5000,"Ingreso inventario")+SUMIFS(Movimientos!$F$2:$F$5000,Movimientos!$D$2:$D$5000,$A91,Movimientos!$C$2:$C$5000,"Ajuste")-SUMIFS(Movimientos!$F$2:$F$5000,Movimientos!$D$2:$D$5000,$A91,Movimientos!$C$2:$C$5000,"Consumido en evento")-SUMIFS(Movimientos!$F$2:$F$5000,Movimientos!$D$2:$D$5000,$A91,Movimientos!$C$2:$C$5000,"Consumo interno")-SUMIFS(Movimientos!$F$2:$F$5000,Movimientos!$D$2:$D$5000,$A91,Movimientos!$C$2:$C$5000,"Baja")-SUMIFS(Movimientos!$F$2:$F$5000,Movimientos!$D$2:$D$5000,$A91,Movimientos!$C$2:$C$5000,"Baja desde reparación")</f>
        <v>21</v>
      </c>
      <c r="Q91" s="45">
        <f>SUMIFS(Movimientos!$F$2:$F$5000,Movimientos!$D$2:$D$5000,$A91,Movimientos!$C$2:$C$5000,"Salida alquiler")-SUMIFS(Movimientos!$F$2:$F$5000,Movimientos!$D$2:$D$5000,$A91,Movimientos!$C$2:$C$5000,"Retorno alquiler")-SUMIFS(Movimientos!$F$2:$F$5000,Movimientos!$D$2:$D$5000,$A91,Movimientos!$C$2:$C$5000,"Consumido en evento")-SUMIFS(Movimientos!$F$2:$F$5000,Movimientos!$D$2:$D$5000,$A91,Movimientos!$C$2:$C$5000,"A reparación")</f>
        <v>0</v>
      </c>
      <c r="R91" s="45">
        <f>SUMIFS(Movimientos!$F$2:$F$5000,Movimientos!$D$2:$D$5000,$A91,Movimientos!$C$2:$C$5000,"A reparación")-SUMIFS(Movimientos!$F$2:$F$5000,Movimientos!$D$2:$D$5000,$A91,Movimientos!$C$2:$C$5000,"Retorno reparación")-SUMIFS(Movimientos!$F$2:$F$5000,Movimientos!$D$2:$D$5000,$A91,Movimientos!$C$2:$C$5000,"Baja desde reparación")</f>
        <v>0</v>
      </c>
      <c r="S91" s="45">
        <f>P91-Q91-R91</f>
        <v>21</v>
      </c>
    </row>
    <row r="92" spans="1:19">
      <c r="A92" s="15" t="s">
        <v>520</v>
      </c>
      <c r="B92" s="15" t="s">
        <v>521</v>
      </c>
      <c r="C92" s="42" t="s">
        <v>522</v>
      </c>
      <c r="D92" s="15" t="s">
        <v>101</v>
      </c>
      <c r="E92" s="42" t="s">
        <v>523</v>
      </c>
      <c r="F92" s="43">
        <v>1</v>
      </c>
      <c r="G92" s="15" t="s">
        <v>135</v>
      </c>
      <c r="H92" s="44">
        <v>1</v>
      </c>
      <c r="I92" s="15" t="s">
        <v>104</v>
      </c>
      <c r="J92" s="15" t="s">
        <v>33</v>
      </c>
      <c r="K92" s="15" t="s">
        <v>35</v>
      </c>
      <c r="L92" s="15"/>
      <c r="M92" s="15" t="s">
        <v>38</v>
      </c>
      <c r="N92" s="15"/>
      <c r="O92" s="15"/>
      <c r="P92" s="45">
        <f>H92+SUMIFS(Movimientos!$F$2:$F$5000,Movimientos!$D$2:$D$5000,$A92,Movimientos!$C$2:$C$5000,"Ingreso inventario")+SUMIFS(Movimientos!$F$2:$F$5000,Movimientos!$D$2:$D$5000,$A92,Movimientos!$C$2:$C$5000,"Ajuste")-SUMIFS(Movimientos!$F$2:$F$5000,Movimientos!$D$2:$D$5000,$A92,Movimientos!$C$2:$C$5000,"Consumido en evento")-SUMIFS(Movimientos!$F$2:$F$5000,Movimientos!$D$2:$D$5000,$A92,Movimientos!$C$2:$C$5000,"Consumo interno")-SUMIFS(Movimientos!$F$2:$F$5000,Movimientos!$D$2:$D$5000,$A92,Movimientos!$C$2:$C$5000,"Baja")-SUMIFS(Movimientos!$F$2:$F$5000,Movimientos!$D$2:$D$5000,$A92,Movimientos!$C$2:$C$5000,"Baja desde reparación")</f>
        <v>1</v>
      </c>
      <c r="Q92" s="45">
        <f>SUMIFS(Movimientos!$F$2:$F$5000,Movimientos!$D$2:$D$5000,$A92,Movimientos!$C$2:$C$5000,"Salida alquiler")-SUMIFS(Movimientos!$F$2:$F$5000,Movimientos!$D$2:$D$5000,$A92,Movimientos!$C$2:$C$5000,"Retorno alquiler")-SUMIFS(Movimientos!$F$2:$F$5000,Movimientos!$D$2:$D$5000,$A92,Movimientos!$C$2:$C$5000,"Consumido en evento")-SUMIFS(Movimientos!$F$2:$F$5000,Movimientos!$D$2:$D$5000,$A92,Movimientos!$C$2:$C$5000,"A reparación")</f>
        <v>0</v>
      </c>
      <c r="R92" s="45">
        <f>SUMIFS(Movimientos!$F$2:$F$5000,Movimientos!$D$2:$D$5000,$A92,Movimientos!$C$2:$C$5000,"A reparación")-SUMIFS(Movimientos!$F$2:$F$5000,Movimientos!$D$2:$D$5000,$A92,Movimientos!$C$2:$C$5000,"Retorno reparación")-SUMIFS(Movimientos!$F$2:$F$5000,Movimientos!$D$2:$D$5000,$A92,Movimientos!$C$2:$C$5000,"Baja desde reparación")</f>
        <v>0</v>
      </c>
      <c r="S92" s="45">
        <f>P92-Q92-R92</f>
        <v>1</v>
      </c>
    </row>
    <row r="93" spans="1:19">
      <c r="A93" s="15" t="s">
        <v>524</v>
      </c>
      <c r="B93" s="15" t="s">
        <v>525</v>
      </c>
      <c r="C93" s="42" t="s">
        <v>526</v>
      </c>
      <c r="D93" s="15" t="s">
        <v>101</v>
      </c>
      <c r="E93" s="42" t="s">
        <v>527</v>
      </c>
      <c r="F93" s="43">
        <v>1</v>
      </c>
      <c r="G93" s="15" t="s">
        <v>528</v>
      </c>
      <c r="H93" s="44">
        <v>8</v>
      </c>
      <c r="I93" s="15" t="s">
        <v>104</v>
      </c>
      <c r="J93" s="15" t="s">
        <v>33</v>
      </c>
      <c r="K93" s="15" t="s">
        <v>35</v>
      </c>
      <c r="L93" s="15" t="s">
        <v>529</v>
      </c>
      <c r="M93" s="15" t="s">
        <v>38</v>
      </c>
      <c r="N93" s="15"/>
      <c r="O93" s="15"/>
      <c r="P93" s="45">
        <f>H93+SUMIFS(Movimientos!$F$2:$F$5000,Movimientos!$D$2:$D$5000,$A93,Movimientos!$C$2:$C$5000,"Ingreso inventario")+SUMIFS(Movimientos!$F$2:$F$5000,Movimientos!$D$2:$D$5000,$A93,Movimientos!$C$2:$C$5000,"Ajuste")-SUMIFS(Movimientos!$F$2:$F$5000,Movimientos!$D$2:$D$5000,$A93,Movimientos!$C$2:$C$5000,"Consumido en evento")-SUMIFS(Movimientos!$F$2:$F$5000,Movimientos!$D$2:$D$5000,$A93,Movimientos!$C$2:$C$5000,"Consumo interno")-SUMIFS(Movimientos!$F$2:$F$5000,Movimientos!$D$2:$D$5000,$A93,Movimientos!$C$2:$C$5000,"Baja")-SUMIFS(Movimientos!$F$2:$F$5000,Movimientos!$D$2:$D$5000,$A93,Movimientos!$C$2:$C$5000,"Baja desde reparación")</f>
        <v>8</v>
      </c>
      <c r="Q93" s="45">
        <f>SUMIFS(Movimientos!$F$2:$F$5000,Movimientos!$D$2:$D$5000,$A93,Movimientos!$C$2:$C$5000,"Salida alquiler")-SUMIFS(Movimientos!$F$2:$F$5000,Movimientos!$D$2:$D$5000,$A93,Movimientos!$C$2:$C$5000,"Retorno alquiler")-SUMIFS(Movimientos!$F$2:$F$5000,Movimientos!$D$2:$D$5000,$A93,Movimientos!$C$2:$C$5000,"Consumido en evento")-SUMIFS(Movimientos!$F$2:$F$5000,Movimientos!$D$2:$D$5000,$A93,Movimientos!$C$2:$C$5000,"A reparación")</f>
        <v>0</v>
      </c>
      <c r="R93" s="45">
        <f>SUMIFS(Movimientos!$F$2:$F$5000,Movimientos!$D$2:$D$5000,$A93,Movimientos!$C$2:$C$5000,"A reparación")-SUMIFS(Movimientos!$F$2:$F$5000,Movimientos!$D$2:$D$5000,$A93,Movimientos!$C$2:$C$5000,"Retorno reparación")-SUMIFS(Movimientos!$F$2:$F$5000,Movimientos!$D$2:$D$5000,$A93,Movimientos!$C$2:$C$5000,"Baja desde reparación")</f>
        <v>0</v>
      </c>
      <c r="S93" s="45">
        <f>P93-Q93-R93</f>
        <v>8</v>
      </c>
    </row>
    <row r="94" spans="1:19">
      <c r="A94" s="15" t="s">
        <v>530</v>
      </c>
      <c r="B94" s="15" t="s">
        <v>531</v>
      </c>
      <c r="C94" s="42" t="s">
        <v>532</v>
      </c>
      <c r="D94" s="15" t="s">
        <v>101</v>
      </c>
      <c r="E94" s="42" t="s">
        <v>533</v>
      </c>
      <c r="F94" s="43">
        <v>1</v>
      </c>
      <c r="G94" s="15" t="s">
        <v>168</v>
      </c>
      <c r="H94" s="44">
        <v>1</v>
      </c>
      <c r="I94" s="15" t="s">
        <v>104</v>
      </c>
      <c r="J94" s="15" t="s">
        <v>33</v>
      </c>
      <c r="K94" s="15" t="s">
        <v>35</v>
      </c>
      <c r="L94" s="15" t="s">
        <v>534</v>
      </c>
      <c r="M94" s="15" t="s">
        <v>38</v>
      </c>
      <c r="N94" s="15"/>
      <c r="O94" s="15"/>
      <c r="P94" s="45">
        <f>H94+SUMIFS(Movimientos!$F$2:$F$5000,Movimientos!$D$2:$D$5000,$A94,Movimientos!$C$2:$C$5000,"Ingreso inventario")+SUMIFS(Movimientos!$F$2:$F$5000,Movimientos!$D$2:$D$5000,$A94,Movimientos!$C$2:$C$5000,"Ajuste")-SUMIFS(Movimientos!$F$2:$F$5000,Movimientos!$D$2:$D$5000,$A94,Movimientos!$C$2:$C$5000,"Consumido en evento")-SUMIFS(Movimientos!$F$2:$F$5000,Movimientos!$D$2:$D$5000,$A94,Movimientos!$C$2:$C$5000,"Consumo interno")-SUMIFS(Movimientos!$F$2:$F$5000,Movimientos!$D$2:$D$5000,$A94,Movimientos!$C$2:$C$5000,"Baja")-SUMIFS(Movimientos!$F$2:$F$5000,Movimientos!$D$2:$D$5000,$A94,Movimientos!$C$2:$C$5000,"Baja desde reparación")</f>
        <v>1</v>
      </c>
      <c r="Q94" s="45">
        <f>SUMIFS(Movimientos!$F$2:$F$5000,Movimientos!$D$2:$D$5000,$A94,Movimientos!$C$2:$C$5000,"Salida alquiler")-SUMIFS(Movimientos!$F$2:$F$5000,Movimientos!$D$2:$D$5000,$A94,Movimientos!$C$2:$C$5000,"Retorno alquiler")-SUMIFS(Movimientos!$F$2:$F$5000,Movimientos!$D$2:$D$5000,$A94,Movimientos!$C$2:$C$5000,"Consumido en evento")-SUMIFS(Movimientos!$F$2:$F$5000,Movimientos!$D$2:$D$5000,$A94,Movimientos!$C$2:$C$5000,"A reparación")</f>
        <v>0</v>
      </c>
      <c r="R94" s="45">
        <f>SUMIFS(Movimientos!$F$2:$F$5000,Movimientos!$D$2:$D$5000,$A94,Movimientos!$C$2:$C$5000,"A reparación")-SUMIFS(Movimientos!$F$2:$F$5000,Movimientos!$D$2:$D$5000,$A94,Movimientos!$C$2:$C$5000,"Retorno reparación")-SUMIFS(Movimientos!$F$2:$F$5000,Movimientos!$D$2:$D$5000,$A94,Movimientos!$C$2:$C$5000,"Baja desde reparación")</f>
        <v>0</v>
      </c>
      <c r="S94" s="45">
        <f>P94-Q94-R94</f>
        <v>1</v>
      </c>
    </row>
    <row r="95" spans="1:19">
      <c r="A95" s="15" t="s">
        <v>535</v>
      </c>
      <c r="B95" s="15" t="s">
        <v>536</v>
      </c>
      <c r="C95" s="42" t="s">
        <v>537</v>
      </c>
      <c r="D95" s="15" t="s">
        <v>101</v>
      </c>
      <c r="E95" s="42" t="s">
        <v>538</v>
      </c>
      <c r="F95" s="43">
        <v>1</v>
      </c>
      <c r="G95" s="15" t="s">
        <v>168</v>
      </c>
      <c r="H95" s="44">
        <v>4</v>
      </c>
      <c r="I95" s="15" t="s">
        <v>104</v>
      </c>
      <c r="J95" s="15" t="s">
        <v>33</v>
      </c>
      <c r="K95" s="15" t="s">
        <v>35</v>
      </c>
      <c r="L95" s="15" t="s">
        <v>539</v>
      </c>
      <c r="M95" s="15" t="s">
        <v>38</v>
      </c>
      <c r="N95" s="15"/>
      <c r="O95" s="15"/>
      <c r="P95" s="45">
        <f>H95+SUMIFS(Movimientos!$F$2:$F$5000,Movimientos!$D$2:$D$5000,$A95,Movimientos!$C$2:$C$5000,"Ingreso inventario")+SUMIFS(Movimientos!$F$2:$F$5000,Movimientos!$D$2:$D$5000,$A95,Movimientos!$C$2:$C$5000,"Ajuste")-SUMIFS(Movimientos!$F$2:$F$5000,Movimientos!$D$2:$D$5000,$A95,Movimientos!$C$2:$C$5000,"Consumido en evento")-SUMIFS(Movimientos!$F$2:$F$5000,Movimientos!$D$2:$D$5000,$A95,Movimientos!$C$2:$C$5000,"Consumo interno")-SUMIFS(Movimientos!$F$2:$F$5000,Movimientos!$D$2:$D$5000,$A95,Movimientos!$C$2:$C$5000,"Baja")-SUMIFS(Movimientos!$F$2:$F$5000,Movimientos!$D$2:$D$5000,$A95,Movimientos!$C$2:$C$5000,"Baja desde reparación")</f>
        <v>4</v>
      </c>
      <c r="Q95" s="45">
        <f>SUMIFS(Movimientos!$F$2:$F$5000,Movimientos!$D$2:$D$5000,$A95,Movimientos!$C$2:$C$5000,"Salida alquiler")-SUMIFS(Movimientos!$F$2:$F$5000,Movimientos!$D$2:$D$5000,$A95,Movimientos!$C$2:$C$5000,"Retorno alquiler")-SUMIFS(Movimientos!$F$2:$F$5000,Movimientos!$D$2:$D$5000,$A95,Movimientos!$C$2:$C$5000,"Consumido en evento")-SUMIFS(Movimientos!$F$2:$F$5000,Movimientos!$D$2:$D$5000,$A95,Movimientos!$C$2:$C$5000,"A reparación")</f>
        <v>0</v>
      </c>
      <c r="R95" s="45">
        <f>SUMIFS(Movimientos!$F$2:$F$5000,Movimientos!$D$2:$D$5000,$A95,Movimientos!$C$2:$C$5000,"A reparación")-SUMIFS(Movimientos!$F$2:$F$5000,Movimientos!$D$2:$D$5000,$A95,Movimientos!$C$2:$C$5000,"Retorno reparación")-SUMIFS(Movimientos!$F$2:$F$5000,Movimientos!$D$2:$D$5000,$A95,Movimientos!$C$2:$C$5000,"Baja desde reparación")</f>
        <v>0</v>
      </c>
      <c r="S95" s="45">
        <f>P95-Q95-R95</f>
        <v>4</v>
      </c>
    </row>
    <row r="96" spans="1:19">
      <c r="A96" s="15" t="s">
        <v>540</v>
      </c>
      <c r="B96" s="15" t="s">
        <v>541</v>
      </c>
      <c r="C96" s="42" t="s">
        <v>542</v>
      </c>
      <c r="D96" s="15" t="s">
        <v>101</v>
      </c>
      <c r="E96" s="42" t="s">
        <v>543</v>
      </c>
      <c r="F96" s="43">
        <v>1</v>
      </c>
      <c r="G96" s="15" t="s">
        <v>544</v>
      </c>
      <c r="H96" s="44">
        <v>2</v>
      </c>
      <c r="I96" s="15" t="s">
        <v>104</v>
      </c>
      <c r="J96" s="15" t="s">
        <v>33</v>
      </c>
      <c r="K96" s="15" t="s">
        <v>35</v>
      </c>
      <c r="L96" s="15" t="s">
        <v>545</v>
      </c>
      <c r="M96" s="15" t="s">
        <v>38</v>
      </c>
      <c r="N96" s="15"/>
      <c r="O96" s="15"/>
      <c r="P96" s="45">
        <f>H96+SUMIFS(Movimientos!$F$2:$F$5000,Movimientos!$D$2:$D$5000,$A96,Movimientos!$C$2:$C$5000,"Ingreso inventario")+SUMIFS(Movimientos!$F$2:$F$5000,Movimientos!$D$2:$D$5000,$A96,Movimientos!$C$2:$C$5000,"Ajuste")-SUMIFS(Movimientos!$F$2:$F$5000,Movimientos!$D$2:$D$5000,$A96,Movimientos!$C$2:$C$5000,"Consumido en evento")-SUMIFS(Movimientos!$F$2:$F$5000,Movimientos!$D$2:$D$5000,$A96,Movimientos!$C$2:$C$5000,"Consumo interno")-SUMIFS(Movimientos!$F$2:$F$5000,Movimientos!$D$2:$D$5000,$A96,Movimientos!$C$2:$C$5000,"Baja")-SUMIFS(Movimientos!$F$2:$F$5000,Movimientos!$D$2:$D$5000,$A96,Movimientos!$C$2:$C$5000,"Baja desde reparación")</f>
        <v>2</v>
      </c>
      <c r="Q96" s="45">
        <f>SUMIFS(Movimientos!$F$2:$F$5000,Movimientos!$D$2:$D$5000,$A96,Movimientos!$C$2:$C$5000,"Salida alquiler")-SUMIFS(Movimientos!$F$2:$F$5000,Movimientos!$D$2:$D$5000,$A96,Movimientos!$C$2:$C$5000,"Retorno alquiler")-SUMIFS(Movimientos!$F$2:$F$5000,Movimientos!$D$2:$D$5000,$A96,Movimientos!$C$2:$C$5000,"Consumido en evento")-SUMIFS(Movimientos!$F$2:$F$5000,Movimientos!$D$2:$D$5000,$A96,Movimientos!$C$2:$C$5000,"A reparación")</f>
        <v>0</v>
      </c>
      <c r="R96" s="45">
        <f>SUMIFS(Movimientos!$F$2:$F$5000,Movimientos!$D$2:$D$5000,$A96,Movimientos!$C$2:$C$5000,"A reparación")-SUMIFS(Movimientos!$F$2:$F$5000,Movimientos!$D$2:$D$5000,$A96,Movimientos!$C$2:$C$5000,"Retorno reparación")-SUMIFS(Movimientos!$F$2:$F$5000,Movimientos!$D$2:$D$5000,$A96,Movimientos!$C$2:$C$5000,"Baja desde reparación")</f>
        <v>0</v>
      </c>
      <c r="S96" s="45">
        <f>P96-Q96-R96</f>
        <v>2</v>
      </c>
    </row>
    <row r="97" spans="1:19">
      <c r="A97" s="15" t="s">
        <v>546</v>
      </c>
      <c r="B97" s="15" t="s">
        <v>547</v>
      </c>
      <c r="C97" s="42" t="s">
        <v>548</v>
      </c>
      <c r="D97" s="15" t="s">
        <v>101</v>
      </c>
      <c r="E97" s="42" t="s">
        <v>549</v>
      </c>
      <c r="F97" s="43">
        <v>1</v>
      </c>
      <c r="G97" s="15" t="s">
        <v>507</v>
      </c>
      <c r="H97" s="44">
        <v>1</v>
      </c>
      <c r="I97" s="15" t="s">
        <v>104</v>
      </c>
      <c r="J97" s="15" t="s">
        <v>33</v>
      </c>
      <c r="K97" s="15" t="s">
        <v>35</v>
      </c>
      <c r="L97" s="15"/>
      <c r="M97" s="15" t="s">
        <v>38</v>
      </c>
      <c r="N97" s="15"/>
      <c r="O97" s="15"/>
      <c r="P97" s="45">
        <f>H97+SUMIFS(Movimientos!$F$2:$F$5000,Movimientos!$D$2:$D$5000,$A97,Movimientos!$C$2:$C$5000,"Ingreso inventario")+SUMIFS(Movimientos!$F$2:$F$5000,Movimientos!$D$2:$D$5000,$A97,Movimientos!$C$2:$C$5000,"Ajuste")-SUMIFS(Movimientos!$F$2:$F$5000,Movimientos!$D$2:$D$5000,$A97,Movimientos!$C$2:$C$5000,"Consumido en evento")-SUMIFS(Movimientos!$F$2:$F$5000,Movimientos!$D$2:$D$5000,$A97,Movimientos!$C$2:$C$5000,"Consumo interno")-SUMIFS(Movimientos!$F$2:$F$5000,Movimientos!$D$2:$D$5000,$A97,Movimientos!$C$2:$C$5000,"Baja")-SUMIFS(Movimientos!$F$2:$F$5000,Movimientos!$D$2:$D$5000,$A97,Movimientos!$C$2:$C$5000,"Baja desde reparación")</f>
        <v>1</v>
      </c>
      <c r="Q97" s="45">
        <f>SUMIFS(Movimientos!$F$2:$F$5000,Movimientos!$D$2:$D$5000,$A97,Movimientos!$C$2:$C$5000,"Salida alquiler")-SUMIFS(Movimientos!$F$2:$F$5000,Movimientos!$D$2:$D$5000,$A97,Movimientos!$C$2:$C$5000,"Retorno alquiler")-SUMIFS(Movimientos!$F$2:$F$5000,Movimientos!$D$2:$D$5000,$A97,Movimientos!$C$2:$C$5000,"Consumido en evento")-SUMIFS(Movimientos!$F$2:$F$5000,Movimientos!$D$2:$D$5000,$A97,Movimientos!$C$2:$C$5000,"A reparación")</f>
        <v>0</v>
      </c>
      <c r="R97" s="45">
        <f>SUMIFS(Movimientos!$F$2:$F$5000,Movimientos!$D$2:$D$5000,$A97,Movimientos!$C$2:$C$5000,"A reparación")-SUMIFS(Movimientos!$F$2:$F$5000,Movimientos!$D$2:$D$5000,$A97,Movimientos!$C$2:$C$5000,"Retorno reparación")-SUMIFS(Movimientos!$F$2:$F$5000,Movimientos!$D$2:$D$5000,$A97,Movimientos!$C$2:$C$5000,"Baja desde reparación")</f>
        <v>0</v>
      </c>
      <c r="S97" s="45">
        <f>P97-Q97-R97</f>
        <v>1</v>
      </c>
    </row>
    <row r="98" spans="1:19">
      <c r="A98" s="15" t="s">
        <v>550</v>
      </c>
      <c r="B98" s="15" t="s">
        <v>551</v>
      </c>
      <c r="C98" s="42" t="s">
        <v>552</v>
      </c>
      <c r="D98" s="15" t="s">
        <v>101</v>
      </c>
      <c r="E98" s="42" t="s">
        <v>553</v>
      </c>
      <c r="F98" s="43">
        <v>1</v>
      </c>
      <c r="G98" s="15" t="s">
        <v>554</v>
      </c>
      <c r="H98" s="44">
        <v>7</v>
      </c>
      <c r="I98" s="15" t="s">
        <v>104</v>
      </c>
      <c r="J98" s="15" t="s">
        <v>33</v>
      </c>
      <c r="K98" s="15" t="s">
        <v>35</v>
      </c>
      <c r="L98" s="15" t="s">
        <v>555</v>
      </c>
      <c r="M98" s="15" t="s">
        <v>38</v>
      </c>
      <c r="N98" s="15"/>
      <c r="O98" s="15"/>
      <c r="P98" s="45">
        <f>H98+SUMIFS(Movimientos!$F$2:$F$5000,Movimientos!$D$2:$D$5000,$A98,Movimientos!$C$2:$C$5000,"Ingreso inventario")+SUMIFS(Movimientos!$F$2:$F$5000,Movimientos!$D$2:$D$5000,$A98,Movimientos!$C$2:$C$5000,"Ajuste")-SUMIFS(Movimientos!$F$2:$F$5000,Movimientos!$D$2:$D$5000,$A98,Movimientos!$C$2:$C$5000,"Consumido en evento")-SUMIFS(Movimientos!$F$2:$F$5000,Movimientos!$D$2:$D$5000,$A98,Movimientos!$C$2:$C$5000,"Consumo interno")-SUMIFS(Movimientos!$F$2:$F$5000,Movimientos!$D$2:$D$5000,$A98,Movimientos!$C$2:$C$5000,"Baja")-SUMIFS(Movimientos!$F$2:$F$5000,Movimientos!$D$2:$D$5000,$A98,Movimientos!$C$2:$C$5000,"Baja desde reparación")</f>
        <v>7</v>
      </c>
      <c r="Q98" s="45">
        <f>SUMIFS(Movimientos!$F$2:$F$5000,Movimientos!$D$2:$D$5000,$A98,Movimientos!$C$2:$C$5000,"Salida alquiler")-SUMIFS(Movimientos!$F$2:$F$5000,Movimientos!$D$2:$D$5000,$A98,Movimientos!$C$2:$C$5000,"Retorno alquiler")-SUMIFS(Movimientos!$F$2:$F$5000,Movimientos!$D$2:$D$5000,$A98,Movimientos!$C$2:$C$5000,"Consumido en evento")-SUMIFS(Movimientos!$F$2:$F$5000,Movimientos!$D$2:$D$5000,$A98,Movimientos!$C$2:$C$5000,"A reparación")</f>
        <v>0</v>
      </c>
      <c r="R98" s="45">
        <f>SUMIFS(Movimientos!$F$2:$F$5000,Movimientos!$D$2:$D$5000,$A98,Movimientos!$C$2:$C$5000,"A reparación")-SUMIFS(Movimientos!$F$2:$F$5000,Movimientos!$D$2:$D$5000,$A98,Movimientos!$C$2:$C$5000,"Retorno reparación")-SUMIFS(Movimientos!$F$2:$F$5000,Movimientos!$D$2:$D$5000,$A98,Movimientos!$C$2:$C$5000,"Baja desde reparación")</f>
        <v>0</v>
      </c>
      <c r="S98" s="45">
        <f>P98-Q98-R98</f>
        <v>7</v>
      </c>
    </row>
    <row r="99" spans="1:19">
      <c r="A99" s="15" t="s">
        <v>556</v>
      </c>
      <c r="B99" s="15" t="s">
        <v>557</v>
      </c>
      <c r="C99" s="42"/>
      <c r="D99" s="15" t="s">
        <v>101</v>
      </c>
      <c r="E99" s="42"/>
      <c r="F99" s="43">
        <v>1</v>
      </c>
      <c r="G99" s="15" t="s">
        <v>558</v>
      </c>
      <c r="H99" s="44">
        <v>5000</v>
      </c>
      <c r="I99" s="15" t="s">
        <v>559</v>
      </c>
      <c r="J99" s="15" t="s">
        <v>33</v>
      </c>
      <c r="K99" s="15" t="s">
        <v>35</v>
      </c>
      <c r="L99" s="15"/>
      <c r="M99" s="15" t="s">
        <v>38</v>
      </c>
      <c r="N99" s="15"/>
      <c r="O99" s="15"/>
      <c r="P99" s="45">
        <f>H99+SUMIFS(Movimientos!$F$2:$F$5000,Movimientos!$D$2:$D$5000,$A99,Movimientos!$C$2:$C$5000,"Ingreso inventario")+SUMIFS(Movimientos!$F$2:$F$5000,Movimientos!$D$2:$D$5000,$A99,Movimientos!$C$2:$C$5000,"Ajuste")-SUMIFS(Movimientos!$F$2:$F$5000,Movimientos!$D$2:$D$5000,$A99,Movimientos!$C$2:$C$5000,"Consumido en evento")-SUMIFS(Movimientos!$F$2:$F$5000,Movimientos!$D$2:$D$5000,$A99,Movimientos!$C$2:$C$5000,"Consumo interno")-SUMIFS(Movimientos!$F$2:$F$5000,Movimientos!$D$2:$D$5000,$A99,Movimientos!$C$2:$C$5000,"Baja")-SUMIFS(Movimientos!$F$2:$F$5000,Movimientos!$D$2:$D$5000,$A99,Movimientos!$C$2:$C$5000,"Baja desde reparación")</f>
        <v>5000</v>
      </c>
      <c r="Q99" s="45">
        <f>SUMIFS(Movimientos!$F$2:$F$5000,Movimientos!$D$2:$D$5000,$A99,Movimientos!$C$2:$C$5000,"Salida alquiler")-SUMIFS(Movimientos!$F$2:$F$5000,Movimientos!$D$2:$D$5000,$A99,Movimientos!$C$2:$C$5000,"Retorno alquiler")-SUMIFS(Movimientos!$F$2:$F$5000,Movimientos!$D$2:$D$5000,$A99,Movimientos!$C$2:$C$5000,"Consumido en evento")-SUMIFS(Movimientos!$F$2:$F$5000,Movimientos!$D$2:$D$5000,$A99,Movimientos!$C$2:$C$5000,"A reparación")</f>
        <v>0</v>
      </c>
      <c r="R99" s="45">
        <f>SUMIFS(Movimientos!$F$2:$F$5000,Movimientos!$D$2:$D$5000,$A99,Movimientos!$C$2:$C$5000,"A reparación")-SUMIFS(Movimientos!$F$2:$F$5000,Movimientos!$D$2:$D$5000,$A99,Movimientos!$C$2:$C$5000,"Retorno reparación")-SUMIFS(Movimientos!$F$2:$F$5000,Movimientos!$D$2:$D$5000,$A99,Movimientos!$C$2:$C$5000,"Baja desde reparación")</f>
        <v>0</v>
      </c>
      <c r="S99" s="45">
        <f>P99-Q99-R99</f>
        <v>5000</v>
      </c>
    </row>
    <row r="100" spans="1:19">
      <c r="A100" s="15" t="s">
        <v>560</v>
      </c>
      <c r="B100" s="15" t="s">
        <v>561</v>
      </c>
      <c r="C100" s="42" t="s">
        <v>562</v>
      </c>
      <c r="D100" s="15" t="s">
        <v>101</v>
      </c>
      <c r="E100" s="42" t="s">
        <v>563</v>
      </c>
      <c r="F100" s="43">
        <v>1</v>
      </c>
      <c r="G100" s="15" t="s">
        <v>409</v>
      </c>
      <c r="H100" s="44">
        <v>2</v>
      </c>
      <c r="I100" s="15" t="s">
        <v>104</v>
      </c>
      <c r="J100" s="15" t="s">
        <v>33</v>
      </c>
      <c r="K100" s="15" t="s">
        <v>35</v>
      </c>
      <c r="L100" s="15"/>
      <c r="M100" s="15" t="s">
        <v>38</v>
      </c>
      <c r="N100" s="15"/>
      <c r="O100" s="15"/>
      <c r="P100" s="45">
        <f>H100+SUMIFS(Movimientos!$F$2:$F$5000,Movimientos!$D$2:$D$5000,$A100,Movimientos!$C$2:$C$5000,"Ingreso inventario")+SUMIFS(Movimientos!$F$2:$F$5000,Movimientos!$D$2:$D$5000,$A100,Movimientos!$C$2:$C$5000,"Ajuste")-SUMIFS(Movimientos!$F$2:$F$5000,Movimientos!$D$2:$D$5000,$A100,Movimientos!$C$2:$C$5000,"Consumido en evento")-SUMIFS(Movimientos!$F$2:$F$5000,Movimientos!$D$2:$D$5000,$A100,Movimientos!$C$2:$C$5000,"Consumo interno")-SUMIFS(Movimientos!$F$2:$F$5000,Movimientos!$D$2:$D$5000,$A100,Movimientos!$C$2:$C$5000,"Baja")-SUMIFS(Movimientos!$F$2:$F$5000,Movimientos!$D$2:$D$5000,$A100,Movimientos!$C$2:$C$5000,"Baja desde reparación")</f>
        <v>2</v>
      </c>
      <c r="Q100" s="45">
        <f>SUMIFS(Movimientos!$F$2:$F$5000,Movimientos!$D$2:$D$5000,$A100,Movimientos!$C$2:$C$5000,"Salida alquiler")-SUMIFS(Movimientos!$F$2:$F$5000,Movimientos!$D$2:$D$5000,$A100,Movimientos!$C$2:$C$5000,"Retorno alquiler")-SUMIFS(Movimientos!$F$2:$F$5000,Movimientos!$D$2:$D$5000,$A100,Movimientos!$C$2:$C$5000,"Consumido en evento")-SUMIFS(Movimientos!$F$2:$F$5000,Movimientos!$D$2:$D$5000,$A100,Movimientos!$C$2:$C$5000,"A reparación")</f>
        <v>0</v>
      </c>
      <c r="R100" s="45">
        <f>SUMIFS(Movimientos!$F$2:$F$5000,Movimientos!$D$2:$D$5000,$A100,Movimientos!$C$2:$C$5000,"A reparación")-SUMIFS(Movimientos!$F$2:$F$5000,Movimientos!$D$2:$D$5000,$A100,Movimientos!$C$2:$C$5000,"Retorno reparación")-SUMIFS(Movimientos!$F$2:$F$5000,Movimientos!$D$2:$D$5000,$A100,Movimientos!$C$2:$C$5000,"Baja desde reparación")</f>
        <v>0</v>
      </c>
      <c r="S100" s="45">
        <f>P100-Q100-R100</f>
        <v>2</v>
      </c>
    </row>
    <row r="101" spans="1:19">
      <c r="A101" s="15" t="s">
        <v>564</v>
      </c>
      <c r="B101" s="15" t="s">
        <v>565</v>
      </c>
      <c r="C101" s="42" t="s">
        <v>566</v>
      </c>
      <c r="D101" s="15" t="s">
        <v>101</v>
      </c>
      <c r="E101" s="42" t="s">
        <v>567</v>
      </c>
      <c r="F101" s="43">
        <v>1</v>
      </c>
      <c r="G101" s="15" t="s">
        <v>246</v>
      </c>
      <c r="H101" s="44">
        <v>0</v>
      </c>
      <c r="I101" s="15" t="s">
        <v>104</v>
      </c>
      <c r="J101" s="15" t="s">
        <v>33</v>
      </c>
      <c r="K101" s="15" t="s">
        <v>35</v>
      </c>
      <c r="L101" s="15"/>
      <c r="M101" s="15" t="s">
        <v>38</v>
      </c>
      <c r="N101" s="15"/>
      <c r="O101" s="15"/>
      <c r="P101" s="45">
        <f>H101+SUMIFS(Movimientos!$F$2:$F$5000,Movimientos!$D$2:$D$5000,$A101,Movimientos!$C$2:$C$5000,"Ingreso inventario")+SUMIFS(Movimientos!$F$2:$F$5000,Movimientos!$D$2:$D$5000,$A101,Movimientos!$C$2:$C$5000,"Ajuste")-SUMIFS(Movimientos!$F$2:$F$5000,Movimientos!$D$2:$D$5000,$A101,Movimientos!$C$2:$C$5000,"Consumido en evento")-SUMIFS(Movimientos!$F$2:$F$5000,Movimientos!$D$2:$D$5000,$A101,Movimientos!$C$2:$C$5000,"Consumo interno")-SUMIFS(Movimientos!$F$2:$F$5000,Movimientos!$D$2:$D$5000,$A101,Movimientos!$C$2:$C$5000,"Baja")-SUMIFS(Movimientos!$F$2:$F$5000,Movimientos!$D$2:$D$5000,$A101,Movimientos!$C$2:$C$5000,"Baja desde reparación")</f>
        <v>0</v>
      </c>
      <c r="Q101" s="45">
        <f>SUMIFS(Movimientos!$F$2:$F$5000,Movimientos!$D$2:$D$5000,$A101,Movimientos!$C$2:$C$5000,"Salida alquiler")-SUMIFS(Movimientos!$F$2:$F$5000,Movimientos!$D$2:$D$5000,$A101,Movimientos!$C$2:$C$5000,"Retorno alquiler")-SUMIFS(Movimientos!$F$2:$F$5000,Movimientos!$D$2:$D$5000,$A101,Movimientos!$C$2:$C$5000,"Consumido en evento")-SUMIFS(Movimientos!$F$2:$F$5000,Movimientos!$D$2:$D$5000,$A101,Movimientos!$C$2:$C$5000,"A reparación")</f>
        <v>0</v>
      </c>
      <c r="R101" s="45">
        <f>SUMIFS(Movimientos!$F$2:$F$5000,Movimientos!$D$2:$D$5000,$A101,Movimientos!$C$2:$C$5000,"A reparación")-SUMIFS(Movimientos!$F$2:$F$5000,Movimientos!$D$2:$D$5000,$A101,Movimientos!$C$2:$C$5000,"Retorno reparación")-SUMIFS(Movimientos!$F$2:$F$5000,Movimientos!$D$2:$D$5000,$A101,Movimientos!$C$2:$C$5000,"Baja desde reparación")</f>
        <v>0</v>
      </c>
      <c r="S101" s="45">
        <f>P101-Q101-R101</f>
        <v>0</v>
      </c>
    </row>
    <row r="102" spans="1:19">
      <c r="A102" s="15" t="s">
        <v>568</v>
      </c>
      <c r="B102" s="15" t="s">
        <v>569</v>
      </c>
      <c r="C102" s="42" t="s">
        <v>570</v>
      </c>
      <c r="D102" s="15" t="s">
        <v>101</v>
      </c>
      <c r="E102" s="42" t="s">
        <v>571</v>
      </c>
      <c r="F102" s="43">
        <v>1</v>
      </c>
      <c r="G102" s="15" t="s">
        <v>246</v>
      </c>
      <c r="H102" s="44">
        <v>1</v>
      </c>
      <c r="I102" s="15" t="s">
        <v>104</v>
      </c>
      <c r="J102" s="15" t="s">
        <v>33</v>
      </c>
      <c r="K102" s="15" t="s">
        <v>35</v>
      </c>
      <c r="L102" s="15"/>
      <c r="M102" s="15" t="s">
        <v>38</v>
      </c>
      <c r="N102" s="15"/>
      <c r="O102" s="15"/>
      <c r="P102" s="45">
        <f>H102+SUMIFS(Movimientos!$F$2:$F$5000,Movimientos!$D$2:$D$5000,$A102,Movimientos!$C$2:$C$5000,"Ingreso inventario")+SUMIFS(Movimientos!$F$2:$F$5000,Movimientos!$D$2:$D$5000,$A102,Movimientos!$C$2:$C$5000,"Ajuste")-SUMIFS(Movimientos!$F$2:$F$5000,Movimientos!$D$2:$D$5000,$A102,Movimientos!$C$2:$C$5000,"Consumido en evento")-SUMIFS(Movimientos!$F$2:$F$5000,Movimientos!$D$2:$D$5000,$A102,Movimientos!$C$2:$C$5000,"Consumo interno")-SUMIFS(Movimientos!$F$2:$F$5000,Movimientos!$D$2:$D$5000,$A102,Movimientos!$C$2:$C$5000,"Baja")-SUMIFS(Movimientos!$F$2:$F$5000,Movimientos!$D$2:$D$5000,$A102,Movimientos!$C$2:$C$5000,"Baja desde reparación")</f>
        <v>1</v>
      </c>
      <c r="Q102" s="45">
        <f>SUMIFS(Movimientos!$F$2:$F$5000,Movimientos!$D$2:$D$5000,$A102,Movimientos!$C$2:$C$5000,"Salida alquiler")-SUMIFS(Movimientos!$F$2:$F$5000,Movimientos!$D$2:$D$5000,$A102,Movimientos!$C$2:$C$5000,"Retorno alquiler")-SUMIFS(Movimientos!$F$2:$F$5000,Movimientos!$D$2:$D$5000,$A102,Movimientos!$C$2:$C$5000,"Consumido en evento")-SUMIFS(Movimientos!$F$2:$F$5000,Movimientos!$D$2:$D$5000,$A102,Movimientos!$C$2:$C$5000,"A reparación")</f>
        <v>0</v>
      </c>
      <c r="R102" s="45">
        <f>SUMIFS(Movimientos!$F$2:$F$5000,Movimientos!$D$2:$D$5000,$A102,Movimientos!$C$2:$C$5000,"A reparación")-SUMIFS(Movimientos!$F$2:$F$5000,Movimientos!$D$2:$D$5000,$A102,Movimientos!$C$2:$C$5000,"Retorno reparación")-SUMIFS(Movimientos!$F$2:$F$5000,Movimientos!$D$2:$D$5000,$A102,Movimientos!$C$2:$C$5000,"Baja desde reparación")</f>
        <v>0</v>
      </c>
      <c r="S102" s="45">
        <f>P102-Q102-R102</f>
        <v>1</v>
      </c>
    </row>
    <row r="103" spans="1:19">
      <c r="A103" s="15" t="s">
        <v>572</v>
      </c>
      <c r="B103" s="15" t="s">
        <v>573</v>
      </c>
      <c r="C103" s="42" t="s">
        <v>574</v>
      </c>
      <c r="D103" s="15" t="s">
        <v>101</v>
      </c>
      <c r="E103" s="42" t="s">
        <v>575</v>
      </c>
      <c r="F103" s="43">
        <v>1</v>
      </c>
      <c r="G103" s="15" t="s">
        <v>507</v>
      </c>
      <c r="H103" s="44">
        <v>1</v>
      </c>
      <c r="I103" s="15" t="s">
        <v>104</v>
      </c>
      <c r="J103" s="15" t="s">
        <v>33</v>
      </c>
      <c r="K103" s="15" t="s">
        <v>35</v>
      </c>
      <c r="L103" s="15"/>
      <c r="M103" s="15" t="s">
        <v>38</v>
      </c>
      <c r="N103" s="15"/>
      <c r="O103" s="15"/>
      <c r="P103" s="45">
        <f>H103+SUMIFS(Movimientos!$F$2:$F$5000,Movimientos!$D$2:$D$5000,$A103,Movimientos!$C$2:$C$5000,"Ingreso inventario")+SUMIFS(Movimientos!$F$2:$F$5000,Movimientos!$D$2:$D$5000,$A103,Movimientos!$C$2:$C$5000,"Ajuste")-SUMIFS(Movimientos!$F$2:$F$5000,Movimientos!$D$2:$D$5000,$A103,Movimientos!$C$2:$C$5000,"Consumido en evento")-SUMIFS(Movimientos!$F$2:$F$5000,Movimientos!$D$2:$D$5000,$A103,Movimientos!$C$2:$C$5000,"Consumo interno")-SUMIFS(Movimientos!$F$2:$F$5000,Movimientos!$D$2:$D$5000,$A103,Movimientos!$C$2:$C$5000,"Baja")-SUMIFS(Movimientos!$F$2:$F$5000,Movimientos!$D$2:$D$5000,$A103,Movimientos!$C$2:$C$5000,"Baja desde reparación")</f>
        <v>1</v>
      </c>
      <c r="Q103" s="45">
        <f>SUMIFS(Movimientos!$F$2:$F$5000,Movimientos!$D$2:$D$5000,$A103,Movimientos!$C$2:$C$5000,"Salida alquiler")-SUMIFS(Movimientos!$F$2:$F$5000,Movimientos!$D$2:$D$5000,$A103,Movimientos!$C$2:$C$5000,"Retorno alquiler")-SUMIFS(Movimientos!$F$2:$F$5000,Movimientos!$D$2:$D$5000,$A103,Movimientos!$C$2:$C$5000,"Consumido en evento")-SUMIFS(Movimientos!$F$2:$F$5000,Movimientos!$D$2:$D$5000,$A103,Movimientos!$C$2:$C$5000,"A reparación")</f>
        <v>0</v>
      </c>
      <c r="R103" s="45">
        <f>SUMIFS(Movimientos!$F$2:$F$5000,Movimientos!$D$2:$D$5000,$A103,Movimientos!$C$2:$C$5000,"A reparación")-SUMIFS(Movimientos!$F$2:$F$5000,Movimientos!$D$2:$D$5000,$A103,Movimientos!$C$2:$C$5000,"Retorno reparación")-SUMIFS(Movimientos!$F$2:$F$5000,Movimientos!$D$2:$D$5000,$A103,Movimientos!$C$2:$C$5000,"Baja desde reparación")</f>
        <v>0</v>
      </c>
      <c r="S103" s="45">
        <f>P103-Q103-R103</f>
        <v>1</v>
      </c>
    </row>
    <row r="104" spans="1:19">
      <c r="A104" s="15" t="s">
        <v>576</v>
      </c>
      <c r="B104" s="15" t="s">
        <v>577</v>
      </c>
      <c r="C104" s="42" t="s">
        <v>578</v>
      </c>
      <c r="D104" s="15" t="s">
        <v>101</v>
      </c>
      <c r="E104" s="42" t="s">
        <v>579</v>
      </c>
      <c r="F104" s="43">
        <v>1</v>
      </c>
      <c r="G104" s="15" t="s">
        <v>507</v>
      </c>
      <c r="H104" s="44">
        <v>0</v>
      </c>
      <c r="I104" s="15" t="s">
        <v>104</v>
      </c>
      <c r="J104" s="15" t="s">
        <v>33</v>
      </c>
      <c r="K104" s="15" t="s">
        <v>35</v>
      </c>
      <c r="L104" s="15"/>
      <c r="M104" s="15" t="s">
        <v>38</v>
      </c>
      <c r="N104" s="15"/>
      <c r="O104" s="15"/>
      <c r="P104" s="45">
        <f>H104+SUMIFS(Movimientos!$F$2:$F$5000,Movimientos!$D$2:$D$5000,$A104,Movimientos!$C$2:$C$5000,"Ingreso inventario")+SUMIFS(Movimientos!$F$2:$F$5000,Movimientos!$D$2:$D$5000,$A104,Movimientos!$C$2:$C$5000,"Ajuste")-SUMIFS(Movimientos!$F$2:$F$5000,Movimientos!$D$2:$D$5000,$A104,Movimientos!$C$2:$C$5000,"Consumido en evento")-SUMIFS(Movimientos!$F$2:$F$5000,Movimientos!$D$2:$D$5000,$A104,Movimientos!$C$2:$C$5000,"Consumo interno")-SUMIFS(Movimientos!$F$2:$F$5000,Movimientos!$D$2:$D$5000,$A104,Movimientos!$C$2:$C$5000,"Baja")-SUMIFS(Movimientos!$F$2:$F$5000,Movimientos!$D$2:$D$5000,$A104,Movimientos!$C$2:$C$5000,"Baja desde reparación")</f>
        <v>0</v>
      </c>
      <c r="Q104" s="45">
        <f>SUMIFS(Movimientos!$F$2:$F$5000,Movimientos!$D$2:$D$5000,$A104,Movimientos!$C$2:$C$5000,"Salida alquiler")-SUMIFS(Movimientos!$F$2:$F$5000,Movimientos!$D$2:$D$5000,$A104,Movimientos!$C$2:$C$5000,"Retorno alquiler")-SUMIFS(Movimientos!$F$2:$F$5000,Movimientos!$D$2:$D$5000,$A104,Movimientos!$C$2:$C$5000,"Consumido en evento")-SUMIFS(Movimientos!$F$2:$F$5000,Movimientos!$D$2:$D$5000,$A104,Movimientos!$C$2:$C$5000,"A reparación")</f>
        <v>0</v>
      </c>
      <c r="R104" s="45">
        <f>SUMIFS(Movimientos!$F$2:$F$5000,Movimientos!$D$2:$D$5000,$A104,Movimientos!$C$2:$C$5000,"A reparación")-SUMIFS(Movimientos!$F$2:$F$5000,Movimientos!$D$2:$D$5000,$A104,Movimientos!$C$2:$C$5000,"Retorno reparación")-SUMIFS(Movimientos!$F$2:$F$5000,Movimientos!$D$2:$D$5000,$A104,Movimientos!$C$2:$C$5000,"Baja desde reparación")</f>
        <v>0</v>
      </c>
      <c r="S104" s="45">
        <f>P104-Q104-R104</f>
        <v>0</v>
      </c>
    </row>
    <row r="105" spans="1:19">
      <c r="A105" s="15" t="s">
        <v>580</v>
      </c>
      <c r="B105" s="15" t="s">
        <v>581</v>
      </c>
      <c r="C105" s="42" t="s">
        <v>582</v>
      </c>
      <c r="D105" s="15" t="s">
        <v>101</v>
      </c>
      <c r="E105" s="42" t="s">
        <v>583</v>
      </c>
      <c r="F105" s="43">
        <v>1</v>
      </c>
      <c r="G105" s="15" t="s">
        <v>507</v>
      </c>
      <c r="H105" s="44">
        <v>4</v>
      </c>
      <c r="I105" s="15" t="s">
        <v>104</v>
      </c>
      <c r="J105" s="15" t="s">
        <v>33</v>
      </c>
      <c r="K105" s="15" t="s">
        <v>35</v>
      </c>
      <c r="L105" s="15"/>
      <c r="M105" s="15" t="s">
        <v>38</v>
      </c>
      <c r="N105" s="15"/>
      <c r="O105" s="15"/>
      <c r="P105" s="45">
        <f>H105+SUMIFS(Movimientos!$F$2:$F$5000,Movimientos!$D$2:$D$5000,$A105,Movimientos!$C$2:$C$5000,"Ingreso inventario")+SUMIFS(Movimientos!$F$2:$F$5000,Movimientos!$D$2:$D$5000,$A105,Movimientos!$C$2:$C$5000,"Ajuste")-SUMIFS(Movimientos!$F$2:$F$5000,Movimientos!$D$2:$D$5000,$A105,Movimientos!$C$2:$C$5000,"Consumido en evento")-SUMIFS(Movimientos!$F$2:$F$5000,Movimientos!$D$2:$D$5000,$A105,Movimientos!$C$2:$C$5000,"Consumo interno")-SUMIFS(Movimientos!$F$2:$F$5000,Movimientos!$D$2:$D$5000,$A105,Movimientos!$C$2:$C$5000,"Baja")-SUMIFS(Movimientos!$F$2:$F$5000,Movimientos!$D$2:$D$5000,$A105,Movimientos!$C$2:$C$5000,"Baja desde reparación")</f>
        <v>4</v>
      </c>
      <c r="Q105" s="45">
        <f>SUMIFS(Movimientos!$F$2:$F$5000,Movimientos!$D$2:$D$5000,$A105,Movimientos!$C$2:$C$5000,"Salida alquiler")-SUMIFS(Movimientos!$F$2:$F$5000,Movimientos!$D$2:$D$5000,$A105,Movimientos!$C$2:$C$5000,"Retorno alquiler")-SUMIFS(Movimientos!$F$2:$F$5000,Movimientos!$D$2:$D$5000,$A105,Movimientos!$C$2:$C$5000,"Consumido en evento")-SUMIFS(Movimientos!$F$2:$F$5000,Movimientos!$D$2:$D$5000,$A105,Movimientos!$C$2:$C$5000,"A reparación")</f>
        <v>0</v>
      </c>
      <c r="R105" s="45">
        <f>SUMIFS(Movimientos!$F$2:$F$5000,Movimientos!$D$2:$D$5000,$A105,Movimientos!$C$2:$C$5000,"A reparación")-SUMIFS(Movimientos!$F$2:$F$5000,Movimientos!$D$2:$D$5000,$A105,Movimientos!$C$2:$C$5000,"Retorno reparación")-SUMIFS(Movimientos!$F$2:$F$5000,Movimientos!$D$2:$D$5000,$A105,Movimientos!$C$2:$C$5000,"Baja desde reparación")</f>
        <v>0</v>
      </c>
      <c r="S105" s="45">
        <f>P105-Q105-R105</f>
        <v>4</v>
      </c>
    </row>
    <row r="106" spans="1:19">
      <c r="A106" s="15" t="s">
        <v>584</v>
      </c>
      <c r="B106" s="15" t="s">
        <v>585</v>
      </c>
      <c r="C106" s="42" t="s">
        <v>586</v>
      </c>
      <c r="D106" s="15" t="s">
        <v>101</v>
      </c>
      <c r="E106" s="42" t="s">
        <v>587</v>
      </c>
      <c r="F106" s="43">
        <v>1</v>
      </c>
      <c r="G106" s="15" t="s">
        <v>588</v>
      </c>
      <c r="H106" s="44">
        <v>1</v>
      </c>
      <c r="I106" s="15" t="s">
        <v>104</v>
      </c>
      <c r="J106" s="15" t="s">
        <v>33</v>
      </c>
      <c r="K106" s="15" t="s">
        <v>35</v>
      </c>
      <c r="L106" s="15" t="s">
        <v>589</v>
      </c>
      <c r="M106" s="15" t="s">
        <v>38</v>
      </c>
      <c r="N106" s="15"/>
      <c r="O106" s="15"/>
      <c r="P106" s="45">
        <f>H106+SUMIFS(Movimientos!$F$2:$F$5000,Movimientos!$D$2:$D$5000,$A106,Movimientos!$C$2:$C$5000,"Ingreso inventario")+SUMIFS(Movimientos!$F$2:$F$5000,Movimientos!$D$2:$D$5000,$A106,Movimientos!$C$2:$C$5000,"Ajuste")-SUMIFS(Movimientos!$F$2:$F$5000,Movimientos!$D$2:$D$5000,$A106,Movimientos!$C$2:$C$5000,"Consumido en evento")-SUMIFS(Movimientos!$F$2:$F$5000,Movimientos!$D$2:$D$5000,$A106,Movimientos!$C$2:$C$5000,"Consumo interno")-SUMIFS(Movimientos!$F$2:$F$5000,Movimientos!$D$2:$D$5000,$A106,Movimientos!$C$2:$C$5000,"Baja")-SUMIFS(Movimientos!$F$2:$F$5000,Movimientos!$D$2:$D$5000,$A106,Movimientos!$C$2:$C$5000,"Baja desde reparación")</f>
        <v>1</v>
      </c>
      <c r="Q106" s="45">
        <f>SUMIFS(Movimientos!$F$2:$F$5000,Movimientos!$D$2:$D$5000,$A106,Movimientos!$C$2:$C$5000,"Salida alquiler")-SUMIFS(Movimientos!$F$2:$F$5000,Movimientos!$D$2:$D$5000,$A106,Movimientos!$C$2:$C$5000,"Retorno alquiler")-SUMIFS(Movimientos!$F$2:$F$5000,Movimientos!$D$2:$D$5000,$A106,Movimientos!$C$2:$C$5000,"Consumido en evento")-SUMIFS(Movimientos!$F$2:$F$5000,Movimientos!$D$2:$D$5000,$A106,Movimientos!$C$2:$C$5000,"A reparación")</f>
        <v>0</v>
      </c>
      <c r="R106" s="45">
        <f>SUMIFS(Movimientos!$F$2:$F$5000,Movimientos!$D$2:$D$5000,$A106,Movimientos!$C$2:$C$5000,"A reparación")-SUMIFS(Movimientos!$F$2:$F$5000,Movimientos!$D$2:$D$5000,$A106,Movimientos!$C$2:$C$5000,"Retorno reparación")-SUMIFS(Movimientos!$F$2:$F$5000,Movimientos!$D$2:$D$5000,$A106,Movimientos!$C$2:$C$5000,"Baja desde reparación")</f>
        <v>0</v>
      </c>
      <c r="S106" s="45">
        <f>P106-Q106-R106</f>
        <v>1</v>
      </c>
    </row>
    <row r="107" spans="1:19">
      <c r="A107" s="15" t="s">
        <v>590</v>
      </c>
      <c r="B107" s="15" t="s">
        <v>591</v>
      </c>
      <c r="C107" s="42" t="s">
        <v>592</v>
      </c>
      <c r="D107" s="15" t="s">
        <v>101</v>
      </c>
      <c r="E107" s="42" t="s">
        <v>593</v>
      </c>
      <c r="F107" s="43">
        <v>1</v>
      </c>
      <c r="G107" s="15" t="s">
        <v>594</v>
      </c>
      <c r="H107" s="44">
        <v>1</v>
      </c>
      <c r="I107" s="15" t="s">
        <v>104</v>
      </c>
      <c r="J107" s="15" t="s">
        <v>33</v>
      </c>
      <c r="K107" s="15" t="s">
        <v>35</v>
      </c>
      <c r="L107" s="15"/>
      <c r="M107" s="15" t="s">
        <v>38</v>
      </c>
      <c r="N107" s="15"/>
      <c r="O107" s="15"/>
      <c r="P107" s="45">
        <f>H107+SUMIFS(Movimientos!$F$2:$F$5000,Movimientos!$D$2:$D$5000,$A107,Movimientos!$C$2:$C$5000,"Ingreso inventario")+SUMIFS(Movimientos!$F$2:$F$5000,Movimientos!$D$2:$D$5000,$A107,Movimientos!$C$2:$C$5000,"Ajuste")-SUMIFS(Movimientos!$F$2:$F$5000,Movimientos!$D$2:$D$5000,$A107,Movimientos!$C$2:$C$5000,"Consumido en evento")-SUMIFS(Movimientos!$F$2:$F$5000,Movimientos!$D$2:$D$5000,$A107,Movimientos!$C$2:$C$5000,"Consumo interno")-SUMIFS(Movimientos!$F$2:$F$5000,Movimientos!$D$2:$D$5000,$A107,Movimientos!$C$2:$C$5000,"Baja")-SUMIFS(Movimientos!$F$2:$F$5000,Movimientos!$D$2:$D$5000,$A107,Movimientos!$C$2:$C$5000,"Baja desde reparación")</f>
        <v>1</v>
      </c>
      <c r="Q107" s="45">
        <f>SUMIFS(Movimientos!$F$2:$F$5000,Movimientos!$D$2:$D$5000,$A107,Movimientos!$C$2:$C$5000,"Salida alquiler")-SUMIFS(Movimientos!$F$2:$F$5000,Movimientos!$D$2:$D$5000,$A107,Movimientos!$C$2:$C$5000,"Retorno alquiler")-SUMIFS(Movimientos!$F$2:$F$5000,Movimientos!$D$2:$D$5000,$A107,Movimientos!$C$2:$C$5000,"Consumido en evento")-SUMIFS(Movimientos!$F$2:$F$5000,Movimientos!$D$2:$D$5000,$A107,Movimientos!$C$2:$C$5000,"A reparación")</f>
        <v>0</v>
      </c>
      <c r="R107" s="45">
        <f>SUMIFS(Movimientos!$F$2:$F$5000,Movimientos!$D$2:$D$5000,$A107,Movimientos!$C$2:$C$5000,"A reparación")-SUMIFS(Movimientos!$F$2:$F$5000,Movimientos!$D$2:$D$5000,$A107,Movimientos!$C$2:$C$5000,"Retorno reparación")-SUMIFS(Movimientos!$F$2:$F$5000,Movimientos!$D$2:$D$5000,$A107,Movimientos!$C$2:$C$5000,"Baja desde reparación")</f>
        <v>0</v>
      </c>
      <c r="S107" s="45">
        <f>P107-Q107-R107</f>
        <v>1</v>
      </c>
    </row>
    <row r="108" spans="1:19">
      <c r="A108" s="15" t="s">
        <v>595</v>
      </c>
      <c r="B108" s="15" t="s">
        <v>596</v>
      </c>
      <c r="C108" s="42" t="s">
        <v>597</v>
      </c>
      <c r="D108" s="15" t="s">
        <v>101</v>
      </c>
      <c r="E108" s="42" t="s">
        <v>598</v>
      </c>
      <c r="F108" s="43">
        <v>1</v>
      </c>
      <c r="G108" s="15" t="s">
        <v>599</v>
      </c>
      <c r="H108" s="44">
        <v>29</v>
      </c>
      <c r="I108" s="15" t="s">
        <v>104</v>
      </c>
      <c r="J108" s="15" t="s">
        <v>33</v>
      </c>
      <c r="K108" s="15" t="s">
        <v>35</v>
      </c>
      <c r="L108" s="15"/>
      <c r="M108" s="15" t="s">
        <v>38</v>
      </c>
      <c r="N108" s="15"/>
      <c r="O108" s="15"/>
      <c r="P108" s="45">
        <f>H108+SUMIFS(Movimientos!$F$2:$F$5000,Movimientos!$D$2:$D$5000,$A108,Movimientos!$C$2:$C$5000,"Ingreso inventario")+SUMIFS(Movimientos!$F$2:$F$5000,Movimientos!$D$2:$D$5000,$A108,Movimientos!$C$2:$C$5000,"Ajuste")-SUMIFS(Movimientos!$F$2:$F$5000,Movimientos!$D$2:$D$5000,$A108,Movimientos!$C$2:$C$5000,"Consumido en evento")-SUMIFS(Movimientos!$F$2:$F$5000,Movimientos!$D$2:$D$5000,$A108,Movimientos!$C$2:$C$5000,"Consumo interno")-SUMIFS(Movimientos!$F$2:$F$5000,Movimientos!$D$2:$D$5000,$A108,Movimientos!$C$2:$C$5000,"Baja")-SUMIFS(Movimientos!$F$2:$F$5000,Movimientos!$D$2:$D$5000,$A108,Movimientos!$C$2:$C$5000,"Baja desde reparación")</f>
        <v>29</v>
      </c>
      <c r="Q108" s="45">
        <f>SUMIFS(Movimientos!$F$2:$F$5000,Movimientos!$D$2:$D$5000,$A108,Movimientos!$C$2:$C$5000,"Salida alquiler")-SUMIFS(Movimientos!$F$2:$F$5000,Movimientos!$D$2:$D$5000,$A108,Movimientos!$C$2:$C$5000,"Retorno alquiler")-SUMIFS(Movimientos!$F$2:$F$5000,Movimientos!$D$2:$D$5000,$A108,Movimientos!$C$2:$C$5000,"Consumido en evento")-SUMIFS(Movimientos!$F$2:$F$5000,Movimientos!$D$2:$D$5000,$A108,Movimientos!$C$2:$C$5000,"A reparación")</f>
        <v>0</v>
      </c>
      <c r="R108" s="45">
        <f>SUMIFS(Movimientos!$F$2:$F$5000,Movimientos!$D$2:$D$5000,$A108,Movimientos!$C$2:$C$5000,"A reparación")-SUMIFS(Movimientos!$F$2:$F$5000,Movimientos!$D$2:$D$5000,$A108,Movimientos!$C$2:$C$5000,"Retorno reparación")-SUMIFS(Movimientos!$F$2:$F$5000,Movimientos!$D$2:$D$5000,$A108,Movimientos!$C$2:$C$5000,"Baja desde reparación")</f>
        <v>0</v>
      </c>
      <c r="S108" s="45">
        <f>P108-Q108-R108</f>
        <v>29</v>
      </c>
    </row>
    <row r="109" spans="1:19">
      <c r="A109" s="15" t="s">
        <v>600</v>
      </c>
      <c r="B109" s="15" t="s">
        <v>601</v>
      </c>
      <c r="C109" s="42" t="s">
        <v>602</v>
      </c>
      <c r="D109" s="15" t="s">
        <v>101</v>
      </c>
      <c r="E109" s="42" t="s">
        <v>603</v>
      </c>
      <c r="F109" s="43">
        <v>1</v>
      </c>
      <c r="G109" s="15" t="s">
        <v>599</v>
      </c>
      <c r="H109" s="44">
        <v>49</v>
      </c>
      <c r="I109" s="15" t="s">
        <v>104</v>
      </c>
      <c r="J109" s="15" t="s">
        <v>33</v>
      </c>
      <c r="K109" s="15" t="s">
        <v>35</v>
      </c>
      <c r="L109" s="15" t="s">
        <v>604</v>
      </c>
      <c r="M109" s="15" t="s">
        <v>38</v>
      </c>
      <c r="N109" s="15"/>
      <c r="O109" s="15"/>
      <c r="P109" s="45">
        <f>H109+SUMIFS(Movimientos!$F$2:$F$5000,Movimientos!$D$2:$D$5000,$A109,Movimientos!$C$2:$C$5000,"Ingreso inventario")+SUMIFS(Movimientos!$F$2:$F$5000,Movimientos!$D$2:$D$5000,$A109,Movimientos!$C$2:$C$5000,"Ajuste")-SUMIFS(Movimientos!$F$2:$F$5000,Movimientos!$D$2:$D$5000,$A109,Movimientos!$C$2:$C$5000,"Consumido en evento")-SUMIFS(Movimientos!$F$2:$F$5000,Movimientos!$D$2:$D$5000,$A109,Movimientos!$C$2:$C$5000,"Consumo interno")-SUMIFS(Movimientos!$F$2:$F$5000,Movimientos!$D$2:$D$5000,$A109,Movimientos!$C$2:$C$5000,"Baja")-SUMIFS(Movimientos!$F$2:$F$5000,Movimientos!$D$2:$D$5000,$A109,Movimientos!$C$2:$C$5000,"Baja desde reparación")</f>
        <v>49</v>
      </c>
      <c r="Q109" s="45">
        <f>SUMIFS(Movimientos!$F$2:$F$5000,Movimientos!$D$2:$D$5000,$A109,Movimientos!$C$2:$C$5000,"Salida alquiler")-SUMIFS(Movimientos!$F$2:$F$5000,Movimientos!$D$2:$D$5000,$A109,Movimientos!$C$2:$C$5000,"Retorno alquiler")-SUMIFS(Movimientos!$F$2:$F$5000,Movimientos!$D$2:$D$5000,$A109,Movimientos!$C$2:$C$5000,"Consumido en evento")-SUMIFS(Movimientos!$F$2:$F$5000,Movimientos!$D$2:$D$5000,$A109,Movimientos!$C$2:$C$5000,"A reparación")</f>
        <v>0</v>
      </c>
      <c r="R109" s="45">
        <f>SUMIFS(Movimientos!$F$2:$F$5000,Movimientos!$D$2:$D$5000,$A109,Movimientos!$C$2:$C$5000,"A reparación")-SUMIFS(Movimientos!$F$2:$F$5000,Movimientos!$D$2:$D$5000,$A109,Movimientos!$C$2:$C$5000,"Retorno reparación")-SUMIFS(Movimientos!$F$2:$F$5000,Movimientos!$D$2:$D$5000,$A109,Movimientos!$C$2:$C$5000,"Baja desde reparación")</f>
        <v>0</v>
      </c>
      <c r="S109" s="45">
        <f>P109-Q109-R109</f>
        <v>49</v>
      </c>
    </row>
    <row r="110" spans="1:19">
      <c r="A110" s="15" t="s">
        <v>605</v>
      </c>
      <c r="B110" s="15" t="s">
        <v>606</v>
      </c>
      <c r="C110" s="42" t="s">
        <v>607</v>
      </c>
      <c r="D110" s="15" t="s">
        <v>101</v>
      </c>
      <c r="E110" s="42" t="s">
        <v>608</v>
      </c>
      <c r="F110" s="43">
        <v>1</v>
      </c>
      <c r="G110" s="15" t="s">
        <v>275</v>
      </c>
      <c r="H110" s="44">
        <v>2</v>
      </c>
      <c r="I110" s="15" t="s">
        <v>104</v>
      </c>
      <c r="J110" s="15" t="s">
        <v>33</v>
      </c>
      <c r="K110" s="15" t="s">
        <v>35</v>
      </c>
      <c r="L110" s="15"/>
      <c r="M110" s="15" t="s">
        <v>38</v>
      </c>
      <c r="N110" s="15"/>
      <c r="O110" s="15"/>
      <c r="P110" s="45">
        <f>H110+SUMIFS(Movimientos!$F$2:$F$5000,Movimientos!$D$2:$D$5000,$A110,Movimientos!$C$2:$C$5000,"Ingreso inventario")+SUMIFS(Movimientos!$F$2:$F$5000,Movimientos!$D$2:$D$5000,$A110,Movimientos!$C$2:$C$5000,"Ajuste")-SUMIFS(Movimientos!$F$2:$F$5000,Movimientos!$D$2:$D$5000,$A110,Movimientos!$C$2:$C$5000,"Consumido en evento")-SUMIFS(Movimientos!$F$2:$F$5000,Movimientos!$D$2:$D$5000,$A110,Movimientos!$C$2:$C$5000,"Consumo interno")-SUMIFS(Movimientos!$F$2:$F$5000,Movimientos!$D$2:$D$5000,$A110,Movimientos!$C$2:$C$5000,"Baja")-SUMIFS(Movimientos!$F$2:$F$5000,Movimientos!$D$2:$D$5000,$A110,Movimientos!$C$2:$C$5000,"Baja desde reparación")</f>
        <v>2</v>
      </c>
      <c r="Q110" s="45">
        <f>SUMIFS(Movimientos!$F$2:$F$5000,Movimientos!$D$2:$D$5000,$A110,Movimientos!$C$2:$C$5000,"Salida alquiler")-SUMIFS(Movimientos!$F$2:$F$5000,Movimientos!$D$2:$D$5000,$A110,Movimientos!$C$2:$C$5000,"Retorno alquiler")-SUMIFS(Movimientos!$F$2:$F$5000,Movimientos!$D$2:$D$5000,$A110,Movimientos!$C$2:$C$5000,"Consumido en evento")-SUMIFS(Movimientos!$F$2:$F$5000,Movimientos!$D$2:$D$5000,$A110,Movimientos!$C$2:$C$5000,"A reparación")</f>
        <v>0</v>
      </c>
      <c r="R110" s="45">
        <f>SUMIFS(Movimientos!$F$2:$F$5000,Movimientos!$D$2:$D$5000,$A110,Movimientos!$C$2:$C$5000,"A reparación")-SUMIFS(Movimientos!$F$2:$F$5000,Movimientos!$D$2:$D$5000,$A110,Movimientos!$C$2:$C$5000,"Retorno reparación")-SUMIFS(Movimientos!$F$2:$F$5000,Movimientos!$D$2:$D$5000,$A110,Movimientos!$C$2:$C$5000,"Baja desde reparación")</f>
        <v>0</v>
      </c>
      <c r="S110" s="45">
        <f>P110-Q110-R110</f>
        <v>2</v>
      </c>
    </row>
    <row r="111" spans="1:19">
      <c r="A111" s="15" t="s">
        <v>609</v>
      </c>
      <c r="B111" s="15" t="s">
        <v>610</v>
      </c>
      <c r="C111" s="42" t="s">
        <v>611</v>
      </c>
      <c r="D111" s="15" t="s">
        <v>101</v>
      </c>
      <c r="E111" s="42" t="s">
        <v>612</v>
      </c>
      <c r="F111" s="43">
        <v>1</v>
      </c>
      <c r="G111" s="15" t="s">
        <v>275</v>
      </c>
      <c r="H111" s="44">
        <v>1</v>
      </c>
      <c r="I111" s="15" t="s">
        <v>104</v>
      </c>
      <c r="J111" s="15" t="s">
        <v>33</v>
      </c>
      <c r="K111" s="15" t="s">
        <v>35</v>
      </c>
      <c r="L111" s="15"/>
      <c r="M111" s="15" t="s">
        <v>38</v>
      </c>
      <c r="N111" s="15"/>
      <c r="O111" s="15"/>
      <c r="P111" s="45">
        <f>H111+SUMIFS(Movimientos!$F$2:$F$5000,Movimientos!$D$2:$D$5000,$A111,Movimientos!$C$2:$C$5000,"Ingreso inventario")+SUMIFS(Movimientos!$F$2:$F$5000,Movimientos!$D$2:$D$5000,$A111,Movimientos!$C$2:$C$5000,"Ajuste")-SUMIFS(Movimientos!$F$2:$F$5000,Movimientos!$D$2:$D$5000,$A111,Movimientos!$C$2:$C$5000,"Consumido en evento")-SUMIFS(Movimientos!$F$2:$F$5000,Movimientos!$D$2:$D$5000,$A111,Movimientos!$C$2:$C$5000,"Consumo interno")-SUMIFS(Movimientos!$F$2:$F$5000,Movimientos!$D$2:$D$5000,$A111,Movimientos!$C$2:$C$5000,"Baja")-SUMIFS(Movimientos!$F$2:$F$5000,Movimientos!$D$2:$D$5000,$A111,Movimientos!$C$2:$C$5000,"Baja desde reparación")</f>
        <v>1</v>
      </c>
      <c r="Q111" s="45">
        <f>SUMIFS(Movimientos!$F$2:$F$5000,Movimientos!$D$2:$D$5000,$A111,Movimientos!$C$2:$C$5000,"Salida alquiler")-SUMIFS(Movimientos!$F$2:$F$5000,Movimientos!$D$2:$D$5000,$A111,Movimientos!$C$2:$C$5000,"Retorno alquiler")-SUMIFS(Movimientos!$F$2:$F$5000,Movimientos!$D$2:$D$5000,$A111,Movimientos!$C$2:$C$5000,"Consumido en evento")-SUMIFS(Movimientos!$F$2:$F$5000,Movimientos!$D$2:$D$5000,$A111,Movimientos!$C$2:$C$5000,"A reparación")</f>
        <v>0</v>
      </c>
      <c r="R111" s="45">
        <f>SUMIFS(Movimientos!$F$2:$F$5000,Movimientos!$D$2:$D$5000,$A111,Movimientos!$C$2:$C$5000,"A reparación")-SUMIFS(Movimientos!$F$2:$F$5000,Movimientos!$D$2:$D$5000,$A111,Movimientos!$C$2:$C$5000,"Retorno reparación")-SUMIFS(Movimientos!$F$2:$F$5000,Movimientos!$D$2:$D$5000,$A111,Movimientos!$C$2:$C$5000,"Baja desde reparación")</f>
        <v>0</v>
      </c>
      <c r="S111" s="45">
        <f>P111-Q111-R111</f>
        <v>1</v>
      </c>
    </row>
    <row r="112" spans="1:19">
      <c r="A112" s="15" t="s">
        <v>613</v>
      </c>
      <c r="B112" s="15" t="s">
        <v>614</v>
      </c>
      <c r="C112" s="42" t="s">
        <v>615</v>
      </c>
      <c r="D112" s="15" t="s">
        <v>101</v>
      </c>
      <c r="E112" s="42" t="s">
        <v>616</v>
      </c>
      <c r="F112" s="43">
        <v>1</v>
      </c>
      <c r="G112" s="15" t="s">
        <v>275</v>
      </c>
      <c r="H112" s="44">
        <v>1</v>
      </c>
      <c r="I112" s="15" t="s">
        <v>104</v>
      </c>
      <c r="J112" s="15" t="s">
        <v>33</v>
      </c>
      <c r="K112" s="15" t="s">
        <v>35</v>
      </c>
      <c r="L112" s="15"/>
      <c r="M112" s="15" t="s">
        <v>38</v>
      </c>
      <c r="N112" s="15"/>
      <c r="O112" s="15"/>
      <c r="P112" s="45">
        <f>H112+SUMIFS(Movimientos!$F$2:$F$5000,Movimientos!$D$2:$D$5000,$A112,Movimientos!$C$2:$C$5000,"Ingreso inventario")+SUMIFS(Movimientos!$F$2:$F$5000,Movimientos!$D$2:$D$5000,$A112,Movimientos!$C$2:$C$5000,"Ajuste")-SUMIFS(Movimientos!$F$2:$F$5000,Movimientos!$D$2:$D$5000,$A112,Movimientos!$C$2:$C$5000,"Consumido en evento")-SUMIFS(Movimientos!$F$2:$F$5000,Movimientos!$D$2:$D$5000,$A112,Movimientos!$C$2:$C$5000,"Consumo interno")-SUMIFS(Movimientos!$F$2:$F$5000,Movimientos!$D$2:$D$5000,$A112,Movimientos!$C$2:$C$5000,"Baja")-SUMIFS(Movimientos!$F$2:$F$5000,Movimientos!$D$2:$D$5000,$A112,Movimientos!$C$2:$C$5000,"Baja desde reparación")</f>
        <v>1</v>
      </c>
      <c r="Q112" s="45">
        <f>SUMIFS(Movimientos!$F$2:$F$5000,Movimientos!$D$2:$D$5000,$A112,Movimientos!$C$2:$C$5000,"Salida alquiler")-SUMIFS(Movimientos!$F$2:$F$5000,Movimientos!$D$2:$D$5000,$A112,Movimientos!$C$2:$C$5000,"Retorno alquiler")-SUMIFS(Movimientos!$F$2:$F$5000,Movimientos!$D$2:$D$5000,$A112,Movimientos!$C$2:$C$5000,"Consumido en evento")-SUMIFS(Movimientos!$F$2:$F$5000,Movimientos!$D$2:$D$5000,$A112,Movimientos!$C$2:$C$5000,"A reparación")</f>
        <v>0</v>
      </c>
      <c r="R112" s="45">
        <f>SUMIFS(Movimientos!$F$2:$F$5000,Movimientos!$D$2:$D$5000,$A112,Movimientos!$C$2:$C$5000,"A reparación")-SUMIFS(Movimientos!$F$2:$F$5000,Movimientos!$D$2:$D$5000,$A112,Movimientos!$C$2:$C$5000,"Retorno reparación")-SUMIFS(Movimientos!$F$2:$F$5000,Movimientos!$D$2:$D$5000,$A112,Movimientos!$C$2:$C$5000,"Baja desde reparación")</f>
        <v>0</v>
      </c>
      <c r="S112" s="45">
        <f>P112-Q112-R112</f>
        <v>1</v>
      </c>
    </row>
    <row r="113" spans="1:19">
      <c r="A113" s="15" t="s">
        <v>617</v>
      </c>
      <c r="B113" s="15" t="s">
        <v>618</v>
      </c>
      <c r="C113" s="42" t="s">
        <v>619</v>
      </c>
      <c r="D113" s="15" t="s">
        <v>101</v>
      </c>
      <c r="E113" s="42" t="s">
        <v>620</v>
      </c>
      <c r="F113" s="43">
        <v>1</v>
      </c>
      <c r="G113" s="15" t="s">
        <v>135</v>
      </c>
      <c r="H113" s="44">
        <v>1</v>
      </c>
      <c r="I113" s="15" t="s">
        <v>104</v>
      </c>
      <c r="J113" s="15" t="s">
        <v>33</v>
      </c>
      <c r="K113" s="15" t="s">
        <v>35</v>
      </c>
      <c r="L113" s="15"/>
      <c r="M113" s="15" t="s">
        <v>38</v>
      </c>
      <c r="N113" s="15"/>
      <c r="O113" s="15"/>
      <c r="P113" s="45">
        <f>H113+SUMIFS(Movimientos!$F$2:$F$5000,Movimientos!$D$2:$D$5000,$A113,Movimientos!$C$2:$C$5000,"Ingreso inventario")+SUMIFS(Movimientos!$F$2:$F$5000,Movimientos!$D$2:$D$5000,$A113,Movimientos!$C$2:$C$5000,"Ajuste")-SUMIFS(Movimientos!$F$2:$F$5000,Movimientos!$D$2:$D$5000,$A113,Movimientos!$C$2:$C$5000,"Consumido en evento")-SUMIFS(Movimientos!$F$2:$F$5000,Movimientos!$D$2:$D$5000,$A113,Movimientos!$C$2:$C$5000,"Consumo interno")-SUMIFS(Movimientos!$F$2:$F$5000,Movimientos!$D$2:$D$5000,$A113,Movimientos!$C$2:$C$5000,"Baja")-SUMIFS(Movimientos!$F$2:$F$5000,Movimientos!$D$2:$D$5000,$A113,Movimientos!$C$2:$C$5000,"Baja desde reparación")</f>
        <v>1</v>
      </c>
      <c r="Q113" s="45">
        <f>SUMIFS(Movimientos!$F$2:$F$5000,Movimientos!$D$2:$D$5000,$A113,Movimientos!$C$2:$C$5000,"Salida alquiler")-SUMIFS(Movimientos!$F$2:$F$5000,Movimientos!$D$2:$D$5000,$A113,Movimientos!$C$2:$C$5000,"Retorno alquiler")-SUMIFS(Movimientos!$F$2:$F$5000,Movimientos!$D$2:$D$5000,$A113,Movimientos!$C$2:$C$5000,"Consumido en evento")-SUMIFS(Movimientos!$F$2:$F$5000,Movimientos!$D$2:$D$5000,$A113,Movimientos!$C$2:$C$5000,"A reparación")</f>
        <v>0</v>
      </c>
      <c r="R113" s="45">
        <f>SUMIFS(Movimientos!$F$2:$F$5000,Movimientos!$D$2:$D$5000,$A113,Movimientos!$C$2:$C$5000,"A reparación")-SUMIFS(Movimientos!$F$2:$F$5000,Movimientos!$D$2:$D$5000,$A113,Movimientos!$C$2:$C$5000,"Retorno reparación")-SUMIFS(Movimientos!$F$2:$F$5000,Movimientos!$D$2:$D$5000,$A113,Movimientos!$C$2:$C$5000,"Baja desde reparación")</f>
        <v>0</v>
      </c>
      <c r="S113" s="45">
        <f>P113-Q113-R113</f>
        <v>1</v>
      </c>
    </row>
    <row r="114" spans="1:19">
      <c r="A114" s="15" t="s">
        <v>621</v>
      </c>
      <c r="B114" s="15" t="s">
        <v>622</v>
      </c>
      <c r="C114" s="42" t="s">
        <v>623</v>
      </c>
      <c r="D114" s="15" t="s">
        <v>101</v>
      </c>
      <c r="E114" s="42" t="s">
        <v>624</v>
      </c>
      <c r="F114" s="43">
        <v>1</v>
      </c>
      <c r="G114" s="15" t="s">
        <v>135</v>
      </c>
      <c r="H114" s="44">
        <v>2</v>
      </c>
      <c r="I114" s="15" t="s">
        <v>104</v>
      </c>
      <c r="J114" s="15" t="s">
        <v>33</v>
      </c>
      <c r="K114" s="15" t="s">
        <v>35</v>
      </c>
      <c r="L114" s="15"/>
      <c r="M114" s="15" t="s">
        <v>38</v>
      </c>
      <c r="N114" s="15"/>
      <c r="O114" s="15"/>
      <c r="P114" s="45">
        <f>H114+SUMIFS(Movimientos!$F$2:$F$5000,Movimientos!$D$2:$D$5000,$A114,Movimientos!$C$2:$C$5000,"Ingreso inventario")+SUMIFS(Movimientos!$F$2:$F$5000,Movimientos!$D$2:$D$5000,$A114,Movimientos!$C$2:$C$5000,"Ajuste")-SUMIFS(Movimientos!$F$2:$F$5000,Movimientos!$D$2:$D$5000,$A114,Movimientos!$C$2:$C$5000,"Consumido en evento")-SUMIFS(Movimientos!$F$2:$F$5000,Movimientos!$D$2:$D$5000,$A114,Movimientos!$C$2:$C$5000,"Consumo interno")-SUMIFS(Movimientos!$F$2:$F$5000,Movimientos!$D$2:$D$5000,$A114,Movimientos!$C$2:$C$5000,"Baja")-SUMIFS(Movimientos!$F$2:$F$5000,Movimientos!$D$2:$D$5000,$A114,Movimientos!$C$2:$C$5000,"Baja desde reparación")</f>
        <v>2</v>
      </c>
      <c r="Q114" s="45">
        <f>SUMIFS(Movimientos!$F$2:$F$5000,Movimientos!$D$2:$D$5000,$A114,Movimientos!$C$2:$C$5000,"Salida alquiler")-SUMIFS(Movimientos!$F$2:$F$5000,Movimientos!$D$2:$D$5000,$A114,Movimientos!$C$2:$C$5000,"Retorno alquiler")-SUMIFS(Movimientos!$F$2:$F$5000,Movimientos!$D$2:$D$5000,$A114,Movimientos!$C$2:$C$5000,"Consumido en evento")-SUMIFS(Movimientos!$F$2:$F$5000,Movimientos!$D$2:$D$5000,$A114,Movimientos!$C$2:$C$5000,"A reparación")</f>
        <v>0</v>
      </c>
      <c r="R114" s="45">
        <f>SUMIFS(Movimientos!$F$2:$F$5000,Movimientos!$D$2:$D$5000,$A114,Movimientos!$C$2:$C$5000,"A reparación")-SUMIFS(Movimientos!$F$2:$F$5000,Movimientos!$D$2:$D$5000,$A114,Movimientos!$C$2:$C$5000,"Retorno reparación")-SUMIFS(Movimientos!$F$2:$F$5000,Movimientos!$D$2:$D$5000,$A114,Movimientos!$C$2:$C$5000,"Baja desde reparación")</f>
        <v>0</v>
      </c>
      <c r="S114" s="45">
        <f>P114-Q114-R114</f>
        <v>2</v>
      </c>
    </row>
    <row r="115" spans="1:19">
      <c r="A115" s="15" t="s">
        <v>625</v>
      </c>
      <c r="B115" s="15" t="s">
        <v>626</v>
      </c>
      <c r="C115" s="42" t="s">
        <v>627</v>
      </c>
      <c r="D115" s="15" t="s">
        <v>101</v>
      </c>
      <c r="E115" s="42" t="s">
        <v>628</v>
      </c>
      <c r="F115" s="43">
        <v>1</v>
      </c>
      <c r="G115" s="15" t="s">
        <v>409</v>
      </c>
      <c r="H115" s="44">
        <v>4</v>
      </c>
      <c r="I115" s="15" t="s">
        <v>104</v>
      </c>
      <c r="J115" s="15" t="s">
        <v>33</v>
      </c>
      <c r="K115" s="15" t="s">
        <v>35</v>
      </c>
      <c r="L115" s="15"/>
      <c r="M115" s="15" t="s">
        <v>38</v>
      </c>
      <c r="N115" s="15"/>
      <c r="O115" s="15"/>
      <c r="P115" s="45">
        <f>H115+SUMIFS(Movimientos!$F$2:$F$5000,Movimientos!$D$2:$D$5000,$A115,Movimientos!$C$2:$C$5000,"Ingreso inventario")+SUMIFS(Movimientos!$F$2:$F$5000,Movimientos!$D$2:$D$5000,$A115,Movimientos!$C$2:$C$5000,"Ajuste")-SUMIFS(Movimientos!$F$2:$F$5000,Movimientos!$D$2:$D$5000,$A115,Movimientos!$C$2:$C$5000,"Consumido en evento")-SUMIFS(Movimientos!$F$2:$F$5000,Movimientos!$D$2:$D$5000,$A115,Movimientos!$C$2:$C$5000,"Consumo interno")-SUMIFS(Movimientos!$F$2:$F$5000,Movimientos!$D$2:$D$5000,$A115,Movimientos!$C$2:$C$5000,"Baja")-SUMIFS(Movimientos!$F$2:$F$5000,Movimientos!$D$2:$D$5000,$A115,Movimientos!$C$2:$C$5000,"Baja desde reparación")</f>
        <v>4</v>
      </c>
      <c r="Q115" s="45">
        <f>SUMIFS(Movimientos!$F$2:$F$5000,Movimientos!$D$2:$D$5000,$A115,Movimientos!$C$2:$C$5000,"Salida alquiler")-SUMIFS(Movimientos!$F$2:$F$5000,Movimientos!$D$2:$D$5000,$A115,Movimientos!$C$2:$C$5000,"Retorno alquiler")-SUMIFS(Movimientos!$F$2:$F$5000,Movimientos!$D$2:$D$5000,$A115,Movimientos!$C$2:$C$5000,"Consumido en evento")-SUMIFS(Movimientos!$F$2:$F$5000,Movimientos!$D$2:$D$5000,$A115,Movimientos!$C$2:$C$5000,"A reparación")</f>
        <v>0</v>
      </c>
      <c r="R115" s="45">
        <f>SUMIFS(Movimientos!$F$2:$F$5000,Movimientos!$D$2:$D$5000,$A115,Movimientos!$C$2:$C$5000,"A reparación")-SUMIFS(Movimientos!$F$2:$F$5000,Movimientos!$D$2:$D$5000,$A115,Movimientos!$C$2:$C$5000,"Retorno reparación")-SUMIFS(Movimientos!$F$2:$F$5000,Movimientos!$D$2:$D$5000,$A115,Movimientos!$C$2:$C$5000,"Baja desde reparación")</f>
        <v>0</v>
      </c>
      <c r="S115" s="45">
        <f>P115-Q115-R115</f>
        <v>4</v>
      </c>
    </row>
    <row r="116" spans="1:19">
      <c r="A116" s="15" t="s">
        <v>629</v>
      </c>
      <c r="B116" s="15" t="s">
        <v>630</v>
      </c>
      <c r="C116" s="42"/>
      <c r="D116" s="15" t="s">
        <v>101</v>
      </c>
      <c r="E116" s="42"/>
      <c r="F116" s="43">
        <v>1</v>
      </c>
      <c r="G116" s="15" t="s">
        <v>558</v>
      </c>
      <c r="H116" s="44">
        <v>3</v>
      </c>
      <c r="I116" s="15" t="s">
        <v>559</v>
      </c>
      <c r="J116" s="15" t="s">
        <v>33</v>
      </c>
      <c r="K116" s="15" t="s">
        <v>35</v>
      </c>
      <c r="L116" s="15"/>
      <c r="M116" s="15" t="s">
        <v>38</v>
      </c>
      <c r="N116" s="15"/>
      <c r="O116" s="15"/>
      <c r="P116" s="45">
        <f>H116+SUMIFS(Movimientos!$F$2:$F$5000,Movimientos!$D$2:$D$5000,$A116,Movimientos!$C$2:$C$5000,"Ingreso inventario")+SUMIFS(Movimientos!$F$2:$F$5000,Movimientos!$D$2:$D$5000,$A116,Movimientos!$C$2:$C$5000,"Ajuste")-SUMIFS(Movimientos!$F$2:$F$5000,Movimientos!$D$2:$D$5000,$A116,Movimientos!$C$2:$C$5000,"Consumido en evento")-SUMIFS(Movimientos!$F$2:$F$5000,Movimientos!$D$2:$D$5000,$A116,Movimientos!$C$2:$C$5000,"Consumo interno")-SUMIFS(Movimientos!$F$2:$F$5000,Movimientos!$D$2:$D$5000,$A116,Movimientos!$C$2:$C$5000,"Baja")-SUMIFS(Movimientos!$F$2:$F$5000,Movimientos!$D$2:$D$5000,$A116,Movimientos!$C$2:$C$5000,"Baja desde reparación")</f>
        <v>3</v>
      </c>
      <c r="Q116" s="45">
        <f>SUMIFS(Movimientos!$F$2:$F$5000,Movimientos!$D$2:$D$5000,$A116,Movimientos!$C$2:$C$5000,"Salida alquiler")-SUMIFS(Movimientos!$F$2:$F$5000,Movimientos!$D$2:$D$5000,$A116,Movimientos!$C$2:$C$5000,"Retorno alquiler")-SUMIFS(Movimientos!$F$2:$F$5000,Movimientos!$D$2:$D$5000,$A116,Movimientos!$C$2:$C$5000,"Consumido en evento")-SUMIFS(Movimientos!$F$2:$F$5000,Movimientos!$D$2:$D$5000,$A116,Movimientos!$C$2:$C$5000,"A reparación")</f>
        <v>0</v>
      </c>
      <c r="R116" s="45">
        <f>SUMIFS(Movimientos!$F$2:$F$5000,Movimientos!$D$2:$D$5000,$A116,Movimientos!$C$2:$C$5000,"A reparación")-SUMIFS(Movimientos!$F$2:$F$5000,Movimientos!$D$2:$D$5000,$A116,Movimientos!$C$2:$C$5000,"Retorno reparación")-SUMIFS(Movimientos!$F$2:$F$5000,Movimientos!$D$2:$D$5000,$A116,Movimientos!$C$2:$C$5000,"Baja desde reparación")</f>
        <v>0</v>
      </c>
      <c r="S116" s="45">
        <f>P116-Q116-R116</f>
        <v>3</v>
      </c>
    </row>
    <row r="117" spans="1:19">
      <c r="A117" s="15" t="s">
        <v>631</v>
      </c>
      <c r="B117" s="15" t="s">
        <v>632</v>
      </c>
      <c r="C117" s="42"/>
      <c r="D117" s="15" t="s">
        <v>101</v>
      </c>
      <c r="E117" s="42"/>
      <c r="F117" s="43">
        <v>1</v>
      </c>
      <c r="G117" s="15" t="s">
        <v>226</v>
      </c>
      <c r="H117" s="44">
        <v>100</v>
      </c>
      <c r="I117" s="15" t="s">
        <v>104</v>
      </c>
      <c r="J117" s="15" t="s">
        <v>33</v>
      </c>
      <c r="K117" s="15" t="s">
        <v>35</v>
      </c>
      <c r="L117" s="15"/>
      <c r="M117" s="15" t="s">
        <v>38</v>
      </c>
      <c r="N117" s="15"/>
      <c r="O117" s="15"/>
      <c r="P117" s="45">
        <f>H117+SUMIFS(Movimientos!$F$2:$F$5000,Movimientos!$D$2:$D$5000,$A117,Movimientos!$C$2:$C$5000,"Ingreso inventario")+SUMIFS(Movimientos!$F$2:$F$5000,Movimientos!$D$2:$D$5000,$A117,Movimientos!$C$2:$C$5000,"Ajuste")-SUMIFS(Movimientos!$F$2:$F$5000,Movimientos!$D$2:$D$5000,$A117,Movimientos!$C$2:$C$5000,"Consumido en evento")-SUMIFS(Movimientos!$F$2:$F$5000,Movimientos!$D$2:$D$5000,$A117,Movimientos!$C$2:$C$5000,"Consumo interno")-SUMIFS(Movimientos!$F$2:$F$5000,Movimientos!$D$2:$D$5000,$A117,Movimientos!$C$2:$C$5000,"Baja")-SUMIFS(Movimientos!$F$2:$F$5000,Movimientos!$D$2:$D$5000,$A117,Movimientos!$C$2:$C$5000,"Baja desde reparación")</f>
        <v>100</v>
      </c>
      <c r="Q117" s="45">
        <f>SUMIFS(Movimientos!$F$2:$F$5000,Movimientos!$D$2:$D$5000,$A117,Movimientos!$C$2:$C$5000,"Salida alquiler")-SUMIFS(Movimientos!$F$2:$F$5000,Movimientos!$D$2:$D$5000,$A117,Movimientos!$C$2:$C$5000,"Retorno alquiler")-SUMIFS(Movimientos!$F$2:$F$5000,Movimientos!$D$2:$D$5000,$A117,Movimientos!$C$2:$C$5000,"Consumido en evento")-SUMIFS(Movimientos!$F$2:$F$5000,Movimientos!$D$2:$D$5000,$A117,Movimientos!$C$2:$C$5000,"A reparación")</f>
        <v>0</v>
      </c>
      <c r="R117" s="45">
        <f>SUMIFS(Movimientos!$F$2:$F$5000,Movimientos!$D$2:$D$5000,$A117,Movimientos!$C$2:$C$5000,"A reparación")-SUMIFS(Movimientos!$F$2:$F$5000,Movimientos!$D$2:$D$5000,$A117,Movimientos!$C$2:$C$5000,"Retorno reparación")-SUMIFS(Movimientos!$F$2:$F$5000,Movimientos!$D$2:$D$5000,$A117,Movimientos!$C$2:$C$5000,"Baja desde reparación")</f>
        <v>0</v>
      </c>
      <c r="S117" s="45">
        <f>P117-Q117-R117</f>
        <v>100</v>
      </c>
    </row>
    <row r="118" spans="1:19">
      <c r="A118" s="15" t="s">
        <v>633</v>
      </c>
      <c r="B118" s="15" t="s">
        <v>634</v>
      </c>
      <c r="C118" s="42"/>
      <c r="D118" s="15" t="s">
        <v>101</v>
      </c>
      <c r="E118" s="42"/>
      <c r="F118" s="43">
        <v>1</v>
      </c>
      <c r="G118" s="15" t="s">
        <v>226</v>
      </c>
      <c r="H118" s="44">
        <v>1</v>
      </c>
      <c r="I118" s="15" t="s">
        <v>104</v>
      </c>
      <c r="J118" s="15" t="s">
        <v>33</v>
      </c>
      <c r="K118" s="15" t="s">
        <v>35</v>
      </c>
      <c r="L118" s="15"/>
      <c r="M118" s="15" t="s">
        <v>38</v>
      </c>
      <c r="N118" s="15"/>
      <c r="O118" s="15"/>
      <c r="P118" s="45">
        <f>H118+SUMIFS(Movimientos!$F$2:$F$5000,Movimientos!$D$2:$D$5000,$A118,Movimientos!$C$2:$C$5000,"Ingreso inventario")+SUMIFS(Movimientos!$F$2:$F$5000,Movimientos!$D$2:$D$5000,$A118,Movimientos!$C$2:$C$5000,"Ajuste")-SUMIFS(Movimientos!$F$2:$F$5000,Movimientos!$D$2:$D$5000,$A118,Movimientos!$C$2:$C$5000,"Consumido en evento")-SUMIFS(Movimientos!$F$2:$F$5000,Movimientos!$D$2:$D$5000,$A118,Movimientos!$C$2:$C$5000,"Consumo interno")-SUMIFS(Movimientos!$F$2:$F$5000,Movimientos!$D$2:$D$5000,$A118,Movimientos!$C$2:$C$5000,"Baja")-SUMIFS(Movimientos!$F$2:$F$5000,Movimientos!$D$2:$D$5000,$A118,Movimientos!$C$2:$C$5000,"Baja desde reparación")</f>
        <v>1</v>
      </c>
      <c r="Q118" s="45">
        <f>SUMIFS(Movimientos!$F$2:$F$5000,Movimientos!$D$2:$D$5000,$A118,Movimientos!$C$2:$C$5000,"Salida alquiler")-SUMIFS(Movimientos!$F$2:$F$5000,Movimientos!$D$2:$D$5000,$A118,Movimientos!$C$2:$C$5000,"Retorno alquiler")-SUMIFS(Movimientos!$F$2:$F$5000,Movimientos!$D$2:$D$5000,$A118,Movimientos!$C$2:$C$5000,"Consumido en evento")-SUMIFS(Movimientos!$F$2:$F$5000,Movimientos!$D$2:$D$5000,$A118,Movimientos!$C$2:$C$5000,"A reparación")</f>
        <v>0</v>
      </c>
      <c r="R118" s="45">
        <f>SUMIFS(Movimientos!$F$2:$F$5000,Movimientos!$D$2:$D$5000,$A118,Movimientos!$C$2:$C$5000,"A reparación")-SUMIFS(Movimientos!$F$2:$F$5000,Movimientos!$D$2:$D$5000,$A118,Movimientos!$C$2:$C$5000,"Retorno reparación")-SUMIFS(Movimientos!$F$2:$F$5000,Movimientos!$D$2:$D$5000,$A118,Movimientos!$C$2:$C$5000,"Baja desde reparación")</f>
        <v>0</v>
      </c>
      <c r="S118" s="45">
        <f>P118-Q118-R118</f>
        <v>1</v>
      </c>
    </row>
    <row r="119" spans="1:19">
      <c r="A119" s="15" t="s">
        <v>635</v>
      </c>
      <c r="B119" s="15" t="s">
        <v>636</v>
      </c>
      <c r="C119" s="42"/>
      <c r="D119" s="15" t="s">
        <v>101</v>
      </c>
      <c r="E119" s="42"/>
      <c r="F119" s="43">
        <v>1</v>
      </c>
      <c r="G119" s="15" t="s">
        <v>558</v>
      </c>
      <c r="H119" s="44">
        <v>16</v>
      </c>
      <c r="I119" s="15" t="s">
        <v>559</v>
      </c>
      <c r="J119" s="15" t="s">
        <v>33</v>
      </c>
      <c r="K119" s="15" t="s">
        <v>35</v>
      </c>
      <c r="L119" s="15"/>
      <c r="M119" s="15" t="s">
        <v>38</v>
      </c>
      <c r="N119" s="15"/>
      <c r="O119" s="15"/>
      <c r="P119" s="45">
        <f>H119+SUMIFS(Movimientos!$F$2:$F$5000,Movimientos!$D$2:$D$5000,$A119,Movimientos!$C$2:$C$5000,"Ingreso inventario")+SUMIFS(Movimientos!$F$2:$F$5000,Movimientos!$D$2:$D$5000,$A119,Movimientos!$C$2:$C$5000,"Ajuste")-SUMIFS(Movimientos!$F$2:$F$5000,Movimientos!$D$2:$D$5000,$A119,Movimientos!$C$2:$C$5000,"Consumido en evento")-SUMIFS(Movimientos!$F$2:$F$5000,Movimientos!$D$2:$D$5000,$A119,Movimientos!$C$2:$C$5000,"Consumo interno")-SUMIFS(Movimientos!$F$2:$F$5000,Movimientos!$D$2:$D$5000,$A119,Movimientos!$C$2:$C$5000,"Baja")-SUMIFS(Movimientos!$F$2:$F$5000,Movimientos!$D$2:$D$5000,$A119,Movimientos!$C$2:$C$5000,"Baja desde reparación")</f>
        <v>16</v>
      </c>
      <c r="Q119" s="45">
        <f>SUMIFS(Movimientos!$F$2:$F$5000,Movimientos!$D$2:$D$5000,$A119,Movimientos!$C$2:$C$5000,"Salida alquiler")-SUMIFS(Movimientos!$F$2:$F$5000,Movimientos!$D$2:$D$5000,$A119,Movimientos!$C$2:$C$5000,"Retorno alquiler")-SUMIFS(Movimientos!$F$2:$F$5000,Movimientos!$D$2:$D$5000,$A119,Movimientos!$C$2:$C$5000,"Consumido en evento")-SUMIFS(Movimientos!$F$2:$F$5000,Movimientos!$D$2:$D$5000,$A119,Movimientos!$C$2:$C$5000,"A reparación")</f>
        <v>0</v>
      </c>
      <c r="R119" s="45">
        <f>SUMIFS(Movimientos!$F$2:$F$5000,Movimientos!$D$2:$D$5000,$A119,Movimientos!$C$2:$C$5000,"A reparación")-SUMIFS(Movimientos!$F$2:$F$5000,Movimientos!$D$2:$D$5000,$A119,Movimientos!$C$2:$C$5000,"Retorno reparación")-SUMIFS(Movimientos!$F$2:$F$5000,Movimientos!$D$2:$D$5000,$A119,Movimientos!$C$2:$C$5000,"Baja desde reparación")</f>
        <v>0</v>
      </c>
      <c r="S119" s="45">
        <f>P119-Q119-R119</f>
        <v>16</v>
      </c>
    </row>
    <row r="120" spans="1:19">
      <c r="A120" s="15" t="s">
        <v>637</v>
      </c>
      <c r="B120" s="15" t="s">
        <v>638</v>
      </c>
      <c r="C120" s="42" t="s">
        <v>639</v>
      </c>
      <c r="D120" s="15" t="s">
        <v>101</v>
      </c>
      <c r="E120" s="42" t="s">
        <v>640</v>
      </c>
      <c r="F120" s="43">
        <v>1</v>
      </c>
      <c r="G120" s="15" t="s">
        <v>554</v>
      </c>
      <c r="H120" s="44">
        <v>2</v>
      </c>
      <c r="I120" s="15" t="s">
        <v>104</v>
      </c>
      <c r="J120" s="15" t="s">
        <v>33</v>
      </c>
      <c r="K120" s="15" t="s">
        <v>35</v>
      </c>
      <c r="L120" s="15" t="s">
        <v>641</v>
      </c>
      <c r="M120" s="15" t="s">
        <v>38</v>
      </c>
      <c r="N120" s="15"/>
      <c r="O120" s="15"/>
      <c r="P120" s="45">
        <f>H120+SUMIFS(Movimientos!$F$2:$F$5000,Movimientos!$D$2:$D$5000,$A120,Movimientos!$C$2:$C$5000,"Ingreso inventario")+SUMIFS(Movimientos!$F$2:$F$5000,Movimientos!$D$2:$D$5000,$A120,Movimientos!$C$2:$C$5000,"Ajuste")-SUMIFS(Movimientos!$F$2:$F$5000,Movimientos!$D$2:$D$5000,$A120,Movimientos!$C$2:$C$5000,"Consumido en evento")-SUMIFS(Movimientos!$F$2:$F$5000,Movimientos!$D$2:$D$5000,$A120,Movimientos!$C$2:$C$5000,"Consumo interno")-SUMIFS(Movimientos!$F$2:$F$5000,Movimientos!$D$2:$D$5000,$A120,Movimientos!$C$2:$C$5000,"Baja")-SUMIFS(Movimientos!$F$2:$F$5000,Movimientos!$D$2:$D$5000,$A120,Movimientos!$C$2:$C$5000,"Baja desde reparación")</f>
        <v>2</v>
      </c>
      <c r="Q120" s="45">
        <f>SUMIFS(Movimientos!$F$2:$F$5000,Movimientos!$D$2:$D$5000,$A120,Movimientos!$C$2:$C$5000,"Salida alquiler")-SUMIFS(Movimientos!$F$2:$F$5000,Movimientos!$D$2:$D$5000,$A120,Movimientos!$C$2:$C$5000,"Retorno alquiler")-SUMIFS(Movimientos!$F$2:$F$5000,Movimientos!$D$2:$D$5000,$A120,Movimientos!$C$2:$C$5000,"Consumido en evento")-SUMIFS(Movimientos!$F$2:$F$5000,Movimientos!$D$2:$D$5000,$A120,Movimientos!$C$2:$C$5000,"A reparación")</f>
        <v>0</v>
      </c>
      <c r="R120" s="45">
        <f>SUMIFS(Movimientos!$F$2:$F$5000,Movimientos!$D$2:$D$5000,$A120,Movimientos!$C$2:$C$5000,"A reparación")-SUMIFS(Movimientos!$F$2:$F$5000,Movimientos!$D$2:$D$5000,$A120,Movimientos!$C$2:$C$5000,"Retorno reparación")-SUMIFS(Movimientos!$F$2:$F$5000,Movimientos!$D$2:$D$5000,$A120,Movimientos!$C$2:$C$5000,"Baja desde reparación")</f>
        <v>0</v>
      </c>
      <c r="S120" s="45">
        <f>P120-Q120-R120</f>
        <v>2</v>
      </c>
    </row>
    <row r="121" spans="1:19">
      <c r="A121" s="15" t="s">
        <v>642</v>
      </c>
      <c r="B121" s="15" t="s">
        <v>643</v>
      </c>
      <c r="C121" s="42"/>
      <c r="D121" s="15" t="s">
        <v>101</v>
      </c>
      <c r="E121" s="42"/>
      <c r="F121" s="43">
        <v>1</v>
      </c>
      <c r="G121" s="15" t="s">
        <v>558</v>
      </c>
      <c r="H121" s="44">
        <v>10</v>
      </c>
      <c r="I121" s="15" t="s">
        <v>559</v>
      </c>
      <c r="J121" s="15" t="s">
        <v>33</v>
      </c>
      <c r="K121" s="15" t="s">
        <v>35</v>
      </c>
      <c r="L121" s="15"/>
      <c r="M121" s="15" t="s">
        <v>38</v>
      </c>
      <c r="N121" s="15"/>
      <c r="O121" s="15"/>
      <c r="P121" s="45">
        <f>H121+SUMIFS(Movimientos!$F$2:$F$5000,Movimientos!$D$2:$D$5000,$A121,Movimientos!$C$2:$C$5000,"Ingreso inventario")+SUMIFS(Movimientos!$F$2:$F$5000,Movimientos!$D$2:$D$5000,$A121,Movimientos!$C$2:$C$5000,"Ajuste")-SUMIFS(Movimientos!$F$2:$F$5000,Movimientos!$D$2:$D$5000,$A121,Movimientos!$C$2:$C$5000,"Consumido en evento")-SUMIFS(Movimientos!$F$2:$F$5000,Movimientos!$D$2:$D$5000,$A121,Movimientos!$C$2:$C$5000,"Consumo interno")-SUMIFS(Movimientos!$F$2:$F$5000,Movimientos!$D$2:$D$5000,$A121,Movimientos!$C$2:$C$5000,"Baja")-SUMIFS(Movimientos!$F$2:$F$5000,Movimientos!$D$2:$D$5000,$A121,Movimientos!$C$2:$C$5000,"Baja desde reparación")</f>
        <v>10</v>
      </c>
      <c r="Q121" s="45">
        <f>SUMIFS(Movimientos!$F$2:$F$5000,Movimientos!$D$2:$D$5000,$A121,Movimientos!$C$2:$C$5000,"Salida alquiler")-SUMIFS(Movimientos!$F$2:$F$5000,Movimientos!$D$2:$D$5000,$A121,Movimientos!$C$2:$C$5000,"Retorno alquiler")-SUMIFS(Movimientos!$F$2:$F$5000,Movimientos!$D$2:$D$5000,$A121,Movimientos!$C$2:$C$5000,"Consumido en evento")-SUMIFS(Movimientos!$F$2:$F$5000,Movimientos!$D$2:$D$5000,$A121,Movimientos!$C$2:$C$5000,"A reparación")</f>
        <v>0</v>
      </c>
      <c r="R121" s="45">
        <f>SUMIFS(Movimientos!$F$2:$F$5000,Movimientos!$D$2:$D$5000,$A121,Movimientos!$C$2:$C$5000,"A reparación")-SUMIFS(Movimientos!$F$2:$F$5000,Movimientos!$D$2:$D$5000,$A121,Movimientos!$C$2:$C$5000,"Retorno reparación")-SUMIFS(Movimientos!$F$2:$F$5000,Movimientos!$D$2:$D$5000,$A121,Movimientos!$C$2:$C$5000,"Baja desde reparación")</f>
        <v>0</v>
      </c>
      <c r="S121" s="45">
        <f>P121-Q121-R121</f>
        <v>10</v>
      </c>
    </row>
    <row r="122" spans="1:19">
      <c r="A122" s="15" t="s">
        <v>644</v>
      </c>
      <c r="B122" s="15" t="s">
        <v>643</v>
      </c>
      <c r="C122" s="42"/>
      <c r="D122" s="15" t="s">
        <v>101</v>
      </c>
      <c r="E122" s="42"/>
      <c r="F122" s="43">
        <v>1</v>
      </c>
      <c r="G122" s="15" t="s">
        <v>558</v>
      </c>
      <c r="H122" s="44">
        <v>30</v>
      </c>
      <c r="I122" s="15" t="s">
        <v>559</v>
      </c>
      <c r="J122" s="15" t="s">
        <v>33</v>
      </c>
      <c r="K122" s="15" t="s">
        <v>35</v>
      </c>
      <c r="L122" s="15"/>
      <c r="M122" s="15" t="s">
        <v>38</v>
      </c>
      <c r="N122" s="15"/>
      <c r="O122" s="15"/>
      <c r="P122" s="45">
        <f>H122+SUMIFS(Movimientos!$F$2:$F$5000,Movimientos!$D$2:$D$5000,$A122,Movimientos!$C$2:$C$5000,"Ingreso inventario")+SUMIFS(Movimientos!$F$2:$F$5000,Movimientos!$D$2:$D$5000,$A122,Movimientos!$C$2:$C$5000,"Ajuste")-SUMIFS(Movimientos!$F$2:$F$5000,Movimientos!$D$2:$D$5000,$A122,Movimientos!$C$2:$C$5000,"Consumido en evento")-SUMIFS(Movimientos!$F$2:$F$5000,Movimientos!$D$2:$D$5000,$A122,Movimientos!$C$2:$C$5000,"Consumo interno")-SUMIFS(Movimientos!$F$2:$F$5000,Movimientos!$D$2:$D$5000,$A122,Movimientos!$C$2:$C$5000,"Baja")-SUMIFS(Movimientos!$F$2:$F$5000,Movimientos!$D$2:$D$5000,$A122,Movimientos!$C$2:$C$5000,"Baja desde reparación")</f>
        <v>30</v>
      </c>
      <c r="Q122" s="45">
        <f>SUMIFS(Movimientos!$F$2:$F$5000,Movimientos!$D$2:$D$5000,$A122,Movimientos!$C$2:$C$5000,"Salida alquiler")-SUMIFS(Movimientos!$F$2:$F$5000,Movimientos!$D$2:$D$5000,$A122,Movimientos!$C$2:$C$5000,"Retorno alquiler")-SUMIFS(Movimientos!$F$2:$F$5000,Movimientos!$D$2:$D$5000,$A122,Movimientos!$C$2:$C$5000,"Consumido en evento")-SUMIFS(Movimientos!$F$2:$F$5000,Movimientos!$D$2:$D$5000,$A122,Movimientos!$C$2:$C$5000,"A reparación")</f>
        <v>0</v>
      </c>
      <c r="R122" s="45">
        <f>SUMIFS(Movimientos!$F$2:$F$5000,Movimientos!$D$2:$D$5000,$A122,Movimientos!$C$2:$C$5000,"A reparación")-SUMIFS(Movimientos!$F$2:$F$5000,Movimientos!$D$2:$D$5000,$A122,Movimientos!$C$2:$C$5000,"Retorno reparación")-SUMIFS(Movimientos!$F$2:$F$5000,Movimientos!$D$2:$D$5000,$A122,Movimientos!$C$2:$C$5000,"Baja desde reparación")</f>
        <v>0</v>
      </c>
      <c r="S122" s="45">
        <f>P122-Q122-R122</f>
        <v>30</v>
      </c>
    </row>
    <row r="123" spans="1:19">
      <c r="A123" s="15" t="s">
        <v>645</v>
      </c>
      <c r="B123" s="15" t="s">
        <v>646</v>
      </c>
      <c r="C123" s="42" t="s">
        <v>647</v>
      </c>
      <c r="D123" s="15" t="s">
        <v>101</v>
      </c>
      <c r="E123" s="42" t="s">
        <v>648</v>
      </c>
      <c r="F123" s="43">
        <v>1</v>
      </c>
      <c r="G123" s="15" t="s">
        <v>158</v>
      </c>
      <c r="H123" s="44">
        <v>1</v>
      </c>
      <c r="I123" s="15" t="s">
        <v>104</v>
      </c>
      <c r="J123" s="15" t="s">
        <v>33</v>
      </c>
      <c r="K123" s="15" t="s">
        <v>35</v>
      </c>
      <c r="L123" s="15" t="s">
        <v>649</v>
      </c>
      <c r="M123" s="15" t="s">
        <v>38</v>
      </c>
      <c r="N123" s="15"/>
      <c r="O123" s="15"/>
      <c r="P123" s="45">
        <f>H123+SUMIFS(Movimientos!$F$2:$F$5000,Movimientos!$D$2:$D$5000,$A123,Movimientos!$C$2:$C$5000,"Ingreso inventario")+SUMIFS(Movimientos!$F$2:$F$5000,Movimientos!$D$2:$D$5000,$A123,Movimientos!$C$2:$C$5000,"Ajuste")-SUMIFS(Movimientos!$F$2:$F$5000,Movimientos!$D$2:$D$5000,$A123,Movimientos!$C$2:$C$5000,"Consumido en evento")-SUMIFS(Movimientos!$F$2:$F$5000,Movimientos!$D$2:$D$5000,$A123,Movimientos!$C$2:$C$5000,"Consumo interno")-SUMIFS(Movimientos!$F$2:$F$5000,Movimientos!$D$2:$D$5000,$A123,Movimientos!$C$2:$C$5000,"Baja")-SUMIFS(Movimientos!$F$2:$F$5000,Movimientos!$D$2:$D$5000,$A123,Movimientos!$C$2:$C$5000,"Baja desde reparación")</f>
        <v>1</v>
      </c>
      <c r="Q123" s="45">
        <f>SUMIFS(Movimientos!$F$2:$F$5000,Movimientos!$D$2:$D$5000,$A123,Movimientos!$C$2:$C$5000,"Salida alquiler")-SUMIFS(Movimientos!$F$2:$F$5000,Movimientos!$D$2:$D$5000,$A123,Movimientos!$C$2:$C$5000,"Retorno alquiler")-SUMIFS(Movimientos!$F$2:$F$5000,Movimientos!$D$2:$D$5000,$A123,Movimientos!$C$2:$C$5000,"Consumido en evento")-SUMIFS(Movimientos!$F$2:$F$5000,Movimientos!$D$2:$D$5000,$A123,Movimientos!$C$2:$C$5000,"A reparación")</f>
        <v>0</v>
      </c>
      <c r="R123" s="45">
        <f>SUMIFS(Movimientos!$F$2:$F$5000,Movimientos!$D$2:$D$5000,$A123,Movimientos!$C$2:$C$5000,"A reparación")-SUMIFS(Movimientos!$F$2:$F$5000,Movimientos!$D$2:$D$5000,$A123,Movimientos!$C$2:$C$5000,"Retorno reparación")-SUMIFS(Movimientos!$F$2:$F$5000,Movimientos!$D$2:$D$5000,$A123,Movimientos!$C$2:$C$5000,"Baja desde reparación")</f>
        <v>0</v>
      </c>
      <c r="S123" s="45">
        <f>P123-Q123-R123</f>
        <v>1</v>
      </c>
    </row>
    <row r="124" spans="1:19">
      <c r="A124" s="15" t="s">
        <v>650</v>
      </c>
      <c r="B124" s="15" t="s">
        <v>651</v>
      </c>
      <c r="C124" s="42" t="s">
        <v>652</v>
      </c>
      <c r="D124" s="15" t="s">
        <v>101</v>
      </c>
      <c r="E124" s="42" t="s">
        <v>653</v>
      </c>
      <c r="F124" s="43">
        <v>1</v>
      </c>
      <c r="G124" s="15" t="s">
        <v>654</v>
      </c>
      <c r="H124" s="44">
        <v>6</v>
      </c>
      <c r="I124" s="15" t="s">
        <v>655</v>
      </c>
      <c r="J124" s="15" t="s">
        <v>656</v>
      </c>
      <c r="K124" s="15" t="s">
        <v>35</v>
      </c>
      <c r="L124" s="15" t="s">
        <v>657</v>
      </c>
      <c r="M124" s="15" t="s">
        <v>38</v>
      </c>
      <c r="N124" s="15"/>
      <c r="O124" s="15"/>
      <c r="P124" s="45">
        <f>H124+SUMIFS(Movimientos!$F$2:$F$5000,Movimientos!$D$2:$D$5000,$A124,Movimientos!$C$2:$C$5000,"Ingreso inventario")+SUMIFS(Movimientos!$F$2:$F$5000,Movimientos!$D$2:$D$5000,$A124,Movimientos!$C$2:$C$5000,"Ajuste")-SUMIFS(Movimientos!$F$2:$F$5000,Movimientos!$D$2:$D$5000,$A124,Movimientos!$C$2:$C$5000,"Consumido en evento")-SUMIFS(Movimientos!$F$2:$F$5000,Movimientos!$D$2:$D$5000,$A124,Movimientos!$C$2:$C$5000,"Consumo interno")-SUMIFS(Movimientos!$F$2:$F$5000,Movimientos!$D$2:$D$5000,$A124,Movimientos!$C$2:$C$5000,"Baja")-SUMIFS(Movimientos!$F$2:$F$5000,Movimientos!$D$2:$D$5000,$A124,Movimientos!$C$2:$C$5000,"Baja desde reparación")</f>
        <v>6</v>
      </c>
      <c r="Q124" s="45">
        <f>SUMIFS(Movimientos!$F$2:$F$5000,Movimientos!$D$2:$D$5000,$A124,Movimientos!$C$2:$C$5000,"Salida alquiler")-SUMIFS(Movimientos!$F$2:$F$5000,Movimientos!$D$2:$D$5000,$A124,Movimientos!$C$2:$C$5000,"Retorno alquiler")-SUMIFS(Movimientos!$F$2:$F$5000,Movimientos!$D$2:$D$5000,$A124,Movimientos!$C$2:$C$5000,"Consumido en evento")-SUMIFS(Movimientos!$F$2:$F$5000,Movimientos!$D$2:$D$5000,$A124,Movimientos!$C$2:$C$5000,"A reparación")</f>
        <v>0</v>
      </c>
      <c r="R124" s="45">
        <f>SUMIFS(Movimientos!$F$2:$F$5000,Movimientos!$D$2:$D$5000,$A124,Movimientos!$C$2:$C$5000,"A reparación")-SUMIFS(Movimientos!$F$2:$F$5000,Movimientos!$D$2:$D$5000,$A124,Movimientos!$C$2:$C$5000,"Retorno reparación")-SUMIFS(Movimientos!$F$2:$F$5000,Movimientos!$D$2:$D$5000,$A124,Movimientos!$C$2:$C$5000,"Baja desde reparación")</f>
        <v>0</v>
      </c>
      <c r="S124" s="45">
        <f>P124-Q124-R124</f>
        <v>6</v>
      </c>
    </row>
    <row r="125" spans="1:19">
      <c r="A125" s="15" t="s">
        <v>658</v>
      </c>
      <c r="B125" s="15" t="s">
        <v>659</v>
      </c>
      <c r="C125" s="42" t="s">
        <v>660</v>
      </c>
      <c r="D125" s="15" t="s">
        <v>101</v>
      </c>
      <c r="E125" s="42" t="s">
        <v>661</v>
      </c>
      <c r="F125" s="43">
        <v>1</v>
      </c>
      <c r="G125" s="15" t="s">
        <v>654</v>
      </c>
      <c r="H125" s="44">
        <v>0</v>
      </c>
      <c r="I125" s="15" t="s">
        <v>655</v>
      </c>
      <c r="J125" s="15" t="s">
        <v>656</v>
      </c>
      <c r="K125" s="15" t="s">
        <v>35</v>
      </c>
      <c r="L125" s="15" t="s">
        <v>662</v>
      </c>
      <c r="M125" s="15" t="s">
        <v>38</v>
      </c>
      <c r="N125" s="15"/>
      <c r="O125" s="15"/>
      <c r="P125" s="45">
        <f>H125+SUMIFS(Movimientos!$F$2:$F$5000,Movimientos!$D$2:$D$5000,$A125,Movimientos!$C$2:$C$5000,"Ingreso inventario")+SUMIFS(Movimientos!$F$2:$F$5000,Movimientos!$D$2:$D$5000,$A125,Movimientos!$C$2:$C$5000,"Ajuste")-SUMIFS(Movimientos!$F$2:$F$5000,Movimientos!$D$2:$D$5000,$A125,Movimientos!$C$2:$C$5000,"Consumido en evento")-SUMIFS(Movimientos!$F$2:$F$5000,Movimientos!$D$2:$D$5000,$A125,Movimientos!$C$2:$C$5000,"Consumo interno")-SUMIFS(Movimientos!$F$2:$F$5000,Movimientos!$D$2:$D$5000,$A125,Movimientos!$C$2:$C$5000,"Baja")-SUMIFS(Movimientos!$F$2:$F$5000,Movimientos!$D$2:$D$5000,$A125,Movimientos!$C$2:$C$5000,"Baja desde reparación")</f>
        <v>0</v>
      </c>
      <c r="Q125" s="45">
        <f>SUMIFS(Movimientos!$F$2:$F$5000,Movimientos!$D$2:$D$5000,$A125,Movimientos!$C$2:$C$5000,"Salida alquiler")-SUMIFS(Movimientos!$F$2:$F$5000,Movimientos!$D$2:$D$5000,$A125,Movimientos!$C$2:$C$5000,"Retorno alquiler")-SUMIFS(Movimientos!$F$2:$F$5000,Movimientos!$D$2:$D$5000,$A125,Movimientos!$C$2:$C$5000,"Consumido en evento")-SUMIFS(Movimientos!$F$2:$F$5000,Movimientos!$D$2:$D$5000,$A125,Movimientos!$C$2:$C$5000,"A reparación")</f>
        <v>0</v>
      </c>
      <c r="R125" s="45">
        <f>SUMIFS(Movimientos!$F$2:$F$5000,Movimientos!$D$2:$D$5000,$A125,Movimientos!$C$2:$C$5000,"A reparación")-SUMIFS(Movimientos!$F$2:$F$5000,Movimientos!$D$2:$D$5000,$A125,Movimientos!$C$2:$C$5000,"Retorno reparación")-SUMIFS(Movimientos!$F$2:$F$5000,Movimientos!$D$2:$D$5000,$A125,Movimientos!$C$2:$C$5000,"Baja desde reparación")</f>
        <v>0</v>
      </c>
      <c r="S125" s="45">
        <f>P125-Q125-R125</f>
        <v>0</v>
      </c>
    </row>
    <row r="126" spans="1:19">
      <c r="A126" s="15" t="s">
        <v>663</v>
      </c>
      <c r="B126" s="15" t="s">
        <v>664</v>
      </c>
      <c r="C126" s="42" t="s">
        <v>665</v>
      </c>
      <c r="D126" s="15" t="s">
        <v>101</v>
      </c>
      <c r="E126" s="42" t="s">
        <v>666</v>
      </c>
      <c r="F126" s="43">
        <v>1</v>
      </c>
      <c r="G126" s="15" t="s">
        <v>654</v>
      </c>
      <c r="H126" s="44">
        <v>5</v>
      </c>
      <c r="I126" s="15" t="s">
        <v>655</v>
      </c>
      <c r="J126" s="15" t="s">
        <v>656</v>
      </c>
      <c r="K126" s="15" t="s">
        <v>35</v>
      </c>
      <c r="L126" s="15" t="s">
        <v>667</v>
      </c>
      <c r="M126" s="15" t="s">
        <v>38</v>
      </c>
      <c r="N126" s="15"/>
      <c r="O126" s="15"/>
      <c r="P126" s="45">
        <f>H126+SUMIFS(Movimientos!$F$2:$F$5000,Movimientos!$D$2:$D$5000,$A126,Movimientos!$C$2:$C$5000,"Ingreso inventario")+SUMIFS(Movimientos!$F$2:$F$5000,Movimientos!$D$2:$D$5000,$A126,Movimientos!$C$2:$C$5000,"Ajuste")-SUMIFS(Movimientos!$F$2:$F$5000,Movimientos!$D$2:$D$5000,$A126,Movimientos!$C$2:$C$5000,"Consumido en evento")-SUMIFS(Movimientos!$F$2:$F$5000,Movimientos!$D$2:$D$5000,$A126,Movimientos!$C$2:$C$5000,"Consumo interno")-SUMIFS(Movimientos!$F$2:$F$5000,Movimientos!$D$2:$D$5000,$A126,Movimientos!$C$2:$C$5000,"Baja")-SUMIFS(Movimientos!$F$2:$F$5000,Movimientos!$D$2:$D$5000,$A126,Movimientos!$C$2:$C$5000,"Baja desde reparación")</f>
        <v>5</v>
      </c>
      <c r="Q126" s="45">
        <f>SUMIFS(Movimientos!$F$2:$F$5000,Movimientos!$D$2:$D$5000,$A126,Movimientos!$C$2:$C$5000,"Salida alquiler")-SUMIFS(Movimientos!$F$2:$F$5000,Movimientos!$D$2:$D$5000,$A126,Movimientos!$C$2:$C$5000,"Retorno alquiler")-SUMIFS(Movimientos!$F$2:$F$5000,Movimientos!$D$2:$D$5000,$A126,Movimientos!$C$2:$C$5000,"Consumido en evento")-SUMIFS(Movimientos!$F$2:$F$5000,Movimientos!$D$2:$D$5000,$A126,Movimientos!$C$2:$C$5000,"A reparación")</f>
        <v>0</v>
      </c>
      <c r="R126" s="45">
        <f>SUMIFS(Movimientos!$F$2:$F$5000,Movimientos!$D$2:$D$5000,$A126,Movimientos!$C$2:$C$5000,"A reparación")-SUMIFS(Movimientos!$F$2:$F$5000,Movimientos!$D$2:$D$5000,$A126,Movimientos!$C$2:$C$5000,"Retorno reparación")-SUMIFS(Movimientos!$F$2:$F$5000,Movimientos!$D$2:$D$5000,$A126,Movimientos!$C$2:$C$5000,"Baja desde reparación")</f>
        <v>0</v>
      </c>
      <c r="S126" s="45">
        <f>P126-Q126-R126</f>
        <v>5</v>
      </c>
    </row>
    <row r="127" spans="1:19">
      <c r="A127" s="15" t="s">
        <v>668</v>
      </c>
      <c r="B127" s="15" t="s">
        <v>669</v>
      </c>
      <c r="C127" s="42" t="s">
        <v>670</v>
      </c>
      <c r="D127" s="15" t="s">
        <v>101</v>
      </c>
      <c r="E127" s="42" t="s">
        <v>671</v>
      </c>
      <c r="F127" s="43">
        <v>1</v>
      </c>
      <c r="G127" s="15" t="s">
        <v>654</v>
      </c>
      <c r="H127" s="44">
        <v>6</v>
      </c>
      <c r="I127" s="15" t="s">
        <v>655</v>
      </c>
      <c r="J127" s="15" t="s">
        <v>656</v>
      </c>
      <c r="K127" s="15" t="s">
        <v>35</v>
      </c>
      <c r="L127" s="15" t="s">
        <v>672</v>
      </c>
      <c r="M127" s="15" t="s">
        <v>38</v>
      </c>
      <c r="N127" s="15"/>
      <c r="O127" s="15"/>
      <c r="P127" s="45">
        <f>H127+SUMIFS(Movimientos!$F$2:$F$5000,Movimientos!$D$2:$D$5000,$A127,Movimientos!$C$2:$C$5000,"Ingreso inventario")+SUMIFS(Movimientos!$F$2:$F$5000,Movimientos!$D$2:$D$5000,$A127,Movimientos!$C$2:$C$5000,"Ajuste")-SUMIFS(Movimientos!$F$2:$F$5000,Movimientos!$D$2:$D$5000,$A127,Movimientos!$C$2:$C$5000,"Consumido en evento")-SUMIFS(Movimientos!$F$2:$F$5000,Movimientos!$D$2:$D$5000,$A127,Movimientos!$C$2:$C$5000,"Consumo interno")-SUMIFS(Movimientos!$F$2:$F$5000,Movimientos!$D$2:$D$5000,$A127,Movimientos!$C$2:$C$5000,"Baja")-SUMIFS(Movimientos!$F$2:$F$5000,Movimientos!$D$2:$D$5000,$A127,Movimientos!$C$2:$C$5000,"Baja desde reparación")</f>
        <v>6</v>
      </c>
      <c r="Q127" s="45">
        <f>SUMIFS(Movimientos!$F$2:$F$5000,Movimientos!$D$2:$D$5000,$A127,Movimientos!$C$2:$C$5000,"Salida alquiler")-SUMIFS(Movimientos!$F$2:$F$5000,Movimientos!$D$2:$D$5000,$A127,Movimientos!$C$2:$C$5000,"Retorno alquiler")-SUMIFS(Movimientos!$F$2:$F$5000,Movimientos!$D$2:$D$5000,$A127,Movimientos!$C$2:$C$5000,"Consumido en evento")-SUMIFS(Movimientos!$F$2:$F$5000,Movimientos!$D$2:$D$5000,$A127,Movimientos!$C$2:$C$5000,"A reparación")</f>
        <v>0</v>
      </c>
      <c r="R127" s="45">
        <f>SUMIFS(Movimientos!$F$2:$F$5000,Movimientos!$D$2:$D$5000,$A127,Movimientos!$C$2:$C$5000,"A reparación")-SUMIFS(Movimientos!$F$2:$F$5000,Movimientos!$D$2:$D$5000,$A127,Movimientos!$C$2:$C$5000,"Retorno reparación")-SUMIFS(Movimientos!$F$2:$F$5000,Movimientos!$D$2:$D$5000,$A127,Movimientos!$C$2:$C$5000,"Baja desde reparación")</f>
        <v>0</v>
      </c>
      <c r="S127" s="45">
        <f>P127-Q127-R127</f>
        <v>6</v>
      </c>
    </row>
    <row r="128" spans="1:19">
      <c r="A128" s="15" t="s">
        <v>673</v>
      </c>
      <c r="B128" s="15" t="s">
        <v>674</v>
      </c>
      <c r="C128" s="42" t="s">
        <v>675</v>
      </c>
      <c r="D128" s="15" t="s">
        <v>101</v>
      </c>
      <c r="E128" s="42" t="s">
        <v>676</v>
      </c>
      <c r="F128" s="43">
        <v>1</v>
      </c>
      <c r="G128" s="15" t="s">
        <v>677</v>
      </c>
      <c r="H128" s="44">
        <v>0</v>
      </c>
      <c r="I128" s="15" t="s">
        <v>104</v>
      </c>
      <c r="J128" s="15" t="s">
        <v>33</v>
      </c>
      <c r="K128" s="15" t="s">
        <v>35</v>
      </c>
      <c r="L128" s="15" t="s">
        <v>678</v>
      </c>
      <c r="M128" s="15" t="s">
        <v>38</v>
      </c>
      <c r="N128" s="15"/>
      <c r="O128" s="15"/>
      <c r="P128" s="45">
        <f>H128+SUMIFS(Movimientos!$F$2:$F$5000,Movimientos!$D$2:$D$5000,$A128,Movimientos!$C$2:$C$5000,"Ingreso inventario")+SUMIFS(Movimientos!$F$2:$F$5000,Movimientos!$D$2:$D$5000,$A128,Movimientos!$C$2:$C$5000,"Ajuste")-SUMIFS(Movimientos!$F$2:$F$5000,Movimientos!$D$2:$D$5000,$A128,Movimientos!$C$2:$C$5000,"Consumido en evento")-SUMIFS(Movimientos!$F$2:$F$5000,Movimientos!$D$2:$D$5000,$A128,Movimientos!$C$2:$C$5000,"Consumo interno")-SUMIFS(Movimientos!$F$2:$F$5000,Movimientos!$D$2:$D$5000,$A128,Movimientos!$C$2:$C$5000,"Baja")-SUMIFS(Movimientos!$F$2:$F$5000,Movimientos!$D$2:$D$5000,$A128,Movimientos!$C$2:$C$5000,"Baja desde reparación")</f>
        <v>0</v>
      </c>
      <c r="Q128" s="45">
        <f>SUMIFS(Movimientos!$F$2:$F$5000,Movimientos!$D$2:$D$5000,$A128,Movimientos!$C$2:$C$5000,"Salida alquiler")-SUMIFS(Movimientos!$F$2:$F$5000,Movimientos!$D$2:$D$5000,$A128,Movimientos!$C$2:$C$5000,"Retorno alquiler")-SUMIFS(Movimientos!$F$2:$F$5000,Movimientos!$D$2:$D$5000,$A128,Movimientos!$C$2:$C$5000,"Consumido en evento")-SUMIFS(Movimientos!$F$2:$F$5000,Movimientos!$D$2:$D$5000,$A128,Movimientos!$C$2:$C$5000,"A reparación")</f>
        <v>0</v>
      </c>
      <c r="R128" s="45">
        <f>SUMIFS(Movimientos!$F$2:$F$5000,Movimientos!$D$2:$D$5000,$A128,Movimientos!$C$2:$C$5000,"A reparación")-SUMIFS(Movimientos!$F$2:$F$5000,Movimientos!$D$2:$D$5000,$A128,Movimientos!$C$2:$C$5000,"Retorno reparación")-SUMIFS(Movimientos!$F$2:$F$5000,Movimientos!$D$2:$D$5000,$A128,Movimientos!$C$2:$C$5000,"Baja desde reparación")</f>
        <v>0</v>
      </c>
      <c r="S128" s="45">
        <f>P128-Q128-R128</f>
        <v>0</v>
      </c>
    </row>
    <row r="129" spans="1:19">
      <c r="A129" s="15" t="s">
        <v>679</v>
      </c>
      <c r="B129" s="15" t="s">
        <v>680</v>
      </c>
      <c r="C129" s="42" t="s">
        <v>681</v>
      </c>
      <c r="D129" s="15" t="s">
        <v>101</v>
      </c>
      <c r="E129" s="42" t="s">
        <v>682</v>
      </c>
      <c r="F129" s="43">
        <v>1</v>
      </c>
      <c r="G129" s="15" t="s">
        <v>317</v>
      </c>
      <c r="H129" s="44">
        <v>1</v>
      </c>
      <c r="I129" s="15" t="s">
        <v>104</v>
      </c>
      <c r="J129" s="15" t="s">
        <v>33</v>
      </c>
      <c r="K129" s="15" t="s">
        <v>35</v>
      </c>
      <c r="L129" s="15"/>
      <c r="M129" s="15" t="s">
        <v>38</v>
      </c>
      <c r="N129" s="15"/>
      <c r="O129" s="15"/>
      <c r="P129" s="45">
        <f>H129+SUMIFS(Movimientos!$F$2:$F$5000,Movimientos!$D$2:$D$5000,$A129,Movimientos!$C$2:$C$5000,"Ingreso inventario")+SUMIFS(Movimientos!$F$2:$F$5000,Movimientos!$D$2:$D$5000,$A129,Movimientos!$C$2:$C$5000,"Ajuste")-SUMIFS(Movimientos!$F$2:$F$5000,Movimientos!$D$2:$D$5000,$A129,Movimientos!$C$2:$C$5000,"Consumido en evento")-SUMIFS(Movimientos!$F$2:$F$5000,Movimientos!$D$2:$D$5000,$A129,Movimientos!$C$2:$C$5000,"Consumo interno")-SUMIFS(Movimientos!$F$2:$F$5000,Movimientos!$D$2:$D$5000,$A129,Movimientos!$C$2:$C$5000,"Baja")-SUMIFS(Movimientos!$F$2:$F$5000,Movimientos!$D$2:$D$5000,$A129,Movimientos!$C$2:$C$5000,"Baja desde reparación")</f>
        <v>1</v>
      </c>
      <c r="Q129" s="45">
        <f>SUMIFS(Movimientos!$F$2:$F$5000,Movimientos!$D$2:$D$5000,$A129,Movimientos!$C$2:$C$5000,"Salida alquiler")-SUMIFS(Movimientos!$F$2:$F$5000,Movimientos!$D$2:$D$5000,$A129,Movimientos!$C$2:$C$5000,"Retorno alquiler")-SUMIFS(Movimientos!$F$2:$F$5000,Movimientos!$D$2:$D$5000,$A129,Movimientos!$C$2:$C$5000,"Consumido en evento")-SUMIFS(Movimientos!$F$2:$F$5000,Movimientos!$D$2:$D$5000,$A129,Movimientos!$C$2:$C$5000,"A reparación")</f>
        <v>0</v>
      </c>
      <c r="R129" s="45">
        <f>SUMIFS(Movimientos!$F$2:$F$5000,Movimientos!$D$2:$D$5000,$A129,Movimientos!$C$2:$C$5000,"A reparación")-SUMIFS(Movimientos!$F$2:$F$5000,Movimientos!$D$2:$D$5000,$A129,Movimientos!$C$2:$C$5000,"Retorno reparación")-SUMIFS(Movimientos!$F$2:$F$5000,Movimientos!$D$2:$D$5000,$A129,Movimientos!$C$2:$C$5000,"Baja desde reparación")</f>
        <v>0</v>
      </c>
      <c r="S129" s="45">
        <f>P129-Q129-R129</f>
        <v>1</v>
      </c>
    </row>
    <row r="130" spans="1:19">
      <c r="A130" s="15" t="s">
        <v>683</v>
      </c>
      <c r="B130" s="15" t="s">
        <v>684</v>
      </c>
      <c r="C130" s="42" t="s">
        <v>685</v>
      </c>
      <c r="D130" s="15" t="s">
        <v>101</v>
      </c>
      <c r="E130" s="42" t="s">
        <v>686</v>
      </c>
      <c r="F130" s="43">
        <v>1</v>
      </c>
      <c r="G130" s="15" t="s">
        <v>687</v>
      </c>
      <c r="H130" s="44">
        <v>1</v>
      </c>
      <c r="I130" s="15" t="s">
        <v>104</v>
      </c>
      <c r="J130" s="15" t="s">
        <v>33</v>
      </c>
      <c r="K130" s="15" t="s">
        <v>35</v>
      </c>
      <c r="L130" s="15" t="s">
        <v>688</v>
      </c>
      <c r="M130" s="15" t="s">
        <v>38</v>
      </c>
      <c r="N130" s="15"/>
      <c r="O130" s="15"/>
      <c r="P130" s="45">
        <f>H130+SUMIFS(Movimientos!$F$2:$F$5000,Movimientos!$D$2:$D$5000,$A130,Movimientos!$C$2:$C$5000,"Ingreso inventario")+SUMIFS(Movimientos!$F$2:$F$5000,Movimientos!$D$2:$D$5000,$A130,Movimientos!$C$2:$C$5000,"Ajuste")-SUMIFS(Movimientos!$F$2:$F$5000,Movimientos!$D$2:$D$5000,$A130,Movimientos!$C$2:$C$5000,"Consumido en evento")-SUMIFS(Movimientos!$F$2:$F$5000,Movimientos!$D$2:$D$5000,$A130,Movimientos!$C$2:$C$5000,"Consumo interno")-SUMIFS(Movimientos!$F$2:$F$5000,Movimientos!$D$2:$D$5000,$A130,Movimientos!$C$2:$C$5000,"Baja")-SUMIFS(Movimientos!$F$2:$F$5000,Movimientos!$D$2:$D$5000,$A130,Movimientos!$C$2:$C$5000,"Baja desde reparación")</f>
        <v>1</v>
      </c>
      <c r="Q130" s="45">
        <f>SUMIFS(Movimientos!$F$2:$F$5000,Movimientos!$D$2:$D$5000,$A130,Movimientos!$C$2:$C$5000,"Salida alquiler")-SUMIFS(Movimientos!$F$2:$F$5000,Movimientos!$D$2:$D$5000,$A130,Movimientos!$C$2:$C$5000,"Retorno alquiler")-SUMIFS(Movimientos!$F$2:$F$5000,Movimientos!$D$2:$D$5000,$A130,Movimientos!$C$2:$C$5000,"Consumido en evento")-SUMIFS(Movimientos!$F$2:$F$5000,Movimientos!$D$2:$D$5000,$A130,Movimientos!$C$2:$C$5000,"A reparación")</f>
        <v>0</v>
      </c>
      <c r="R130" s="45">
        <f>SUMIFS(Movimientos!$F$2:$F$5000,Movimientos!$D$2:$D$5000,$A130,Movimientos!$C$2:$C$5000,"A reparación")-SUMIFS(Movimientos!$F$2:$F$5000,Movimientos!$D$2:$D$5000,$A130,Movimientos!$C$2:$C$5000,"Retorno reparación")-SUMIFS(Movimientos!$F$2:$F$5000,Movimientos!$D$2:$D$5000,$A130,Movimientos!$C$2:$C$5000,"Baja desde reparación")</f>
        <v>0</v>
      </c>
      <c r="S130" s="45">
        <f>P130-Q130-R130</f>
        <v>1</v>
      </c>
    </row>
    <row r="131" spans="1:19">
      <c r="A131" s="15" t="s">
        <v>689</v>
      </c>
      <c r="B131" s="15" t="s">
        <v>690</v>
      </c>
      <c r="C131" s="42" t="s">
        <v>691</v>
      </c>
      <c r="D131" s="15" t="s">
        <v>101</v>
      </c>
      <c r="E131" s="42" t="s">
        <v>692</v>
      </c>
      <c r="F131" s="43">
        <v>1</v>
      </c>
      <c r="G131" s="15" t="s">
        <v>246</v>
      </c>
      <c r="H131" s="44">
        <v>1</v>
      </c>
      <c r="I131" s="15" t="s">
        <v>104</v>
      </c>
      <c r="J131" s="15" t="s">
        <v>33</v>
      </c>
      <c r="K131" s="15" t="s">
        <v>35</v>
      </c>
      <c r="L131" s="15" t="s">
        <v>693</v>
      </c>
      <c r="M131" s="15" t="s">
        <v>38</v>
      </c>
      <c r="N131" s="15"/>
      <c r="O131" s="15"/>
      <c r="P131" s="45">
        <f>H131+SUMIFS(Movimientos!$F$2:$F$5000,Movimientos!$D$2:$D$5000,$A131,Movimientos!$C$2:$C$5000,"Ingreso inventario")+SUMIFS(Movimientos!$F$2:$F$5000,Movimientos!$D$2:$D$5000,$A131,Movimientos!$C$2:$C$5000,"Ajuste")-SUMIFS(Movimientos!$F$2:$F$5000,Movimientos!$D$2:$D$5000,$A131,Movimientos!$C$2:$C$5000,"Consumido en evento")-SUMIFS(Movimientos!$F$2:$F$5000,Movimientos!$D$2:$D$5000,$A131,Movimientos!$C$2:$C$5000,"Consumo interno")-SUMIFS(Movimientos!$F$2:$F$5000,Movimientos!$D$2:$D$5000,$A131,Movimientos!$C$2:$C$5000,"Baja")-SUMIFS(Movimientos!$F$2:$F$5000,Movimientos!$D$2:$D$5000,$A131,Movimientos!$C$2:$C$5000,"Baja desde reparación")</f>
        <v>1</v>
      </c>
      <c r="Q131" s="45">
        <f>SUMIFS(Movimientos!$F$2:$F$5000,Movimientos!$D$2:$D$5000,$A131,Movimientos!$C$2:$C$5000,"Salida alquiler")-SUMIFS(Movimientos!$F$2:$F$5000,Movimientos!$D$2:$D$5000,$A131,Movimientos!$C$2:$C$5000,"Retorno alquiler")-SUMIFS(Movimientos!$F$2:$F$5000,Movimientos!$D$2:$D$5000,$A131,Movimientos!$C$2:$C$5000,"Consumido en evento")-SUMIFS(Movimientos!$F$2:$F$5000,Movimientos!$D$2:$D$5000,$A131,Movimientos!$C$2:$C$5000,"A reparación")</f>
        <v>0</v>
      </c>
      <c r="R131" s="45">
        <f>SUMIFS(Movimientos!$F$2:$F$5000,Movimientos!$D$2:$D$5000,$A131,Movimientos!$C$2:$C$5000,"A reparación")-SUMIFS(Movimientos!$F$2:$F$5000,Movimientos!$D$2:$D$5000,$A131,Movimientos!$C$2:$C$5000,"Retorno reparación")-SUMIFS(Movimientos!$F$2:$F$5000,Movimientos!$D$2:$D$5000,$A131,Movimientos!$C$2:$C$5000,"Baja desde reparación")</f>
        <v>0</v>
      </c>
      <c r="S131" s="45">
        <f>P131-Q131-R131</f>
        <v>1</v>
      </c>
    </row>
    <row r="132" spans="1:19">
      <c r="A132" s="15" t="s">
        <v>694</v>
      </c>
      <c r="B132" s="15" t="s">
        <v>695</v>
      </c>
      <c r="C132" s="42" t="s">
        <v>696</v>
      </c>
      <c r="D132" s="15" t="s">
        <v>101</v>
      </c>
      <c r="E132" s="42" t="s">
        <v>697</v>
      </c>
      <c r="F132" s="43">
        <v>1</v>
      </c>
      <c r="G132" s="15" t="s">
        <v>246</v>
      </c>
      <c r="H132" s="44">
        <v>1</v>
      </c>
      <c r="I132" s="15" t="s">
        <v>104</v>
      </c>
      <c r="J132" s="15" t="s">
        <v>33</v>
      </c>
      <c r="K132" s="15" t="s">
        <v>35</v>
      </c>
      <c r="L132" s="15" t="s">
        <v>698</v>
      </c>
      <c r="M132" s="15" t="s">
        <v>38</v>
      </c>
      <c r="N132" s="15"/>
      <c r="O132" s="15"/>
      <c r="P132" s="45">
        <f>H132+SUMIFS(Movimientos!$F$2:$F$5000,Movimientos!$D$2:$D$5000,$A132,Movimientos!$C$2:$C$5000,"Ingreso inventario")+SUMIFS(Movimientos!$F$2:$F$5000,Movimientos!$D$2:$D$5000,$A132,Movimientos!$C$2:$C$5000,"Ajuste")-SUMIFS(Movimientos!$F$2:$F$5000,Movimientos!$D$2:$D$5000,$A132,Movimientos!$C$2:$C$5000,"Consumido en evento")-SUMIFS(Movimientos!$F$2:$F$5000,Movimientos!$D$2:$D$5000,$A132,Movimientos!$C$2:$C$5000,"Consumo interno")-SUMIFS(Movimientos!$F$2:$F$5000,Movimientos!$D$2:$D$5000,$A132,Movimientos!$C$2:$C$5000,"Baja")-SUMIFS(Movimientos!$F$2:$F$5000,Movimientos!$D$2:$D$5000,$A132,Movimientos!$C$2:$C$5000,"Baja desde reparación")</f>
        <v>1</v>
      </c>
      <c r="Q132" s="45">
        <f>SUMIFS(Movimientos!$F$2:$F$5000,Movimientos!$D$2:$D$5000,$A132,Movimientos!$C$2:$C$5000,"Salida alquiler")-SUMIFS(Movimientos!$F$2:$F$5000,Movimientos!$D$2:$D$5000,$A132,Movimientos!$C$2:$C$5000,"Retorno alquiler")-SUMIFS(Movimientos!$F$2:$F$5000,Movimientos!$D$2:$D$5000,$A132,Movimientos!$C$2:$C$5000,"Consumido en evento")-SUMIFS(Movimientos!$F$2:$F$5000,Movimientos!$D$2:$D$5000,$A132,Movimientos!$C$2:$C$5000,"A reparación")</f>
        <v>0</v>
      </c>
      <c r="R132" s="45">
        <f>SUMIFS(Movimientos!$F$2:$F$5000,Movimientos!$D$2:$D$5000,$A132,Movimientos!$C$2:$C$5000,"A reparación")-SUMIFS(Movimientos!$F$2:$F$5000,Movimientos!$D$2:$D$5000,$A132,Movimientos!$C$2:$C$5000,"Retorno reparación")-SUMIFS(Movimientos!$F$2:$F$5000,Movimientos!$D$2:$D$5000,$A132,Movimientos!$C$2:$C$5000,"Baja desde reparación")</f>
        <v>0</v>
      </c>
      <c r="S132" s="45">
        <f>P132-Q132-R132</f>
        <v>1</v>
      </c>
    </row>
    <row r="133" spans="1:19">
      <c r="A133" s="15" t="s">
        <v>699</v>
      </c>
      <c r="B133" s="15" t="s">
        <v>700</v>
      </c>
      <c r="C133" s="42"/>
      <c r="D133" s="15" t="s">
        <v>101</v>
      </c>
      <c r="E133" s="42"/>
      <c r="F133" s="43">
        <v>1</v>
      </c>
      <c r="G133" s="15" t="s">
        <v>558</v>
      </c>
      <c r="H133" s="44">
        <v>1</v>
      </c>
      <c r="I133" s="15" t="s">
        <v>559</v>
      </c>
      <c r="J133" s="15" t="s">
        <v>33</v>
      </c>
      <c r="K133" s="15" t="s">
        <v>35</v>
      </c>
      <c r="L133" s="15"/>
      <c r="M133" s="15" t="s">
        <v>38</v>
      </c>
      <c r="N133" s="15"/>
      <c r="O133" s="15"/>
      <c r="P133" s="45">
        <f>H133+SUMIFS(Movimientos!$F$2:$F$5000,Movimientos!$D$2:$D$5000,$A133,Movimientos!$C$2:$C$5000,"Ingreso inventario")+SUMIFS(Movimientos!$F$2:$F$5000,Movimientos!$D$2:$D$5000,$A133,Movimientos!$C$2:$C$5000,"Ajuste")-SUMIFS(Movimientos!$F$2:$F$5000,Movimientos!$D$2:$D$5000,$A133,Movimientos!$C$2:$C$5000,"Consumido en evento")-SUMIFS(Movimientos!$F$2:$F$5000,Movimientos!$D$2:$D$5000,$A133,Movimientos!$C$2:$C$5000,"Consumo interno")-SUMIFS(Movimientos!$F$2:$F$5000,Movimientos!$D$2:$D$5000,$A133,Movimientos!$C$2:$C$5000,"Baja")-SUMIFS(Movimientos!$F$2:$F$5000,Movimientos!$D$2:$D$5000,$A133,Movimientos!$C$2:$C$5000,"Baja desde reparación")</f>
        <v>1</v>
      </c>
      <c r="Q133" s="45">
        <f>SUMIFS(Movimientos!$F$2:$F$5000,Movimientos!$D$2:$D$5000,$A133,Movimientos!$C$2:$C$5000,"Salida alquiler")-SUMIFS(Movimientos!$F$2:$F$5000,Movimientos!$D$2:$D$5000,$A133,Movimientos!$C$2:$C$5000,"Retorno alquiler")-SUMIFS(Movimientos!$F$2:$F$5000,Movimientos!$D$2:$D$5000,$A133,Movimientos!$C$2:$C$5000,"Consumido en evento")-SUMIFS(Movimientos!$F$2:$F$5000,Movimientos!$D$2:$D$5000,$A133,Movimientos!$C$2:$C$5000,"A reparación")</f>
        <v>0</v>
      </c>
      <c r="R133" s="45">
        <f>SUMIFS(Movimientos!$F$2:$F$5000,Movimientos!$D$2:$D$5000,$A133,Movimientos!$C$2:$C$5000,"A reparación")-SUMIFS(Movimientos!$F$2:$F$5000,Movimientos!$D$2:$D$5000,$A133,Movimientos!$C$2:$C$5000,"Retorno reparación")-SUMIFS(Movimientos!$F$2:$F$5000,Movimientos!$D$2:$D$5000,$A133,Movimientos!$C$2:$C$5000,"Baja desde reparación")</f>
        <v>0</v>
      </c>
      <c r="S133" s="45">
        <f>P133-Q133-R133</f>
        <v>1</v>
      </c>
    </row>
    <row r="134" spans="1:19">
      <c r="A134" s="15" t="s">
        <v>701</v>
      </c>
      <c r="B134" s="15" t="s">
        <v>702</v>
      </c>
      <c r="C134" s="42" t="s">
        <v>703</v>
      </c>
      <c r="D134" s="15" t="s">
        <v>101</v>
      </c>
      <c r="E134" s="42" t="s">
        <v>704</v>
      </c>
      <c r="F134" s="43">
        <v>1</v>
      </c>
      <c r="G134" s="15" t="s">
        <v>594</v>
      </c>
      <c r="H134" s="44">
        <v>4</v>
      </c>
      <c r="I134" s="15" t="s">
        <v>104</v>
      </c>
      <c r="J134" s="15" t="s">
        <v>33</v>
      </c>
      <c r="K134" s="15" t="s">
        <v>35</v>
      </c>
      <c r="L134" s="15"/>
      <c r="M134" s="15" t="s">
        <v>38</v>
      </c>
      <c r="N134" s="15"/>
      <c r="O134" s="15"/>
      <c r="P134" s="45">
        <f>H134+SUMIFS(Movimientos!$F$2:$F$5000,Movimientos!$D$2:$D$5000,$A134,Movimientos!$C$2:$C$5000,"Ingreso inventario")+SUMIFS(Movimientos!$F$2:$F$5000,Movimientos!$D$2:$D$5000,$A134,Movimientos!$C$2:$C$5000,"Ajuste")-SUMIFS(Movimientos!$F$2:$F$5000,Movimientos!$D$2:$D$5000,$A134,Movimientos!$C$2:$C$5000,"Consumido en evento")-SUMIFS(Movimientos!$F$2:$F$5000,Movimientos!$D$2:$D$5000,$A134,Movimientos!$C$2:$C$5000,"Consumo interno")-SUMIFS(Movimientos!$F$2:$F$5000,Movimientos!$D$2:$D$5000,$A134,Movimientos!$C$2:$C$5000,"Baja")-SUMIFS(Movimientos!$F$2:$F$5000,Movimientos!$D$2:$D$5000,$A134,Movimientos!$C$2:$C$5000,"Baja desde reparación")</f>
        <v>4</v>
      </c>
      <c r="Q134" s="45">
        <f>SUMIFS(Movimientos!$F$2:$F$5000,Movimientos!$D$2:$D$5000,$A134,Movimientos!$C$2:$C$5000,"Salida alquiler")-SUMIFS(Movimientos!$F$2:$F$5000,Movimientos!$D$2:$D$5000,$A134,Movimientos!$C$2:$C$5000,"Retorno alquiler")-SUMIFS(Movimientos!$F$2:$F$5000,Movimientos!$D$2:$D$5000,$A134,Movimientos!$C$2:$C$5000,"Consumido en evento")-SUMIFS(Movimientos!$F$2:$F$5000,Movimientos!$D$2:$D$5000,$A134,Movimientos!$C$2:$C$5000,"A reparación")</f>
        <v>0</v>
      </c>
      <c r="R134" s="45">
        <f>SUMIFS(Movimientos!$F$2:$F$5000,Movimientos!$D$2:$D$5000,$A134,Movimientos!$C$2:$C$5000,"A reparación")-SUMIFS(Movimientos!$F$2:$F$5000,Movimientos!$D$2:$D$5000,$A134,Movimientos!$C$2:$C$5000,"Retorno reparación")-SUMIFS(Movimientos!$F$2:$F$5000,Movimientos!$D$2:$D$5000,$A134,Movimientos!$C$2:$C$5000,"Baja desde reparación")</f>
        <v>0</v>
      </c>
      <c r="S134" s="45">
        <f>P134-Q134-R134</f>
        <v>4</v>
      </c>
    </row>
    <row r="135" spans="1:19">
      <c r="A135" s="15" t="s">
        <v>705</v>
      </c>
      <c r="B135" s="15" t="s">
        <v>706</v>
      </c>
      <c r="C135" s="42" t="s">
        <v>707</v>
      </c>
      <c r="D135" s="15" t="s">
        <v>101</v>
      </c>
      <c r="E135" s="42" t="s">
        <v>708</v>
      </c>
      <c r="F135" s="43">
        <v>1</v>
      </c>
      <c r="G135" s="15" t="s">
        <v>110</v>
      </c>
      <c r="H135" s="44">
        <v>4</v>
      </c>
      <c r="I135" s="15" t="s">
        <v>104</v>
      </c>
      <c r="J135" s="15" t="s">
        <v>33</v>
      </c>
      <c r="K135" s="15" t="s">
        <v>35</v>
      </c>
      <c r="L135" s="15"/>
      <c r="M135" s="15" t="s">
        <v>38</v>
      </c>
      <c r="N135" s="15"/>
      <c r="O135" s="15"/>
      <c r="P135" s="45">
        <f>H135+SUMIFS(Movimientos!$F$2:$F$5000,Movimientos!$D$2:$D$5000,$A135,Movimientos!$C$2:$C$5000,"Ingreso inventario")+SUMIFS(Movimientos!$F$2:$F$5000,Movimientos!$D$2:$D$5000,$A135,Movimientos!$C$2:$C$5000,"Ajuste")-SUMIFS(Movimientos!$F$2:$F$5000,Movimientos!$D$2:$D$5000,$A135,Movimientos!$C$2:$C$5000,"Consumido en evento")-SUMIFS(Movimientos!$F$2:$F$5000,Movimientos!$D$2:$D$5000,$A135,Movimientos!$C$2:$C$5000,"Consumo interno")-SUMIFS(Movimientos!$F$2:$F$5000,Movimientos!$D$2:$D$5000,$A135,Movimientos!$C$2:$C$5000,"Baja")-SUMIFS(Movimientos!$F$2:$F$5000,Movimientos!$D$2:$D$5000,$A135,Movimientos!$C$2:$C$5000,"Baja desde reparación")</f>
        <v>4</v>
      </c>
      <c r="Q135" s="45">
        <f>SUMIFS(Movimientos!$F$2:$F$5000,Movimientos!$D$2:$D$5000,$A135,Movimientos!$C$2:$C$5000,"Salida alquiler")-SUMIFS(Movimientos!$F$2:$F$5000,Movimientos!$D$2:$D$5000,$A135,Movimientos!$C$2:$C$5000,"Retorno alquiler")-SUMIFS(Movimientos!$F$2:$F$5000,Movimientos!$D$2:$D$5000,$A135,Movimientos!$C$2:$C$5000,"Consumido en evento")-SUMIFS(Movimientos!$F$2:$F$5000,Movimientos!$D$2:$D$5000,$A135,Movimientos!$C$2:$C$5000,"A reparación")</f>
        <v>0</v>
      </c>
      <c r="R135" s="45">
        <f>SUMIFS(Movimientos!$F$2:$F$5000,Movimientos!$D$2:$D$5000,$A135,Movimientos!$C$2:$C$5000,"A reparación")-SUMIFS(Movimientos!$F$2:$F$5000,Movimientos!$D$2:$D$5000,$A135,Movimientos!$C$2:$C$5000,"Retorno reparación")-SUMIFS(Movimientos!$F$2:$F$5000,Movimientos!$D$2:$D$5000,$A135,Movimientos!$C$2:$C$5000,"Baja desde reparación")</f>
        <v>0</v>
      </c>
      <c r="S135" s="45">
        <f>P135-Q135-R135</f>
        <v>4</v>
      </c>
    </row>
    <row r="136" spans="1:19">
      <c r="A136" s="15" t="s">
        <v>709</v>
      </c>
      <c r="B136" s="15" t="s">
        <v>710</v>
      </c>
      <c r="C136" s="42" t="s">
        <v>711</v>
      </c>
      <c r="D136" s="15" t="s">
        <v>101</v>
      </c>
      <c r="E136" s="42" t="s">
        <v>712</v>
      </c>
      <c r="F136" s="43">
        <v>1</v>
      </c>
      <c r="G136" s="15" t="s">
        <v>158</v>
      </c>
      <c r="H136" s="44">
        <v>3</v>
      </c>
      <c r="I136" s="15" t="s">
        <v>104</v>
      </c>
      <c r="J136" s="15" t="s">
        <v>33</v>
      </c>
      <c r="K136" s="15" t="s">
        <v>35</v>
      </c>
      <c r="L136" s="15" t="s">
        <v>713</v>
      </c>
      <c r="M136" s="15" t="s">
        <v>38</v>
      </c>
      <c r="N136" s="15"/>
      <c r="O136" s="15"/>
      <c r="P136" s="45">
        <f>H136+SUMIFS(Movimientos!$F$2:$F$5000,Movimientos!$D$2:$D$5000,$A136,Movimientos!$C$2:$C$5000,"Ingreso inventario")+SUMIFS(Movimientos!$F$2:$F$5000,Movimientos!$D$2:$D$5000,$A136,Movimientos!$C$2:$C$5000,"Ajuste")-SUMIFS(Movimientos!$F$2:$F$5000,Movimientos!$D$2:$D$5000,$A136,Movimientos!$C$2:$C$5000,"Consumido en evento")-SUMIFS(Movimientos!$F$2:$F$5000,Movimientos!$D$2:$D$5000,$A136,Movimientos!$C$2:$C$5000,"Consumo interno")-SUMIFS(Movimientos!$F$2:$F$5000,Movimientos!$D$2:$D$5000,$A136,Movimientos!$C$2:$C$5000,"Baja")-SUMIFS(Movimientos!$F$2:$F$5000,Movimientos!$D$2:$D$5000,$A136,Movimientos!$C$2:$C$5000,"Baja desde reparación")</f>
        <v>3</v>
      </c>
      <c r="Q136" s="45">
        <f>SUMIFS(Movimientos!$F$2:$F$5000,Movimientos!$D$2:$D$5000,$A136,Movimientos!$C$2:$C$5000,"Salida alquiler")-SUMIFS(Movimientos!$F$2:$F$5000,Movimientos!$D$2:$D$5000,$A136,Movimientos!$C$2:$C$5000,"Retorno alquiler")-SUMIFS(Movimientos!$F$2:$F$5000,Movimientos!$D$2:$D$5000,$A136,Movimientos!$C$2:$C$5000,"Consumido en evento")-SUMIFS(Movimientos!$F$2:$F$5000,Movimientos!$D$2:$D$5000,$A136,Movimientos!$C$2:$C$5000,"A reparación")</f>
        <v>0</v>
      </c>
      <c r="R136" s="45">
        <f>SUMIFS(Movimientos!$F$2:$F$5000,Movimientos!$D$2:$D$5000,$A136,Movimientos!$C$2:$C$5000,"A reparación")-SUMIFS(Movimientos!$F$2:$F$5000,Movimientos!$D$2:$D$5000,$A136,Movimientos!$C$2:$C$5000,"Retorno reparación")-SUMIFS(Movimientos!$F$2:$F$5000,Movimientos!$D$2:$D$5000,$A136,Movimientos!$C$2:$C$5000,"Baja desde reparación")</f>
        <v>0</v>
      </c>
      <c r="S136" s="45">
        <f>P136-Q136-R136</f>
        <v>3</v>
      </c>
    </row>
    <row r="137" spans="1:19">
      <c r="A137" s="15" t="s">
        <v>714</v>
      </c>
      <c r="B137" s="15" t="s">
        <v>715</v>
      </c>
      <c r="C137" s="42"/>
      <c r="D137" s="15" t="s">
        <v>101</v>
      </c>
      <c r="E137" s="42"/>
      <c r="F137" s="43">
        <v>1</v>
      </c>
      <c r="G137" s="15" t="s">
        <v>558</v>
      </c>
      <c r="H137" s="44">
        <v>1</v>
      </c>
      <c r="I137" s="15" t="s">
        <v>559</v>
      </c>
      <c r="J137" s="15" t="s">
        <v>33</v>
      </c>
      <c r="K137" s="15" t="s">
        <v>35</v>
      </c>
      <c r="L137" s="15"/>
      <c r="M137" s="15" t="s">
        <v>38</v>
      </c>
      <c r="N137" s="15"/>
      <c r="O137" s="15"/>
      <c r="P137" s="45">
        <f>H137+SUMIFS(Movimientos!$F$2:$F$5000,Movimientos!$D$2:$D$5000,$A137,Movimientos!$C$2:$C$5000,"Ingreso inventario")+SUMIFS(Movimientos!$F$2:$F$5000,Movimientos!$D$2:$D$5000,$A137,Movimientos!$C$2:$C$5000,"Ajuste")-SUMIFS(Movimientos!$F$2:$F$5000,Movimientos!$D$2:$D$5000,$A137,Movimientos!$C$2:$C$5000,"Consumido en evento")-SUMIFS(Movimientos!$F$2:$F$5000,Movimientos!$D$2:$D$5000,$A137,Movimientos!$C$2:$C$5000,"Consumo interno")-SUMIFS(Movimientos!$F$2:$F$5000,Movimientos!$D$2:$D$5000,$A137,Movimientos!$C$2:$C$5000,"Baja")-SUMIFS(Movimientos!$F$2:$F$5000,Movimientos!$D$2:$D$5000,$A137,Movimientos!$C$2:$C$5000,"Baja desde reparación")</f>
        <v>1</v>
      </c>
      <c r="Q137" s="45">
        <f>SUMIFS(Movimientos!$F$2:$F$5000,Movimientos!$D$2:$D$5000,$A137,Movimientos!$C$2:$C$5000,"Salida alquiler")-SUMIFS(Movimientos!$F$2:$F$5000,Movimientos!$D$2:$D$5000,$A137,Movimientos!$C$2:$C$5000,"Retorno alquiler")-SUMIFS(Movimientos!$F$2:$F$5000,Movimientos!$D$2:$D$5000,$A137,Movimientos!$C$2:$C$5000,"Consumido en evento")-SUMIFS(Movimientos!$F$2:$F$5000,Movimientos!$D$2:$D$5000,$A137,Movimientos!$C$2:$C$5000,"A reparación")</f>
        <v>0</v>
      </c>
      <c r="R137" s="45">
        <f>SUMIFS(Movimientos!$F$2:$F$5000,Movimientos!$D$2:$D$5000,$A137,Movimientos!$C$2:$C$5000,"A reparación")-SUMIFS(Movimientos!$F$2:$F$5000,Movimientos!$D$2:$D$5000,$A137,Movimientos!$C$2:$C$5000,"Retorno reparación")-SUMIFS(Movimientos!$F$2:$F$5000,Movimientos!$D$2:$D$5000,$A137,Movimientos!$C$2:$C$5000,"Baja desde reparación")</f>
        <v>0</v>
      </c>
      <c r="S137" s="45">
        <f>P137-Q137-R137</f>
        <v>1</v>
      </c>
    </row>
    <row r="138" spans="1:19">
      <c r="A138" s="15" t="s">
        <v>716</v>
      </c>
      <c r="B138" s="15" t="s">
        <v>717</v>
      </c>
      <c r="C138" s="42" t="s">
        <v>718</v>
      </c>
      <c r="D138" s="15" t="s">
        <v>101</v>
      </c>
      <c r="E138" s="42" t="s">
        <v>719</v>
      </c>
      <c r="F138" s="43">
        <v>1</v>
      </c>
      <c r="G138" s="15" t="s">
        <v>158</v>
      </c>
      <c r="H138" s="44">
        <v>1</v>
      </c>
      <c r="I138" s="15" t="s">
        <v>104</v>
      </c>
      <c r="J138" s="15" t="s">
        <v>33</v>
      </c>
      <c r="K138" s="15" t="s">
        <v>35</v>
      </c>
      <c r="L138" s="15"/>
      <c r="M138" s="15" t="s">
        <v>38</v>
      </c>
      <c r="N138" s="15"/>
      <c r="O138" s="15"/>
      <c r="P138" s="45">
        <f>H138+SUMIFS(Movimientos!$F$2:$F$5000,Movimientos!$D$2:$D$5000,$A138,Movimientos!$C$2:$C$5000,"Ingreso inventario")+SUMIFS(Movimientos!$F$2:$F$5000,Movimientos!$D$2:$D$5000,$A138,Movimientos!$C$2:$C$5000,"Ajuste")-SUMIFS(Movimientos!$F$2:$F$5000,Movimientos!$D$2:$D$5000,$A138,Movimientos!$C$2:$C$5000,"Consumido en evento")-SUMIFS(Movimientos!$F$2:$F$5000,Movimientos!$D$2:$D$5000,$A138,Movimientos!$C$2:$C$5000,"Consumo interno")-SUMIFS(Movimientos!$F$2:$F$5000,Movimientos!$D$2:$D$5000,$A138,Movimientos!$C$2:$C$5000,"Baja")-SUMIFS(Movimientos!$F$2:$F$5000,Movimientos!$D$2:$D$5000,$A138,Movimientos!$C$2:$C$5000,"Baja desde reparación")</f>
        <v>1</v>
      </c>
      <c r="Q138" s="45">
        <f>SUMIFS(Movimientos!$F$2:$F$5000,Movimientos!$D$2:$D$5000,$A138,Movimientos!$C$2:$C$5000,"Salida alquiler")-SUMIFS(Movimientos!$F$2:$F$5000,Movimientos!$D$2:$D$5000,$A138,Movimientos!$C$2:$C$5000,"Retorno alquiler")-SUMIFS(Movimientos!$F$2:$F$5000,Movimientos!$D$2:$D$5000,$A138,Movimientos!$C$2:$C$5000,"Consumido en evento")-SUMIFS(Movimientos!$F$2:$F$5000,Movimientos!$D$2:$D$5000,$A138,Movimientos!$C$2:$C$5000,"A reparación")</f>
        <v>0</v>
      </c>
      <c r="R138" s="45">
        <f>SUMIFS(Movimientos!$F$2:$F$5000,Movimientos!$D$2:$D$5000,$A138,Movimientos!$C$2:$C$5000,"A reparación")-SUMIFS(Movimientos!$F$2:$F$5000,Movimientos!$D$2:$D$5000,$A138,Movimientos!$C$2:$C$5000,"Retorno reparación")-SUMIFS(Movimientos!$F$2:$F$5000,Movimientos!$D$2:$D$5000,$A138,Movimientos!$C$2:$C$5000,"Baja desde reparación")</f>
        <v>0</v>
      </c>
      <c r="S138" s="45">
        <f>P138-Q138-R138</f>
        <v>1</v>
      </c>
    </row>
    <row r="139" spans="1:19">
      <c r="A139" s="15" t="s">
        <v>720</v>
      </c>
      <c r="B139" s="15" t="s">
        <v>721</v>
      </c>
      <c r="C139" s="42" t="s">
        <v>722</v>
      </c>
      <c r="D139" s="15" t="s">
        <v>101</v>
      </c>
      <c r="E139" s="42" t="s">
        <v>723</v>
      </c>
      <c r="F139" s="43">
        <v>1</v>
      </c>
      <c r="G139" s="15" t="s">
        <v>158</v>
      </c>
      <c r="H139" s="44">
        <v>1</v>
      </c>
      <c r="I139" s="15" t="s">
        <v>104</v>
      </c>
      <c r="J139" s="15" t="s">
        <v>33</v>
      </c>
      <c r="K139" s="15" t="s">
        <v>35</v>
      </c>
      <c r="L139" s="15"/>
      <c r="M139" s="15" t="s">
        <v>38</v>
      </c>
      <c r="N139" s="15"/>
      <c r="O139" s="15"/>
      <c r="P139" s="45">
        <f>H139+SUMIFS(Movimientos!$F$2:$F$5000,Movimientos!$D$2:$D$5000,$A139,Movimientos!$C$2:$C$5000,"Ingreso inventario")+SUMIFS(Movimientos!$F$2:$F$5000,Movimientos!$D$2:$D$5000,$A139,Movimientos!$C$2:$C$5000,"Ajuste")-SUMIFS(Movimientos!$F$2:$F$5000,Movimientos!$D$2:$D$5000,$A139,Movimientos!$C$2:$C$5000,"Consumido en evento")-SUMIFS(Movimientos!$F$2:$F$5000,Movimientos!$D$2:$D$5000,$A139,Movimientos!$C$2:$C$5000,"Consumo interno")-SUMIFS(Movimientos!$F$2:$F$5000,Movimientos!$D$2:$D$5000,$A139,Movimientos!$C$2:$C$5000,"Baja")-SUMIFS(Movimientos!$F$2:$F$5000,Movimientos!$D$2:$D$5000,$A139,Movimientos!$C$2:$C$5000,"Baja desde reparación")</f>
        <v>1</v>
      </c>
      <c r="Q139" s="45">
        <f>SUMIFS(Movimientos!$F$2:$F$5000,Movimientos!$D$2:$D$5000,$A139,Movimientos!$C$2:$C$5000,"Salida alquiler")-SUMIFS(Movimientos!$F$2:$F$5000,Movimientos!$D$2:$D$5000,$A139,Movimientos!$C$2:$C$5000,"Retorno alquiler")-SUMIFS(Movimientos!$F$2:$F$5000,Movimientos!$D$2:$D$5000,$A139,Movimientos!$C$2:$C$5000,"Consumido en evento")-SUMIFS(Movimientos!$F$2:$F$5000,Movimientos!$D$2:$D$5000,$A139,Movimientos!$C$2:$C$5000,"A reparación")</f>
        <v>0</v>
      </c>
      <c r="R139" s="45">
        <f>SUMIFS(Movimientos!$F$2:$F$5000,Movimientos!$D$2:$D$5000,$A139,Movimientos!$C$2:$C$5000,"A reparación")-SUMIFS(Movimientos!$F$2:$F$5000,Movimientos!$D$2:$D$5000,$A139,Movimientos!$C$2:$C$5000,"Retorno reparación")-SUMIFS(Movimientos!$F$2:$F$5000,Movimientos!$D$2:$D$5000,$A139,Movimientos!$C$2:$C$5000,"Baja desde reparación")</f>
        <v>0</v>
      </c>
      <c r="S139" s="45">
        <f>P139-Q139-R139</f>
        <v>1</v>
      </c>
    </row>
    <row r="140" spans="1:19">
      <c r="A140" s="15" t="s">
        <v>724</v>
      </c>
      <c r="B140" s="15" t="s">
        <v>725</v>
      </c>
      <c r="C140" s="42" t="s">
        <v>726</v>
      </c>
      <c r="D140" s="15" t="s">
        <v>101</v>
      </c>
      <c r="E140" s="42" t="s">
        <v>727</v>
      </c>
      <c r="F140" s="43">
        <v>1</v>
      </c>
      <c r="G140" s="15" t="s">
        <v>158</v>
      </c>
      <c r="H140" s="44">
        <v>1</v>
      </c>
      <c r="I140" s="15" t="s">
        <v>104</v>
      </c>
      <c r="J140" s="15" t="s">
        <v>33</v>
      </c>
      <c r="K140" s="15" t="s">
        <v>35</v>
      </c>
      <c r="L140" s="15"/>
      <c r="M140" s="15" t="s">
        <v>38</v>
      </c>
      <c r="N140" s="15"/>
      <c r="O140" s="15"/>
      <c r="P140" s="45">
        <f>H140+SUMIFS(Movimientos!$F$2:$F$5000,Movimientos!$D$2:$D$5000,$A140,Movimientos!$C$2:$C$5000,"Ingreso inventario")+SUMIFS(Movimientos!$F$2:$F$5000,Movimientos!$D$2:$D$5000,$A140,Movimientos!$C$2:$C$5000,"Ajuste")-SUMIFS(Movimientos!$F$2:$F$5000,Movimientos!$D$2:$D$5000,$A140,Movimientos!$C$2:$C$5000,"Consumido en evento")-SUMIFS(Movimientos!$F$2:$F$5000,Movimientos!$D$2:$D$5000,$A140,Movimientos!$C$2:$C$5000,"Consumo interno")-SUMIFS(Movimientos!$F$2:$F$5000,Movimientos!$D$2:$D$5000,$A140,Movimientos!$C$2:$C$5000,"Baja")-SUMIFS(Movimientos!$F$2:$F$5000,Movimientos!$D$2:$D$5000,$A140,Movimientos!$C$2:$C$5000,"Baja desde reparación")</f>
        <v>1</v>
      </c>
      <c r="Q140" s="45">
        <f>SUMIFS(Movimientos!$F$2:$F$5000,Movimientos!$D$2:$D$5000,$A140,Movimientos!$C$2:$C$5000,"Salida alquiler")-SUMIFS(Movimientos!$F$2:$F$5000,Movimientos!$D$2:$D$5000,$A140,Movimientos!$C$2:$C$5000,"Retorno alquiler")-SUMIFS(Movimientos!$F$2:$F$5000,Movimientos!$D$2:$D$5000,$A140,Movimientos!$C$2:$C$5000,"Consumido en evento")-SUMIFS(Movimientos!$F$2:$F$5000,Movimientos!$D$2:$D$5000,$A140,Movimientos!$C$2:$C$5000,"A reparación")</f>
        <v>0</v>
      </c>
      <c r="R140" s="45">
        <f>SUMIFS(Movimientos!$F$2:$F$5000,Movimientos!$D$2:$D$5000,$A140,Movimientos!$C$2:$C$5000,"A reparación")-SUMIFS(Movimientos!$F$2:$F$5000,Movimientos!$D$2:$D$5000,$A140,Movimientos!$C$2:$C$5000,"Retorno reparación")-SUMIFS(Movimientos!$F$2:$F$5000,Movimientos!$D$2:$D$5000,$A140,Movimientos!$C$2:$C$5000,"Baja desde reparación")</f>
        <v>0</v>
      </c>
      <c r="S140" s="45">
        <f>P140-Q140-R140</f>
        <v>1</v>
      </c>
    </row>
    <row r="141" spans="1:19">
      <c r="A141" s="15" t="s">
        <v>728</v>
      </c>
      <c r="B141" s="15" t="s">
        <v>729</v>
      </c>
      <c r="C141" s="42" t="s">
        <v>730</v>
      </c>
      <c r="D141" s="15" t="s">
        <v>101</v>
      </c>
      <c r="E141" s="42" t="s">
        <v>731</v>
      </c>
      <c r="F141" s="43">
        <v>1</v>
      </c>
      <c r="G141" s="15" t="s">
        <v>163</v>
      </c>
      <c r="H141" s="44">
        <v>4</v>
      </c>
      <c r="I141" s="15" t="s">
        <v>104</v>
      </c>
      <c r="J141" s="15" t="s">
        <v>33</v>
      </c>
      <c r="K141" s="15" t="s">
        <v>35</v>
      </c>
      <c r="L141" s="15" t="s">
        <v>732</v>
      </c>
      <c r="M141" s="15" t="s">
        <v>38</v>
      </c>
      <c r="N141" s="15"/>
      <c r="O141" s="15"/>
      <c r="P141" s="45">
        <f>H141+SUMIFS(Movimientos!$F$2:$F$5000,Movimientos!$D$2:$D$5000,$A141,Movimientos!$C$2:$C$5000,"Ingreso inventario")+SUMIFS(Movimientos!$F$2:$F$5000,Movimientos!$D$2:$D$5000,$A141,Movimientos!$C$2:$C$5000,"Ajuste")-SUMIFS(Movimientos!$F$2:$F$5000,Movimientos!$D$2:$D$5000,$A141,Movimientos!$C$2:$C$5000,"Consumido en evento")-SUMIFS(Movimientos!$F$2:$F$5000,Movimientos!$D$2:$D$5000,$A141,Movimientos!$C$2:$C$5000,"Consumo interno")-SUMIFS(Movimientos!$F$2:$F$5000,Movimientos!$D$2:$D$5000,$A141,Movimientos!$C$2:$C$5000,"Baja")-SUMIFS(Movimientos!$F$2:$F$5000,Movimientos!$D$2:$D$5000,$A141,Movimientos!$C$2:$C$5000,"Baja desde reparación")</f>
        <v>4</v>
      </c>
      <c r="Q141" s="45">
        <f>SUMIFS(Movimientos!$F$2:$F$5000,Movimientos!$D$2:$D$5000,$A141,Movimientos!$C$2:$C$5000,"Salida alquiler")-SUMIFS(Movimientos!$F$2:$F$5000,Movimientos!$D$2:$D$5000,$A141,Movimientos!$C$2:$C$5000,"Retorno alquiler")-SUMIFS(Movimientos!$F$2:$F$5000,Movimientos!$D$2:$D$5000,$A141,Movimientos!$C$2:$C$5000,"Consumido en evento")-SUMIFS(Movimientos!$F$2:$F$5000,Movimientos!$D$2:$D$5000,$A141,Movimientos!$C$2:$C$5000,"A reparación")</f>
        <v>0</v>
      </c>
      <c r="R141" s="45">
        <f>SUMIFS(Movimientos!$F$2:$F$5000,Movimientos!$D$2:$D$5000,$A141,Movimientos!$C$2:$C$5000,"A reparación")-SUMIFS(Movimientos!$F$2:$F$5000,Movimientos!$D$2:$D$5000,$A141,Movimientos!$C$2:$C$5000,"Retorno reparación")-SUMIFS(Movimientos!$F$2:$F$5000,Movimientos!$D$2:$D$5000,$A141,Movimientos!$C$2:$C$5000,"Baja desde reparación")</f>
        <v>0</v>
      </c>
      <c r="S141" s="45">
        <f>P141-Q141-R141</f>
        <v>4</v>
      </c>
    </row>
    <row r="142" spans="1:19">
      <c r="A142" s="15" t="s">
        <v>733</v>
      </c>
      <c r="B142" s="15" t="s">
        <v>734</v>
      </c>
      <c r="C142" s="42" t="s">
        <v>735</v>
      </c>
      <c r="D142" s="15" t="s">
        <v>101</v>
      </c>
      <c r="E142" s="42" t="s">
        <v>736</v>
      </c>
      <c r="F142" s="43">
        <v>1</v>
      </c>
      <c r="G142" s="15" t="s">
        <v>737</v>
      </c>
      <c r="H142" s="44">
        <v>4</v>
      </c>
      <c r="I142" s="15" t="s">
        <v>104</v>
      </c>
      <c r="J142" s="15" t="s">
        <v>33</v>
      </c>
      <c r="K142" s="15" t="s">
        <v>35</v>
      </c>
      <c r="L142" s="15" t="s">
        <v>738</v>
      </c>
      <c r="M142" s="15" t="s">
        <v>38</v>
      </c>
      <c r="N142" s="15"/>
      <c r="O142" s="15"/>
      <c r="P142" s="45">
        <f>H142+SUMIFS(Movimientos!$F$2:$F$5000,Movimientos!$D$2:$D$5000,$A142,Movimientos!$C$2:$C$5000,"Ingreso inventario")+SUMIFS(Movimientos!$F$2:$F$5000,Movimientos!$D$2:$D$5000,$A142,Movimientos!$C$2:$C$5000,"Ajuste")-SUMIFS(Movimientos!$F$2:$F$5000,Movimientos!$D$2:$D$5000,$A142,Movimientos!$C$2:$C$5000,"Consumido en evento")-SUMIFS(Movimientos!$F$2:$F$5000,Movimientos!$D$2:$D$5000,$A142,Movimientos!$C$2:$C$5000,"Consumo interno")-SUMIFS(Movimientos!$F$2:$F$5000,Movimientos!$D$2:$D$5000,$A142,Movimientos!$C$2:$C$5000,"Baja")-SUMIFS(Movimientos!$F$2:$F$5000,Movimientos!$D$2:$D$5000,$A142,Movimientos!$C$2:$C$5000,"Baja desde reparación")</f>
        <v>4</v>
      </c>
      <c r="Q142" s="45">
        <f>SUMIFS(Movimientos!$F$2:$F$5000,Movimientos!$D$2:$D$5000,$A142,Movimientos!$C$2:$C$5000,"Salida alquiler")-SUMIFS(Movimientos!$F$2:$F$5000,Movimientos!$D$2:$D$5000,$A142,Movimientos!$C$2:$C$5000,"Retorno alquiler")-SUMIFS(Movimientos!$F$2:$F$5000,Movimientos!$D$2:$D$5000,$A142,Movimientos!$C$2:$C$5000,"Consumido en evento")-SUMIFS(Movimientos!$F$2:$F$5000,Movimientos!$D$2:$D$5000,$A142,Movimientos!$C$2:$C$5000,"A reparación")</f>
        <v>0</v>
      </c>
      <c r="R142" s="45">
        <f>SUMIFS(Movimientos!$F$2:$F$5000,Movimientos!$D$2:$D$5000,$A142,Movimientos!$C$2:$C$5000,"A reparación")-SUMIFS(Movimientos!$F$2:$F$5000,Movimientos!$D$2:$D$5000,$A142,Movimientos!$C$2:$C$5000,"Retorno reparación")-SUMIFS(Movimientos!$F$2:$F$5000,Movimientos!$D$2:$D$5000,$A142,Movimientos!$C$2:$C$5000,"Baja desde reparación")</f>
        <v>0</v>
      </c>
      <c r="S142" s="45">
        <f>P142-Q142-R142</f>
        <v>4</v>
      </c>
    </row>
    <row r="143" spans="1:19">
      <c r="A143" s="15" t="s">
        <v>739</v>
      </c>
      <c r="B143" s="15" t="s">
        <v>740</v>
      </c>
      <c r="C143" s="42" t="s">
        <v>741</v>
      </c>
      <c r="D143" s="15" t="s">
        <v>101</v>
      </c>
      <c r="E143" s="42" t="s">
        <v>742</v>
      </c>
      <c r="F143" s="43">
        <v>1</v>
      </c>
      <c r="G143" s="15" t="s">
        <v>275</v>
      </c>
      <c r="H143" s="44">
        <v>1</v>
      </c>
      <c r="I143" s="15" t="s">
        <v>104</v>
      </c>
      <c r="J143" s="15" t="s">
        <v>33</v>
      </c>
      <c r="K143" s="15" t="s">
        <v>35</v>
      </c>
      <c r="L143" s="15"/>
      <c r="M143" s="15" t="s">
        <v>38</v>
      </c>
      <c r="N143" s="15"/>
      <c r="O143" s="15"/>
      <c r="P143" s="45">
        <f>H143+SUMIFS(Movimientos!$F$2:$F$5000,Movimientos!$D$2:$D$5000,$A143,Movimientos!$C$2:$C$5000,"Ingreso inventario")+SUMIFS(Movimientos!$F$2:$F$5000,Movimientos!$D$2:$D$5000,$A143,Movimientos!$C$2:$C$5000,"Ajuste")-SUMIFS(Movimientos!$F$2:$F$5000,Movimientos!$D$2:$D$5000,$A143,Movimientos!$C$2:$C$5000,"Consumido en evento")-SUMIFS(Movimientos!$F$2:$F$5000,Movimientos!$D$2:$D$5000,$A143,Movimientos!$C$2:$C$5000,"Consumo interno")-SUMIFS(Movimientos!$F$2:$F$5000,Movimientos!$D$2:$D$5000,$A143,Movimientos!$C$2:$C$5000,"Baja")-SUMIFS(Movimientos!$F$2:$F$5000,Movimientos!$D$2:$D$5000,$A143,Movimientos!$C$2:$C$5000,"Baja desde reparación")</f>
        <v>1</v>
      </c>
      <c r="Q143" s="45">
        <f>SUMIFS(Movimientos!$F$2:$F$5000,Movimientos!$D$2:$D$5000,$A143,Movimientos!$C$2:$C$5000,"Salida alquiler")-SUMIFS(Movimientos!$F$2:$F$5000,Movimientos!$D$2:$D$5000,$A143,Movimientos!$C$2:$C$5000,"Retorno alquiler")-SUMIFS(Movimientos!$F$2:$F$5000,Movimientos!$D$2:$D$5000,$A143,Movimientos!$C$2:$C$5000,"Consumido en evento")-SUMIFS(Movimientos!$F$2:$F$5000,Movimientos!$D$2:$D$5000,$A143,Movimientos!$C$2:$C$5000,"A reparación")</f>
        <v>0</v>
      </c>
      <c r="R143" s="45">
        <f>SUMIFS(Movimientos!$F$2:$F$5000,Movimientos!$D$2:$D$5000,$A143,Movimientos!$C$2:$C$5000,"A reparación")-SUMIFS(Movimientos!$F$2:$F$5000,Movimientos!$D$2:$D$5000,$A143,Movimientos!$C$2:$C$5000,"Retorno reparación")-SUMIFS(Movimientos!$F$2:$F$5000,Movimientos!$D$2:$D$5000,$A143,Movimientos!$C$2:$C$5000,"Baja desde reparación")</f>
        <v>0</v>
      </c>
      <c r="S143" s="45">
        <f>P143-Q143-R143</f>
        <v>1</v>
      </c>
    </row>
    <row r="144" spans="1:19">
      <c r="A144" s="15" t="s">
        <v>743</v>
      </c>
      <c r="B144" s="15" t="s">
        <v>744</v>
      </c>
      <c r="C144" s="42" t="s">
        <v>745</v>
      </c>
      <c r="D144" s="15" t="s">
        <v>101</v>
      </c>
      <c r="E144" s="42" t="s">
        <v>746</v>
      </c>
      <c r="F144" s="43">
        <v>1</v>
      </c>
      <c r="G144" s="15" t="s">
        <v>528</v>
      </c>
      <c r="H144" s="44">
        <v>2</v>
      </c>
      <c r="I144" s="15" t="s">
        <v>104</v>
      </c>
      <c r="J144" s="15" t="s">
        <v>33</v>
      </c>
      <c r="K144" s="15" t="s">
        <v>35</v>
      </c>
      <c r="L144" s="15"/>
      <c r="M144" s="15" t="s">
        <v>38</v>
      </c>
      <c r="N144" s="15"/>
      <c r="O144" s="15"/>
      <c r="P144" s="45">
        <f>H144+SUMIFS(Movimientos!$F$2:$F$5000,Movimientos!$D$2:$D$5000,$A144,Movimientos!$C$2:$C$5000,"Ingreso inventario")+SUMIFS(Movimientos!$F$2:$F$5000,Movimientos!$D$2:$D$5000,$A144,Movimientos!$C$2:$C$5000,"Ajuste")-SUMIFS(Movimientos!$F$2:$F$5000,Movimientos!$D$2:$D$5000,$A144,Movimientos!$C$2:$C$5000,"Consumido en evento")-SUMIFS(Movimientos!$F$2:$F$5000,Movimientos!$D$2:$D$5000,$A144,Movimientos!$C$2:$C$5000,"Consumo interno")-SUMIFS(Movimientos!$F$2:$F$5000,Movimientos!$D$2:$D$5000,$A144,Movimientos!$C$2:$C$5000,"Baja")-SUMIFS(Movimientos!$F$2:$F$5000,Movimientos!$D$2:$D$5000,$A144,Movimientos!$C$2:$C$5000,"Baja desde reparación")</f>
        <v>2</v>
      </c>
      <c r="Q144" s="45">
        <f>SUMIFS(Movimientos!$F$2:$F$5000,Movimientos!$D$2:$D$5000,$A144,Movimientos!$C$2:$C$5000,"Salida alquiler")-SUMIFS(Movimientos!$F$2:$F$5000,Movimientos!$D$2:$D$5000,$A144,Movimientos!$C$2:$C$5000,"Retorno alquiler")-SUMIFS(Movimientos!$F$2:$F$5000,Movimientos!$D$2:$D$5000,$A144,Movimientos!$C$2:$C$5000,"Consumido en evento")-SUMIFS(Movimientos!$F$2:$F$5000,Movimientos!$D$2:$D$5000,$A144,Movimientos!$C$2:$C$5000,"A reparación")</f>
        <v>0</v>
      </c>
      <c r="R144" s="45">
        <f>SUMIFS(Movimientos!$F$2:$F$5000,Movimientos!$D$2:$D$5000,$A144,Movimientos!$C$2:$C$5000,"A reparación")-SUMIFS(Movimientos!$F$2:$F$5000,Movimientos!$D$2:$D$5000,$A144,Movimientos!$C$2:$C$5000,"Retorno reparación")-SUMIFS(Movimientos!$F$2:$F$5000,Movimientos!$D$2:$D$5000,$A144,Movimientos!$C$2:$C$5000,"Baja desde reparación")</f>
        <v>0</v>
      </c>
      <c r="S144" s="45">
        <f>P144-Q144-R144</f>
        <v>2</v>
      </c>
    </row>
    <row r="145" spans="1:19">
      <c r="A145" s="15" t="s">
        <v>747</v>
      </c>
      <c r="B145" s="15" t="s">
        <v>748</v>
      </c>
      <c r="C145" s="42"/>
      <c r="D145" s="15" t="s">
        <v>101</v>
      </c>
      <c r="E145" s="42"/>
      <c r="F145" s="43">
        <v>1</v>
      </c>
      <c r="G145" s="15" t="s">
        <v>558</v>
      </c>
      <c r="H145" s="44">
        <v>1</v>
      </c>
      <c r="I145" s="15" t="s">
        <v>559</v>
      </c>
      <c r="J145" s="15" t="s">
        <v>33</v>
      </c>
      <c r="K145" s="15" t="s">
        <v>35</v>
      </c>
      <c r="L145" s="15"/>
      <c r="M145" s="15" t="s">
        <v>38</v>
      </c>
      <c r="N145" s="15"/>
      <c r="O145" s="15"/>
      <c r="P145" s="45">
        <f>H145+SUMIFS(Movimientos!$F$2:$F$5000,Movimientos!$D$2:$D$5000,$A145,Movimientos!$C$2:$C$5000,"Ingreso inventario")+SUMIFS(Movimientos!$F$2:$F$5000,Movimientos!$D$2:$D$5000,$A145,Movimientos!$C$2:$C$5000,"Ajuste")-SUMIFS(Movimientos!$F$2:$F$5000,Movimientos!$D$2:$D$5000,$A145,Movimientos!$C$2:$C$5000,"Consumido en evento")-SUMIFS(Movimientos!$F$2:$F$5000,Movimientos!$D$2:$D$5000,$A145,Movimientos!$C$2:$C$5000,"Consumo interno")-SUMIFS(Movimientos!$F$2:$F$5000,Movimientos!$D$2:$D$5000,$A145,Movimientos!$C$2:$C$5000,"Baja")-SUMIFS(Movimientos!$F$2:$F$5000,Movimientos!$D$2:$D$5000,$A145,Movimientos!$C$2:$C$5000,"Baja desde reparación")</f>
        <v>1</v>
      </c>
      <c r="Q145" s="45">
        <f>SUMIFS(Movimientos!$F$2:$F$5000,Movimientos!$D$2:$D$5000,$A145,Movimientos!$C$2:$C$5000,"Salida alquiler")-SUMIFS(Movimientos!$F$2:$F$5000,Movimientos!$D$2:$D$5000,$A145,Movimientos!$C$2:$C$5000,"Retorno alquiler")-SUMIFS(Movimientos!$F$2:$F$5000,Movimientos!$D$2:$D$5000,$A145,Movimientos!$C$2:$C$5000,"Consumido en evento")-SUMIFS(Movimientos!$F$2:$F$5000,Movimientos!$D$2:$D$5000,$A145,Movimientos!$C$2:$C$5000,"A reparación")</f>
        <v>0</v>
      </c>
      <c r="R145" s="45">
        <f>SUMIFS(Movimientos!$F$2:$F$5000,Movimientos!$D$2:$D$5000,$A145,Movimientos!$C$2:$C$5000,"A reparación")-SUMIFS(Movimientos!$F$2:$F$5000,Movimientos!$D$2:$D$5000,$A145,Movimientos!$C$2:$C$5000,"Retorno reparación")-SUMIFS(Movimientos!$F$2:$F$5000,Movimientos!$D$2:$D$5000,$A145,Movimientos!$C$2:$C$5000,"Baja desde reparación")</f>
        <v>0</v>
      </c>
      <c r="S145" s="45">
        <f>P145-Q145-R145</f>
        <v>1</v>
      </c>
    </row>
    <row r="146" spans="1:19">
      <c r="A146" s="15" t="s">
        <v>749</v>
      </c>
      <c r="B146" s="15" t="s">
        <v>750</v>
      </c>
      <c r="C146" s="42" t="s">
        <v>751</v>
      </c>
      <c r="D146" s="15" t="s">
        <v>101</v>
      </c>
      <c r="E146" s="42" t="s">
        <v>752</v>
      </c>
      <c r="F146" s="43">
        <v>1</v>
      </c>
      <c r="G146" s="15" t="s">
        <v>753</v>
      </c>
      <c r="H146" s="44">
        <v>2</v>
      </c>
      <c r="I146" s="15" t="s">
        <v>104</v>
      </c>
      <c r="J146" s="15" t="s">
        <v>33</v>
      </c>
      <c r="K146" s="15" t="s">
        <v>35</v>
      </c>
      <c r="L146" s="15"/>
      <c r="M146" s="15" t="s">
        <v>38</v>
      </c>
      <c r="N146" s="15"/>
      <c r="O146" s="15"/>
      <c r="P146" s="45">
        <f>H146+SUMIFS(Movimientos!$F$2:$F$5000,Movimientos!$D$2:$D$5000,$A146,Movimientos!$C$2:$C$5000,"Ingreso inventario")+SUMIFS(Movimientos!$F$2:$F$5000,Movimientos!$D$2:$D$5000,$A146,Movimientos!$C$2:$C$5000,"Ajuste")-SUMIFS(Movimientos!$F$2:$F$5000,Movimientos!$D$2:$D$5000,$A146,Movimientos!$C$2:$C$5000,"Consumido en evento")-SUMIFS(Movimientos!$F$2:$F$5000,Movimientos!$D$2:$D$5000,$A146,Movimientos!$C$2:$C$5000,"Consumo interno")-SUMIFS(Movimientos!$F$2:$F$5000,Movimientos!$D$2:$D$5000,$A146,Movimientos!$C$2:$C$5000,"Baja")-SUMIFS(Movimientos!$F$2:$F$5000,Movimientos!$D$2:$D$5000,$A146,Movimientos!$C$2:$C$5000,"Baja desde reparación")</f>
        <v>2</v>
      </c>
      <c r="Q146" s="45">
        <f>SUMIFS(Movimientos!$F$2:$F$5000,Movimientos!$D$2:$D$5000,$A146,Movimientos!$C$2:$C$5000,"Salida alquiler")-SUMIFS(Movimientos!$F$2:$F$5000,Movimientos!$D$2:$D$5000,$A146,Movimientos!$C$2:$C$5000,"Retorno alquiler")-SUMIFS(Movimientos!$F$2:$F$5000,Movimientos!$D$2:$D$5000,$A146,Movimientos!$C$2:$C$5000,"Consumido en evento")-SUMIFS(Movimientos!$F$2:$F$5000,Movimientos!$D$2:$D$5000,$A146,Movimientos!$C$2:$C$5000,"A reparación")</f>
        <v>0</v>
      </c>
      <c r="R146" s="45">
        <f>SUMIFS(Movimientos!$F$2:$F$5000,Movimientos!$D$2:$D$5000,$A146,Movimientos!$C$2:$C$5000,"A reparación")-SUMIFS(Movimientos!$F$2:$F$5000,Movimientos!$D$2:$D$5000,$A146,Movimientos!$C$2:$C$5000,"Retorno reparación")-SUMIFS(Movimientos!$F$2:$F$5000,Movimientos!$D$2:$D$5000,$A146,Movimientos!$C$2:$C$5000,"Baja desde reparación")</f>
        <v>0</v>
      </c>
      <c r="S146" s="45">
        <f>P146-Q146-R146</f>
        <v>2</v>
      </c>
    </row>
    <row r="147" spans="1:19">
      <c r="A147" s="15" t="s">
        <v>754</v>
      </c>
      <c r="B147" s="15" t="s">
        <v>755</v>
      </c>
      <c r="C147" s="42" t="s">
        <v>756</v>
      </c>
      <c r="D147" s="15" t="s">
        <v>101</v>
      </c>
      <c r="E147" s="42" t="s">
        <v>757</v>
      </c>
      <c r="F147" s="43">
        <v>1</v>
      </c>
      <c r="G147" s="15" t="s">
        <v>528</v>
      </c>
      <c r="H147" s="44">
        <v>2</v>
      </c>
      <c r="I147" s="15" t="s">
        <v>104</v>
      </c>
      <c r="J147" s="15" t="s">
        <v>33</v>
      </c>
      <c r="K147" s="15" t="s">
        <v>35</v>
      </c>
      <c r="L147" s="15"/>
      <c r="M147" s="15" t="s">
        <v>38</v>
      </c>
      <c r="N147" s="15"/>
      <c r="O147" s="15"/>
      <c r="P147" s="45">
        <f>H147+SUMIFS(Movimientos!$F$2:$F$5000,Movimientos!$D$2:$D$5000,$A147,Movimientos!$C$2:$C$5000,"Ingreso inventario")+SUMIFS(Movimientos!$F$2:$F$5000,Movimientos!$D$2:$D$5000,$A147,Movimientos!$C$2:$C$5000,"Ajuste")-SUMIFS(Movimientos!$F$2:$F$5000,Movimientos!$D$2:$D$5000,$A147,Movimientos!$C$2:$C$5000,"Consumido en evento")-SUMIFS(Movimientos!$F$2:$F$5000,Movimientos!$D$2:$D$5000,$A147,Movimientos!$C$2:$C$5000,"Consumo interno")-SUMIFS(Movimientos!$F$2:$F$5000,Movimientos!$D$2:$D$5000,$A147,Movimientos!$C$2:$C$5000,"Baja")-SUMIFS(Movimientos!$F$2:$F$5000,Movimientos!$D$2:$D$5000,$A147,Movimientos!$C$2:$C$5000,"Baja desde reparación")</f>
        <v>2</v>
      </c>
      <c r="Q147" s="45">
        <f>SUMIFS(Movimientos!$F$2:$F$5000,Movimientos!$D$2:$D$5000,$A147,Movimientos!$C$2:$C$5000,"Salida alquiler")-SUMIFS(Movimientos!$F$2:$F$5000,Movimientos!$D$2:$D$5000,$A147,Movimientos!$C$2:$C$5000,"Retorno alquiler")-SUMIFS(Movimientos!$F$2:$F$5000,Movimientos!$D$2:$D$5000,$A147,Movimientos!$C$2:$C$5000,"Consumido en evento")-SUMIFS(Movimientos!$F$2:$F$5000,Movimientos!$D$2:$D$5000,$A147,Movimientos!$C$2:$C$5000,"A reparación")</f>
        <v>0</v>
      </c>
      <c r="R147" s="45">
        <f>SUMIFS(Movimientos!$F$2:$F$5000,Movimientos!$D$2:$D$5000,$A147,Movimientos!$C$2:$C$5000,"A reparación")-SUMIFS(Movimientos!$F$2:$F$5000,Movimientos!$D$2:$D$5000,$A147,Movimientos!$C$2:$C$5000,"Retorno reparación")-SUMIFS(Movimientos!$F$2:$F$5000,Movimientos!$D$2:$D$5000,$A147,Movimientos!$C$2:$C$5000,"Baja desde reparación")</f>
        <v>0</v>
      </c>
      <c r="S147" s="45">
        <f>P147-Q147-R147</f>
        <v>2</v>
      </c>
    </row>
    <row r="148" spans="1:19">
      <c r="A148" s="15" t="s">
        <v>758</v>
      </c>
      <c r="B148" s="15" t="s">
        <v>759</v>
      </c>
      <c r="C148" s="42" t="s">
        <v>760</v>
      </c>
      <c r="D148" s="15" t="s">
        <v>101</v>
      </c>
      <c r="E148" s="42" t="s">
        <v>761</v>
      </c>
      <c r="F148" s="43">
        <v>1</v>
      </c>
      <c r="G148" s="15" t="s">
        <v>528</v>
      </c>
      <c r="H148" s="44">
        <v>2</v>
      </c>
      <c r="I148" s="15" t="s">
        <v>104</v>
      </c>
      <c r="J148" s="15" t="s">
        <v>33</v>
      </c>
      <c r="K148" s="15" t="s">
        <v>35</v>
      </c>
      <c r="L148" s="15"/>
      <c r="M148" s="15" t="s">
        <v>38</v>
      </c>
      <c r="N148" s="15"/>
      <c r="O148" s="15"/>
      <c r="P148" s="45">
        <f>H148+SUMIFS(Movimientos!$F$2:$F$5000,Movimientos!$D$2:$D$5000,$A148,Movimientos!$C$2:$C$5000,"Ingreso inventario")+SUMIFS(Movimientos!$F$2:$F$5000,Movimientos!$D$2:$D$5000,$A148,Movimientos!$C$2:$C$5000,"Ajuste")-SUMIFS(Movimientos!$F$2:$F$5000,Movimientos!$D$2:$D$5000,$A148,Movimientos!$C$2:$C$5000,"Consumido en evento")-SUMIFS(Movimientos!$F$2:$F$5000,Movimientos!$D$2:$D$5000,$A148,Movimientos!$C$2:$C$5000,"Consumo interno")-SUMIFS(Movimientos!$F$2:$F$5000,Movimientos!$D$2:$D$5000,$A148,Movimientos!$C$2:$C$5000,"Baja")-SUMIFS(Movimientos!$F$2:$F$5000,Movimientos!$D$2:$D$5000,$A148,Movimientos!$C$2:$C$5000,"Baja desde reparación")</f>
        <v>2</v>
      </c>
      <c r="Q148" s="45">
        <f>SUMIFS(Movimientos!$F$2:$F$5000,Movimientos!$D$2:$D$5000,$A148,Movimientos!$C$2:$C$5000,"Salida alquiler")-SUMIFS(Movimientos!$F$2:$F$5000,Movimientos!$D$2:$D$5000,$A148,Movimientos!$C$2:$C$5000,"Retorno alquiler")-SUMIFS(Movimientos!$F$2:$F$5000,Movimientos!$D$2:$D$5000,$A148,Movimientos!$C$2:$C$5000,"Consumido en evento")-SUMIFS(Movimientos!$F$2:$F$5000,Movimientos!$D$2:$D$5000,$A148,Movimientos!$C$2:$C$5000,"A reparación")</f>
        <v>0</v>
      </c>
      <c r="R148" s="45">
        <f>SUMIFS(Movimientos!$F$2:$F$5000,Movimientos!$D$2:$D$5000,$A148,Movimientos!$C$2:$C$5000,"A reparación")-SUMIFS(Movimientos!$F$2:$F$5000,Movimientos!$D$2:$D$5000,$A148,Movimientos!$C$2:$C$5000,"Retorno reparación")-SUMIFS(Movimientos!$F$2:$F$5000,Movimientos!$D$2:$D$5000,$A148,Movimientos!$C$2:$C$5000,"Baja desde reparación")</f>
        <v>0</v>
      </c>
      <c r="S148" s="45">
        <f>P148-Q148-R148</f>
        <v>2</v>
      </c>
    </row>
    <row r="149" spans="1:19">
      <c r="A149" s="15" t="s">
        <v>762</v>
      </c>
      <c r="B149" s="15" t="s">
        <v>763</v>
      </c>
      <c r="C149" s="42" t="s">
        <v>764</v>
      </c>
      <c r="D149" s="15" t="s">
        <v>101</v>
      </c>
      <c r="E149" s="42" t="s">
        <v>765</v>
      </c>
      <c r="F149" s="43">
        <v>1</v>
      </c>
      <c r="G149" s="15" t="s">
        <v>528</v>
      </c>
      <c r="H149" s="44">
        <v>4</v>
      </c>
      <c r="I149" s="15" t="s">
        <v>104</v>
      </c>
      <c r="J149" s="15" t="s">
        <v>33</v>
      </c>
      <c r="K149" s="15" t="s">
        <v>35</v>
      </c>
      <c r="L149" s="15"/>
      <c r="M149" s="15" t="s">
        <v>38</v>
      </c>
      <c r="N149" s="15"/>
      <c r="O149" s="15"/>
      <c r="P149" s="45">
        <f>H149+SUMIFS(Movimientos!$F$2:$F$5000,Movimientos!$D$2:$D$5000,$A149,Movimientos!$C$2:$C$5000,"Ingreso inventario")+SUMIFS(Movimientos!$F$2:$F$5000,Movimientos!$D$2:$D$5000,$A149,Movimientos!$C$2:$C$5000,"Ajuste")-SUMIFS(Movimientos!$F$2:$F$5000,Movimientos!$D$2:$D$5000,$A149,Movimientos!$C$2:$C$5000,"Consumido en evento")-SUMIFS(Movimientos!$F$2:$F$5000,Movimientos!$D$2:$D$5000,$A149,Movimientos!$C$2:$C$5000,"Consumo interno")-SUMIFS(Movimientos!$F$2:$F$5000,Movimientos!$D$2:$D$5000,$A149,Movimientos!$C$2:$C$5000,"Baja")-SUMIFS(Movimientos!$F$2:$F$5000,Movimientos!$D$2:$D$5000,$A149,Movimientos!$C$2:$C$5000,"Baja desde reparación")</f>
        <v>4</v>
      </c>
      <c r="Q149" s="45">
        <f>SUMIFS(Movimientos!$F$2:$F$5000,Movimientos!$D$2:$D$5000,$A149,Movimientos!$C$2:$C$5000,"Salida alquiler")-SUMIFS(Movimientos!$F$2:$F$5000,Movimientos!$D$2:$D$5000,$A149,Movimientos!$C$2:$C$5000,"Retorno alquiler")-SUMIFS(Movimientos!$F$2:$F$5000,Movimientos!$D$2:$D$5000,$A149,Movimientos!$C$2:$C$5000,"Consumido en evento")-SUMIFS(Movimientos!$F$2:$F$5000,Movimientos!$D$2:$D$5000,$A149,Movimientos!$C$2:$C$5000,"A reparación")</f>
        <v>0</v>
      </c>
      <c r="R149" s="45">
        <f>SUMIFS(Movimientos!$F$2:$F$5000,Movimientos!$D$2:$D$5000,$A149,Movimientos!$C$2:$C$5000,"A reparación")-SUMIFS(Movimientos!$F$2:$F$5000,Movimientos!$D$2:$D$5000,$A149,Movimientos!$C$2:$C$5000,"Retorno reparación")-SUMIFS(Movimientos!$F$2:$F$5000,Movimientos!$D$2:$D$5000,$A149,Movimientos!$C$2:$C$5000,"Baja desde reparación")</f>
        <v>0</v>
      </c>
      <c r="S149" s="45">
        <f>P149-Q149-R149</f>
        <v>4</v>
      </c>
    </row>
    <row r="150" spans="1:19">
      <c r="A150" s="15" t="s">
        <v>766</v>
      </c>
      <c r="B150" s="15" t="s">
        <v>767</v>
      </c>
      <c r="C150" s="42" t="s">
        <v>768</v>
      </c>
      <c r="D150" s="15" t="s">
        <v>101</v>
      </c>
      <c r="E150" s="42" t="s">
        <v>769</v>
      </c>
      <c r="F150" s="43">
        <v>1</v>
      </c>
      <c r="G150" s="15" t="s">
        <v>528</v>
      </c>
      <c r="H150" s="44">
        <v>4</v>
      </c>
      <c r="I150" s="15" t="s">
        <v>104</v>
      </c>
      <c r="J150" s="15" t="s">
        <v>33</v>
      </c>
      <c r="K150" s="15" t="s">
        <v>35</v>
      </c>
      <c r="L150" s="15" t="s">
        <v>770</v>
      </c>
      <c r="M150" s="15" t="s">
        <v>38</v>
      </c>
      <c r="N150" s="15"/>
      <c r="O150" s="15"/>
      <c r="P150" s="45">
        <f>H150+SUMIFS(Movimientos!$F$2:$F$5000,Movimientos!$D$2:$D$5000,$A150,Movimientos!$C$2:$C$5000,"Ingreso inventario")+SUMIFS(Movimientos!$F$2:$F$5000,Movimientos!$D$2:$D$5000,$A150,Movimientos!$C$2:$C$5000,"Ajuste")-SUMIFS(Movimientos!$F$2:$F$5000,Movimientos!$D$2:$D$5000,$A150,Movimientos!$C$2:$C$5000,"Consumido en evento")-SUMIFS(Movimientos!$F$2:$F$5000,Movimientos!$D$2:$D$5000,$A150,Movimientos!$C$2:$C$5000,"Consumo interno")-SUMIFS(Movimientos!$F$2:$F$5000,Movimientos!$D$2:$D$5000,$A150,Movimientos!$C$2:$C$5000,"Baja")-SUMIFS(Movimientos!$F$2:$F$5000,Movimientos!$D$2:$D$5000,$A150,Movimientos!$C$2:$C$5000,"Baja desde reparación")</f>
        <v>4</v>
      </c>
      <c r="Q150" s="45">
        <f>SUMIFS(Movimientos!$F$2:$F$5000,Movimientos!$D$2:$D$5000,$A150,Movimientos!$C$2:$C$5000,"Salida alquiler")-SUMIFS(Movimientos!$F$2:$F$5000,Movimientos!$D$2:$D$5000,$A150,Movimientos!$C$2:$C$5000,"Retorno alquiler")-SUMIFS(Movimientos!$F$2:$F$5000,Movimientos!$D$2:$D$5000,$A150,Movimientos!$C$2:$C$5000,"Consumido en evento")-SUMIFS(Movimientos!$F$2:$F$5000,Movimientos!$D$2:$D$5000,$A150,Movimientos!$C$2:$C$5000,"A reparación")</f>
        <v>0</v>
      </c>
      <c r="R150" s="45">
        <f>SUMIFS(Movimientos!$F$2:$F$5000,Movimientos!$D$2:$D$5000,$A150,Movimientos!$C$2:$C$5000,"A reparación")-SUMIFS(Movimientos!$F$2:$F$5000,Movimientos!$D$2:$D$5000,$A150,Movimientos!$C$2:$C$5000,"Retorno reparación")-SUMIFS(Movimientos!$F$2:$F$5000,Movimientos!$D$2:$D$5000,$A150,Movimientos!$C$2:$C$5000,"Baja desde reparación")</f>
        <v>0</v>
      </c>
      <c r="S150" s="45">
        <f>P150-Q150-R150</f>
        <v>4</v>
      </c>
    </row>
    <row r="151" spans="1:19">
      <c r="A151" s="15" t="s">
        <v>771</v>
      </c>
      <c r="B151" s="15" t="s">
        <v>772</v>
      </c>
      <c r="C151" s="42" t="s">
        <v>773</v>
      </c>
      <c r="D151" s="15" t="s">
        <v>101</v>
      </c>
      <c r="E151" s="42" t="s">
        <v>774</v>
      </c>
      <c r="F151" s="43">
        <v>1</v>
      </c>
      <c r="G151" s="15" t="s">
        <v>507</v>
      </c>
      <c r="H151" s="44">
        <v>4</v>
      </c>
      <c r="I151" s="15" t="s">
        <v>104</v>
      </c>
      <c r="J151" s="15" t="s">
        <v>33</v>
      </c>
      <c r="K151" s="15" t="s">
        <v>35</v>
      </c>
      <c r="L151" s="15"/>
      <c r="M151" s="15" t="s">
        <v>38</v>
      </c>
      <c r="N151" s="15"/>
      <c r="O151" s="15"/>
      <c r="P151" s="45">
        <f>H151+SUMIFS(Movimientos!$F$2:$F$5000,Movimientos!$D$2:$D$5000,$A151,Movimientos!$C$2:$C$5000,"Ingreso inventario")+SUMIFS(Movimientos!$F$2:$F$5000,Movimientos!$D$2:$D$5000,$A151,Movimientos!$C$2:$C$5000,"Ajuste")-SUMIFS(Movimientos!$F$2:$F$5000,Movimientos!$D$2:$D$5000,$A151,Movimientos!$C$2:$C$5000,"Consumido en evento")-SUMIFS(Movimientos!$F$2:$F$5000,Movimientos!$D$2:$D$5000,$A151,Movimientos!$C$2:$C$5000,"Consumo interno")-SUMIFS(Movimientos!$F$2:$F$5000,Movimientos!$D$2:$D$5000,$A151,Movimientos!$C$2:$C$5000,"Baja")-SUMIFS(Movimientos!$F$2:$F$5000,Movimientos!$D$2:$D$5000,$A151,Movimientos!$C$2:$C$5000,"Baja desde reparación")</f>
        <v>4</v>
      </c>
      <c r="Q151" s="45">
        <f>SUMIFS(Movimientos!$F$2:$F$5000,Movimientos!$D$2:$D$5000,$A151,Movimientos!$C$2:$C$5000,"Salida alquiler")-SUMIFS(Movimientos!$F$2:$F$5000,Movimientos!$D$2:$D$5000,$A151,Movimientos!$C$2:$C$5000,"Retorno alquiler")-SUMIFS(Movimientos!$F$2:$F$5000,Movimientos!$D$2:$D$5000,$A151,Movimientos!$C$2:$C$5000,"Consumido en evento")-SUMIFS(Movimientos!$F$2:$F$5000,Movimientos!$D$2:$D$5000,$A151,Movimientos!$C$2:$C$5000,"A reparación")</f>
        <v>0</v>
      </c>
      <c r="R151" s="45">
        <f>SUMIFS(Movimientos!$F$2:$F$5000,Movimientos!$D$2:$D$5000,$A151,Movimientos!$C$2:$C$5000,"A reparación")-SUMIFS(Movimientos!$F$2:$F$5000,Movimientos!$D$2:$D$5000,$A151,Movimientos!$C$2:$C$5000,"Retorno reparación")-SUMIFS(Movimientos!$F$2:$F$5000,Movimientos!$D$2:$D$5000,$A151,Movimientos!$C$2:$C$5000,"Baja desde reparación")</f>
        <v>0</v>
      </c>
      <c r="S151" s="45">
        <f>P151-Q151-R151</f>
        <v>4</v>
      </c>
    </row>
    <row r="152" spans="1:19">
      <c r="A152" s="15" t="s">
        <v>775</v>
      </c>
      <c r="B152" s="15" t="s">
        <v>776</v>
      </c>
      <c r="C152" s="42" t="s">
        <v>777</v>
      </c>
      <c r="D152" s="15" t="s">
        <v>101</v>
      </c>
      <c r="E152" s="42" t="s">
        <v>778</v>
      </c>
      <c r="F152" s="43">
        <v>1</v>
      </c>
      <c r="G152" s="15" t="s">
        <v>507</v>
      </c>
      <c r="H152" s="44">
        <v>1</v>
      </c>
      <c r="I152" s="15" t="s">
        <v>104</v>
      </c>
      <c r="J152" s="15" t="s">
        <v>33</v>
      </c>
      <c r="K152" s="15" t="s">
        <v>35</v>
      </c>
      <c r="L152" s="15"/>
      <c r="M152" s="15" t="s">
        <v>38</v>
      </c>
      <c r="N152" s="15"/>
      <c r="O152" s="15"/>
      <c r="P152" s="45">
        <f>H152+SUMIFS(Movimientos!$F$2:$F$5000,Movimientos!$D$2:$D$5000,$A152,Movimientos!$C$2:$C$5000,"Ingreso inventario")+SUMIFS(Movimientos!$F$2:$F$5000,Movimientos!$D$2:$D$5000,$A152,Movimientos!$C$2:$C$5000,"Ajuste")-SUMIFS(Movimientos!$F$2:$F$5000,Movimientos!$D$2:$D$5000,$A152,Movimientos!$C$2:$C$5000,"Consumido en evento")-SUMIFS(Movimientos!$F$2:$F$5000,Movimientos!$D$2:$D$5000,$A152,Movimientos!$C$2:$C$5000,"Consumo interno")-SUMIFS(Movimientos!$F$2:$F$5000,Movimientos!$D$2:$D$5000,$A152,Movimientos!$C$2:$C$5000,"Baja")-SUMIFS(Movimientos!$F$2:$F$5000,Movimientos!$D$2:$D$5000,$A152,Movimientos!$C$2:$C$5000,"Baja desde reparación")</f>
        <v>1</v>
      </c>
      <c r="Q152" s="45">
        <f>SUMIFS(Movimientos!$F$2:$F$5000,Movimientos!$D$2:$D$5000,$A152,Movimientos!$C$2:$C$5000,"Salida alquiler")-SUMIFS(Movimientos!$F$2:$F$5000,Movimientos!$D$2:$D$5000,$A152,Movimientos!$C$2:$C$5000,"Retorno alquiler")-SUMIFS(Movimientos!$F$2:$F$5000,Movimientos!$D$2:$D$5000,$A152,Movimientos!$C$2:$C$5000,"Consumido en evento")-SUMIFS(Movimientos!$F$2:$F$5000,Movimientos!$D$2:$D$5000,$A152,Movimientos!$C$2:$C$5000,"A reparación")</f>
        <v>0</v>
      </c>
      <c r="R152" s="45">
        <f>SUMIFS(Movimientos!$F$2:$F$5000,Movimientos!$D$2:$D$5000,$A152,Movimientos!$C$2:$C$5000,"A reparación")-SUMIFS(Movimientos!$F$2:$F$5000,Movimientos!$D$2:$D$5000,$A152,Movimientos!$C$2:$C$5000,"Retorno reparación")-SUMIFS(Movimientos!$F$2:$F$5000,Movimientos!$D$2:$D$5000,$A152,Movimientos!$C$2:$C$5000,"Baja desde reparación")</f>
        <v>0</v>
      </c>
      <c r="S152" s="45">
        <f>P152-Q152-R152</f>
        <v>1</v>
      </c>
    </row>
    <row r="153" spans="1:19">
      <c r="A153" s="15" t="s">
        <v>779</v>
      </c>
      <c r="B153" s="15" t="s">
        <v>780</v>
      </c>
      <c r="C153" s="42" t="s">
        <v>781</v>
      </c>
      <c r="D153" s="15" t="s">
        <v>101</v>
      </c>
      <c r="E153" s="42" t="s">
        <v>782</v>
      </c>
      <c r="F153" s="43">
        <v>1</v>
      </c>
      <c r="G153" s="15" t="s">
        <v>380</v>
      </c>
      <c r="H153" s="44">
        <v>39</v>
      </c>
      <c r="I153" s="15" t="s">
        <v>104</v>
      </c>
      <c r="J153" s="15" t="s">
        <v>33</v>
      </c>
      <c r="K153" s="15" t="s">
        <v>35</v>
      </c>
      <c r="L153" s="15"/>
      <c r="M153" s="15" t="s">
        <v>38</v>
      </c>
      <c r="N153" s="15"/>
      <c r="O153" s="15"/>
      <c r="P153" s="45">
        <f>H153+SUMIFS(Movimientos!$F$2:$F$5000,Movimientos!$D$2:$D$5000,$A153,Movimientos!$C$2:$C$5000,"Ingreso inventario")+SUMIFS(Movimientos!$F$2:$F$5000,Movimientos!$D$2:$D$5000,$A153,Movimientos!$C$2:$C$5000,"Ajuste")-SUMIFS(Movimientos!$F$2:$F$5000,Movimientos!$D$2:$D$5000,$A153,Movimientos!$C$2:$C$5000,"Consumido en evento")-SUMIFS(Movimientos!$F$2:$F$5000,Movimientos!$D$2:$D$5000,$A153,Movimientos!$C$2:$C$5000,"Consumo interno")-SUMIFS(Movimientos!$F$2:$F$5000,Movimientos!$D$2:$D$5000,$A153,Movimientos!$C$2:$C$5000,"Baja")-SUMIFS(Movimientos!$F$2:$F$5000,Movimientos!$D$2:$D$5000,$A153,Movimientos!$C$2:$C$5000,"Baja desde reparación")</f>
        <v>39</v>
      </c>
      <c r="Q153" s="45">
        <f>SUMIFS(Movimientos!$F$2:$F$5000,Movimientos!$D$2:$D$5000,$A153,Movimientos!$C$2:$C$5000,"Salida alquiler")-SUMIFS(Movimientos!$F$2:$F$5000,Movimientos!$D$2:$D$5000,$A153,Movimientos!$C$2:$C$5000,"Retorno alquiler")-SUMIFS(Movimientos!$F$2:$F$5000,Movimientos!$D$2:$D$5000,$A153,Movimientos!$C$2:$C$5000,"Consumido en evento")-SUMIFS(Movimientos!$F$2:$F$5000,Movimientos!$D$2:$D$5000,$A153,Movimientos!$C$2:$C$5000,"A reparación")</f>
        <v>0</v>
      </c>
      <c r="R153" s="45">
        <f>SUMIFS(Movimientos!$F$2:$F$5000,Movimientos!$D$2:$D$5000,$A153,Movimientos!$C$2:$C$5000,"A reparación")-SUMIFS(Movimientos!$F$2:$F$5000,Movimientos!$D$2:$D$5000,$A153,Movimientos!$C$2:$C$5000,"Retorno reparación")-SUMIFS(Movimientos!$F$2:$F$5000,Movimientos!$D$2:$D$5000,$A153,Movimientos!$C$2:$C$5000,"Baja desde reparación")</f>
        <v>0</v>
      </c>
      <c r="S153" s="45">
        <f>P153-Q153-R153</f>
        <v>39</v>
      </c>
    </row>
    <row r="154" spans="1:19">
      <c r="A154" s="15" t="s">
        <v>783</v>
      </c>
      <c r="B154" s="15" t="s">
        <v>784</v>
      </c>
      <c r="C154" s="42" t="s">
        <v>785</v>
      </c>
      <c r="D154" s="15" t="s">
        <v>101</v>
      </c>
      <c r="E154" s="42" t="s">
        <v>786</v>
      </c>
      <c r="F154" s="43">
        <v>1</v>
      </c>
      <c r="G154" s="15" t="s">
        <v>380</v>
      </c>
      <c r="H154" s="44">
        <v>47</v>
      </c>
      <c r="I154" s="15" t="s">
        <v>104</v>
      </c>
      <c r="J154" s="15" t="s">
        <v>33</v>
      </c>
      <c r="K154" s="15" t="s">
        <v>35</v>
      </c>
      <c r="L154" s="15" t="s">
        <v>787</v>
      </c>
      <c r="M154" s="15" t="s">
        <v>38</v>
      </c>
      <c r="N154" s="15"/>
      <c r="O154" s="15"/>
      <c r="P154" s="45">
        <f>H154+SUMIFS(Movimientos!$F$2:$F$5000,Movimientos!$D$2:$D$5000,$A154,Movimientos!$C$2:$C$5000,"Ingreso inventario")+SUMIFS(Movimientos!$F$2:$F$5000,Movimientos!$D$2:$D$5000,$A154,Movimientos!$C$2:$C$5000,"Ajuste")-SUMIFS(Movimientos!$F$2:$F$5000,Movimientos!$D$2:$D$5000,$A154,Movimientos!$C$2:$C$5000,"Consumido en evento")-SUMIFS(Movimientos!$F$2:$F$5000,Movimientos!$D$2:$D$5000,$A154,Movimientos!$C$2:$C$5000,"Consumo interno")-SUMIFS(Movimientos!$F$2:$F$5000,Movimientos!$D$2:$D$5000,$A154,Movimientos!$C$2:$C$5000,"Baja")-SUMIFS(Movimientos!$F$2:$F$5000,Movimientos!$D$2:$D$5000,$A154,Movimientos!$C$2:$C$5000,"Baja desde reparación")</f>
        <v>47</v>
      </c>
      <c r="Q154" s="45">
        <f>SUMIFS(Movimientos!$F$2:$F$5000,Movimientos!$D$2:$D$5000,$A154,Movimientos!$C$2:$C$5000,"Salida alquiler")-SUMIFS(Movimientos!$F$2:$F$5000,Movimientos!$D$2:$D$5000,$A154,Movimientos!$C$2:$C$5000,"Retorno alquiler")-SUMIFS(Movimientos!$F$2:$F$5000,Movimientos!$D$2:$D$5000,$A154,Movimientos!$C$2:$C$5000,"Consumido en evento")-SUMIFS(Movimientos!$F$2:$F$5000,Movimientos!$D$2:$D$5000,$A154,Movimientos!$C$2:$C$5000,"A reparación")</f>
        <v>0</v>
      </c>
      <c r="R154" s="45">
        <f>SUMIFS(Movimientos!$F$2:$F$5000,Movimientos!$D$2:$D$5000,$A154,Movimientos!$C$2:$C$5000,"A reparación")-SUMIFS(Movimientos!$F$2:$F$5000,Movimientos!$D$2:$D$5000,$A154,Movimientos!$C$2:$C$5000,"Retorno reparación")-SUMIFS(Movimientos!$F$2:$F$5000,Movimientos!$D$2:$D$5000,$A154,Movimientos!$C$2:$C$5000,"Baja desde reparación")</f>
        <v>0</v>
      </c>
      <c r="S154" s="45">
        <f>P154-Q154-R154</f>
        <v>47</v>
      </c>
    </row>
    <row r="155" spans="1:19">
      <c r="A155" s="15" t="s">
        <v>788</v>
      </c>
      <c r="B155" s="15" t="s">
        <v>789</v>
      </c>
      <c r="C155" s="42" t="s">
        <v>790</v>
      </c>
      <c r="D155" s="15" t="s">
        <v>101</v>
      </c>
      <c r="E155" s="42" t="s">
        <v>791</v>
      </c>
      <c r="F155" s="43">
        <v>1</v>
      </c>
      <c r="G155" s="15" t="s">
        <v>163</v>
      </c>
      <c r="H155" s="44">
        <v>4</v>
      </c>
      <c r="I155" s="15" t="s">
        <v>104</v>
      </c>
      <c r="J155" s="15" t="s">
        <v>33</v>
      </c>
      <c r="K155" s="15" t="s">
        <v>35</v>
      </c>
      <c r="L155" s="15" t="s">
        <v>792</v>
      </c>
      <c r="M155" s="15" t="s">
        <v>38</v>
      </c>
      <c r="N155" s="15"/>
      <c r="O155" s="15"/>
      <c r="P155" s="45">
        <f>H155+SUMIFS(Movimientos!$F$2:$F$5000,Movimientos!$D$2:$D$5000,$A155,Movimientos!$C$2:$C$5000,"Ingreso inventario")+SUMIFS(Movimientos!$F$2:$F$5000,Movimientos!$D$2:$D$5000,$A155,Movimientos!$C$2:$C$5000,"Ajuste")-SUMIFS(Movimientos!$F$2:$F$5000,Movimientos!$D$2:$D$5000,$A155,Movimientos!$C$2:$C$5000,"Consumido en evento")-SUMIFS(Movimientos!$F$2:$F$5000,Movimientos!$D$2:$D$5000,$A155,Movimientos!$C$2:$C$5000,"Consumo interno")-SUMIFS(Movimientos!$F$2:$F$5000,Movimientos!$D$2:$D$5000,$A155,Movimientos!$C$2:$C$5000,"Baja")-SUMIFS(Movimientos!$F$2:$F$5000,Movimientos!$D$2:$D$5000,$A155,Movimientos!$C$2:$C$5000,"Baja desde reparación")</f>
        <v>4</v>
      </c>
      <c r="Q155" s="45">
        <f>SUMIFS(Movimientos!$F$2:$F$5000,Movimientos!$D$2:$D$5000,$A155,Movimientos!$C$2:$C$5000,"Salida alquiler")-SUMIFS(Movimientos!$F$2:$F$5000,Movimientos!$D$2:$D$5000,$A155,Movimientos!$C$2:$C$5000,"Retorno alquiler")-SUMIFS(Movimientos!$F$2:$F$5000,Movimientos!$D$2:$D$5000,$A155,Movimientos!$C$2:$C$5000,"Consumido en evento")-SUMIFS(Movimientos!$F$2:$F$5000,Movimientos!$D$2:$D$5000,$A155,Movimientos!$C$2:$C$5000,"A reparación")</f>
        <v>0</v>
      </c>
      <c r="R155" s="45">
        <f>SUMIFS(Movimientos!$F$2:$F$5000,Movimientos!$D$2:$D$5000,$A155,Movimientos!$C$2:$C$5000,"A reparación")-SUMIFS(Movimientos!$F$2:$F$5000,Movimientos!$D$2:$D$5000,$A155,Movimientos!$C$2:$C$5000,"Retorno reparación")-SUMIFS(Movimientos!$F$2:$F$5000,Movimientos!$D$2:$D$5000,$A155,Movimientos!$C$2:$C$5000,"Baja desde reparación")</f>
        <v>0</v>
      </c>
      <c r="S155" s="45">
        <f>P155-Q155-R155</f>
        <v>4</v>
      </c>
    </row>
    <row r="156" spans="1:19">
      <c r="A156" s="15" t="s">
        <v>793</v>
      </c>
      <c r="B156" s="15" t="s">
        <v>794</v>
      </c>
      <c r="C156" s="42" t="s">
        <v>795</v>
      </c>
      <c r="D156" s="15" t="s">
        <v>101</v>
      </c>
      <c r="E156" s="42" t="s">
        <v>796</v>
      </c>
      <c r="F156" s="43">
        <v>1</v>
      </c>
      <c r="G156" s="15" t="s">
        <v>554</v>
      </c>
      <c r="H156" s="44">
        <v>4</v>
      </c>
      <c r="I156" s="15" t="s">
        <v>104</v>
      </c>
      <c r="J156" s="15" t="s">
        <v>33</v>
      </c>
      <c r="K156" s="15" t="s">
        <v>35</v>
      </c>
      <c r="L156" s="15" t="s">
        <v>797</v>
      </c>
      <c r="M156" s="15" t="s">
        <v>38</v>
      </c>
      <c r="N156" s="15"/>
      <c r="O156" s="15"/>
      <c r="P156" s="45">
        <f>H156+SUMIFS(Movimientos!$F$2:$F$5000,Movimientos!$D$2:$D$5000,$A156,Movimientos!$C$2:$C$5000,"Ingreso inventario")+SUMIFS(Movimientos!$F$2:$F$5000,Movimientos!$D$2:$D$5000,$A156,Movimientos!$C$2:$C$5000,"Ajuste")-SUMIFS(Movimientos!$F$2:$F$5000,Movimientos!$D$2:$D$5000,$A156,Movimientos!$C$2:$C$5000,"Consumido en evento")-SUMIFS(Movimientos!$F$2:$F$5000,Movimientos!$D$2:$D$5000,$A156,Movimientos!$C$2:$C$5000,"Consumo interno")-SUMIFS(Movimientos!$F$2:$F$5000,Movimientos!$D$2:$D$5000,$A156,Movimientos!$C$2:$C$5000,"Baja")-SUMIFS(Movimientos!$F$2:$F$5000,Movimientos!$D$2:$D$5000,$A156,Movimientos!$C$2:$C$5000,"Baja desde reparación")</f>
        <v>4</v>
      </c>
      <c r="Q156" s="45">
        <f>SUMIFS(Movimientos!$F$2:$F$5000,Movimientos!$D$2:$D$5000,$A156,Movimientos!$C$2:$C$5000,"Salida alquiler")-SUMIFS(Movimientos!$F$2:$F$5000,Movimientos!$D$2:$D$5000,$A156,Movimientos!$C$2:$C$5000,"Retorno alquiler")-SUMIFS(Movimientos!$F$2:$F$5000,Movimientos!$D$2:$D$5000,$A156,Movimientos!$C$2:$C$5000,"Consumido en evento")-SUMIFS(Movimientos!$F$2:$F$5000,Movimientos!$D$2:$D$5000,$A156,Movimientos!$C$2:$C$5000,"A reparación")</f>
        <v>0</v>
      </c>
      <c r="R156" s="45">
        <f>SUMIFS(Movimientos!$F$2:$F$5000,Movimientos!$D$2:$D$5000,$A156,Movimientos!$C$2:$C$5000,"A reparación")-SUMIFS(Movimientos!$F$2:$F$5000,Movimientos!$D$2:$D$5000,$A156,Movimientos!$C$2:$C$5000,"Retorno reparación")-SUMIFS(Movimientos!$F$2:$F$5000,Movimientos!$D$2:$D$5000,$A156,Movimientos!$C$2:$C$5000,"Baja desde reparación")</f>
        <v>0</v>
      </c>
      <c r="S156" s="45">
        <f>P156-Q156-R156</f>
        <v>4</v>
      </c>
    </row>
    <row r="157" spans="1:19">
      <c r="A157" s="15" t="s">
        <v>798</v>
      </c>
      <c r="B157" s="15" t="s">
        <v>799</v>
      </c>
      <c r="C157" s="42" t="s">
        <v>800</v>
      </c>
      <c r="D157" s="15" t="s">
        <v>101</v>
      </c>
      <c r="E157" s="42" t="s">
        <v>801</v>
      </c>
      <c r="F157" s="43">
        <v>1</v>
      </c>
      <c r="G157" s="15" t="s">
        <v>507</v>
      </c>
      <c r="H157" s="44">
        <v>1</v>
      </c>
      <c r="I157" s="15" t="s">
        <v>104</v>
      </c>
      <c r="J157" s="15" t="s">
        <v>33</v>
      </c>
      <c r="K157" s="15" t="s">
        <v>35</v>
      </c>
      <c r="L157" s="15"/>
      <c r="M157" s="15" t="s">
        <v>38</v>
      </c>
      <c r="N157" s="15"/>
      <c r="O157" s="15"/>
      <c r="P157" s="45">
        <f>H157+SUMIFS(Movimientos!$F$2:$F$5000,Movimientos!$D$2:$D$5000,$A157,Movimientos!$C$2:$C$5000,"Ingreso inventario")+SUMIFS(Movimientos!$F$2:$F$5000,Movimientos!$D$2:$D$5000,$A157,Movimientos!$C$2:$C$5000,"Ajuste")-SUMIFS(Movimientos!$F$2:$F$5000,Movimientos!$D$2:$D$5000,$A157,Movimientos!$C$2:$C$5000,"Consumido en evento")-SUMIFS(Movimientos!$F$2:$F$5000,Movimientos!$D$2:$D$5000,$A157,Movimientos!$C$2:$C$5000,"Consumo interno")-SUMIFS(Movimientos!$F$2:$F$5000,Movimientos!$D$2:$D$5000,$A157,Movimientos!$C$2:$C$5000,"Baja")-SUMIFS(Movimientos!$F$2:$F$5000,Movimientos!$D$2:$D$5000,$A157,Movimientos!$C$2:$C$5000,"Baja desde reparación")</f>
        <v>1</v>
      </c>
      <c r="Q157" s="45">
        <f>SUMIFS(Movimientos!$F$2:$F$5000,Movimientos!$D$2:$D$5000,$A157,Movimientos!$C$2:$C$5000,"Salida alquiler")-SUMIFS(Movimientos!$F$2:$F$5000,Movimientos!$D$2:$D$5000,$A157,Movimientos!$C$2:$C$5000,"Retorno alquiler")-SUMIFS(Movimientos!$F$2:$F$5000,Movimientos!$D$2:$D$5000,$A157,Movimientos!$C$2:$C$5000,"Consumido en evento")-SUMIFS(Movimientos!$F$2:$F$5000,Movimientos!$D$2:$D$5000,$A157,Movimientos!$C$2:$C$5000,"A reparación")</f>
        <v>0</v>
      </c>
      <c r="R157" s="45">
        <f>SUMIFS(Movimientos!$F$2:$F$5000,Movimientos!$D$2:$D$5000,$A157,Movimientos!$C$2:$C$5000,"A reparación")-SUMIFS(Movimientos!$F$2:$F$5000,Movimientos!$D$2:$D$5000,$A157,Movimientos!$C$2:$C$5000,"Retorno reparación")-SUMIFS(Movimientos!$F$2:$F$5000,Movimientos!$D$2:$D$5000,$A157,Movimientos!$C$2:$C$5000,"Baja desde reparación")</f>
        <v>0</v>
      </c>
      <c r="S157" s="45">
        <f>P157-Q157-R157</f>
        <v>1</v>
      </c>
    </row>
    <row r="158" spans="1:19">
      <c r="A158" s="15" t="s">
        <v>802</v>
      </c>
      <c r="B158" s="15" t="s">
        <v>803</v>
      </c>
      <c r="C158" s="42" t="s">
        <v>804</v>
      </c>
      <c r="D158" s="15" t="s">
        <v>101</v>
      </c>
      <c r="E158" s="42" t="s">
        <v>805</v>
      </c>
      <c r="F158" s="43">
        <v>1</v>
      </c>
      <c r="G158" s="15" t="s">
        <v>507</v>
      </c>
      <c r="H158" s="44">
        <v>1</v>
      </c>
      <c r="I158" s="15" t="s">
        <v>104</v>
      </c>
      <c r="J158" s="15" t="s">
        <v>33</v>
      </c>
      <c r="K158" s="15" t="s">
        <v>35</v>
      </c>
      <c r="L158" s="15"/>
      <c r="M158" s="15" t="s">
        <v>38</v>
      </c>
      <c r="N158" s="15"/>
      <c r="O158" s="15"/>
      <c r="P158" s="45">
        <f>H158+SUMIFS(Movimientos!$F$2:$F$5000,Movimientos!$D$2:$D$5000,$A158,Movimientos!$C$2:$C$5000,"Ingreso inventario")+SUMIFS(Movimientos!$F$2:$F$5000,Movimientos!$D$2:$D$5000,$A158,Movimientos!$C$2:$C$5000,"Ajuste")-SUMIFS(Movimientos!$F$2:$F$5000,Movimientos!$D$2:$D$5000,$A158,Movimientos!$C$2:$C$5000,"Consumido en evento")-SUMIFS(Movimientos!$F$2:$F$5000,Movimientos!$D$2:$D$5000,$A158,Movimientos!$C$2:$C$5000,"Consumo interno")-SUMIFS(Movimientos!$F$2:$F$5000,Movimientos!$D$2:$D$5000,$A158,Movimientos!$C$2:$C$5000,"Baja")-SUMIFS(Movimientos!$F$2:$F$5000,Movimientos!$D$2:$D$5000,$A158,Movimientos!$C$2:$C$5000,"Baja desde reparación")</f>
        <v>1</v>
      </c>
      <c r="Q158" s="45">
        <f>SUMIFS(Movimientos!$F$2:$F$5000,Movimientos!$D$2:$D$5000,$A158,Movimientos!$C$2:$C$5000,"Salida alquiler")-SUMIFS(Movimientos!$F$2:$F$5000,Movimientos!$D$2:$D$5000,$A158,Movimientos!$C$2:$C$5000,"Retorno alquiler")-SUMIFS(Movimientos!$F$2:$F$5000,Movimientos!$D$2:$D$5000,$A158,Movimientos!$C$2:$C$5000,"Consumido en evento")-SUMIFS(Movimientos!$F$2:$F$5000,Movimientos!$D$2:$D$5000,$A158,Movimientos!$C$2:$C$5000,"A reparación")</f>
        <v>0</v>
      </c>
      <c r="R158" s="45">
        <f>SUMIFS(Movimientos!$F$2:$F$5000,Movimientos!$D$2:$D$5000,$A158,Movimientos!$C$2:$C$5000,"A reparación")-SUMIFS(Movimientos!$F$2:$F$5000,Movimientos!$D$2:$D$5000,$A158,Movimientos!$C$2:$C$5000,"Retorno reparación")-SUMIFS(Movimientos!$F$2:$F$5000,Movimientos!$D$2:$D$5000,$A158,Movimientos!$C$2:$C$5000,"Baja desde reparación")</f>
        <v>0</v>
      </c>
      <c r="S158" s="45">
        <f>P158-Q158-R158</f>
        <v>1</v>
      </c>
    </row>
    <row r="159" spans="1:19">
      <c r="A159" s="15" t="s">
        <v>806</v>
      </c>
      <c r="B159" s="15" t="s">
        <v>807</v>
      </c>
      <c r="C159" s="42" t="s">
        <v>808</v>
      </c>
      <c r="D159" s="15" t="s">
        <v>101</v>
      </c>
      <c r="E159" s="42" t="s">
        <v>809</v>
      </c>
      <c r="F159" s="43">
        <v>1</v>
      </c>
      <c r="G159" s="15" t="s">
        <v>507</v>
      </c>
      <c r="H159" s="44">
        <v>2</v>
      </c>
      <c r="I159" s="15" t="s">
        <v>104</v>
      </c>
      <c r="J159" s="15" t="s">
        <v>33</v>
      </c>
      <c r="K159" s="15" t="s">
        <v>35</v>
      </c>
      <c r="L159" s="15"/>
      <c r="M159" s="15" t="s">
        <v>38</v>
      </c>
      <c r="N159" s="15"/>
      <c r="O159" s="15"/>
      <c r="P159" s="45">
        <f>H159+SUMIFS(Movimientos!$F$2:$F$5000,Movimientos!$D$2:$D$5000,$A159,Movimientos!$C$2:$C$5000,"Ingreso inventario")+SUMIFS(Movimientos!$F$2:$F$5000,Movimientos!$D$2:$D$5000,$A159,Movimientos!$C$2:$C$5000,"Ajuste")-SUMIFS(Movimientos!$F$2:$F$5000,Movimientos!$D$2:$D$5000,$A159,Movimientos!$C$2:$C$5000,"Consumido en evento")-SUMIFS(Movimientos!$F$2:$F$5000,Movimientos!$D$2:$D$5000,$A159,Movimientos!$C$2:$C$5000,"Consumo interno")-SUMIFS(Movimientos!$F$2:$F$5000,Movimientos!$D$2:$D$5000,$A159,Movimientos!$C$2:$C$5000,"Baja")-SUMIFS(Movimientos!$F$2:$F$5000,Movimientos!$D$2:$D$5000,$A159,Movimientos!$C$2:$C$5000,"Baja desde reparación")</f>
        <v>2</v>
      </c>
      <c r="Q159" s="45">
        <f>SUMIFS(Movimientos!$F$2:$F$5000,Movimientos!$D$2:$D$5000,$A159,Movimientos!$C$2:$C$5000,"Salida alquiler")-SUMIFS(Movimientos!$F$2:$F$5000,Movimientos!$D$2:$D$5000,$A159,Movimientos!$C$2:$C$5000,"Retorno alquiler")-SUMIFS(Movimientos!$F$2:$F$5000,Movimientos!$D$2:$D$5000,$A159,Movimientos!$C$2:$C$5000,"Consumido en evento")-SUMIFS(Movimientos!$F$2:$F$5000,Movimientos!$D$2:$D$5000,$A159,Movimientos!$C$2:$C$5000,"A reparación")</f>
        <v>0</v>
      </c>
      <c r="R159" s="45">
        <f>SUMIFS(Movimientos!$F$2:$F$5000,Movimientos!$D$2:$D$5000,$A159,Movimientos!$C$2:$C$5000,"A reparación")-SUMIFS(Movimientos!$F$2:$F$5000,Movimientos!$D$2:$D$5000,$A159,Movimientos!$C$2:$C$5000,"Retorno reparación")-SUMIFS(Movimientos!$F$2:$F$5000,Movimientos!$D$2:$D$5000,$A159,Movimientos!$C$2:$C$5000,"Baja desde reparación")</f>
        <v>0</v>
      </c>
      <c r="S159" s="45">
        <f>P159-Q159-R159</f>
        <v>2</v>
      </c>
    </row>
    <row r="160" spans="1:19">
      <c r="A160" s="15" t="s">
        <v>810</v>
      </c>
      <c r="B160" s="15" t="s">
        <v>811</v>
      </c>
      <c r="C160" s="42" t="s">
        <v>812</v>
      </c>
      <c r="D160" s="15" t="s">
        <v>101</v>
      </c>
      <c r="E160" s="42" t="s">
        <v>813</v>
      </c>
      <c r="F160" s="43">
        <v>1</v>
      </c>
      <c r="G160" s="15" t="s">
        <v>507</v>
      </c>
      <c r="H160" s="44">
        <v>1</v>
      </c>
      <c r="I160" s="15" t="s">
        <v>104</v>
      </c>
      <c r="J160" s="15" t="s">
        <v>33</v>
      </c>
      <c r="K160" s="15" t="s">
        <v>35</v>
      </c>
      <c r="L160" s="15"/>
      <c r="M160" s="15" t="s">
        <v>38</v>
      </c>
      <c r="N160" s="15"/>
      <c r="O160" s="15"/>
      <c r="P160" s="45">
        <f>H160+SUMIFS(Movimientos!$F$2:$F$5000,Movimientos!$D$2:$D$5000,$A160,Movimientos!$C$2:$C$5000,"Ingreso inventario")+SUMIFS(Movimientos!$F$2:$F$5000,Movimientos!$D$2:$D$5000,$A160,Movimientos!$C$2:$C$5000,"Ajuste")-SUMIFS(Movimientos!$F$2:$F$5000,Movimientos!$D$2:$D$5000,$A160,Movimientos!$C$2:$C$5000,"Consumido en evento")-SUMIFS(Movimientos!$F$2:$F$5000,Movimientos!$D$2:$D$5000,$A160,Movimientos!$C$2:$C$5000,"Consumo interno")-SUMIFS(Movimientos!$F$2:$F$5000,Movimientos!$D$2:$D$5000,$A160,Movimientos!$C$2:$C$5000,"Baja")-SUMIFS(Movimientos!$F$2:$F$5000,Movimientos!$D$2:$D$5000,$A160,Movimientos!$C$2:$C$5000,"Baja desde reparación")</f>
        <v>1</v>
      </c>
      <c r="Q160" s="45">
        <f>SUMIFS(Movimientos!$F$2:$F$5000,Movimientos!$D$2:$D$5000,$A160,Movimientos!$C$2:$C$5000,"Salida alquiler")-SUMIFS(Movimientos!$F$2:$F$5000,Movimientos!$D$2:$D$5000,$A160,Movimientos!$C$2:$C$5000,"Retorno alquiler")-SUMIFS(Movimientos!$F$2:$F$5000,Movimientos!$D$2:$D$5000,$A160,Movimientos!$C$2:$C$5000,"Consumido en evento")-SUMIFS(Movimientos!$F$2:$F$5000,Movimientos!$D$2:$D$5000,$A160,Movimientos!$C$2:$C$5000,"A reparación")</f>
        <v>0</v>
      </c>
      <c r="R160" s="45">
        <f>SUMIFS(Movimientos!$F$2:$F$5000,Movimientos!$D$2:$D$5000,$A160,Movimientos!$C$2:$C$5000,"A reparación")-SUMIFS(Movimientos!$F$2:$F$5000,Movimientos!$D$2:$D$5000,$A160,Movimientos!$C$2:$C$5000,"Retorno reparación")-SUMIFS(Movimientos!$F$2:$F$5000,Movimientos!$D$2:$D$5000,$A160,Movimientos!$C$2:$C$5000,"Baja desde reparación")</f>
        <v>0</v>
      </c>
      <c r="S160" s="45">
        <f>P160-Q160-R160</f>
        <v>1</v>
      </c>
    </row>
    <row r="161" spans="1:19">
      <c r="A161" s="15" t="s">
        <v>814</v>
      </c>
      <c r="B161" s="15" t="s">
        <v>815</v>
      </c>
      <c r="C161" s="42" t="s">
        <v>816</v>
      </c>
      <c r="D161" s="15" t="s">
        <v>101</v>
      </c>
      <c r="E161" s="42" t="s">
        <v>817</v>
      </c>
      <c r="F161" s="43">
        <v>1</v>
      </c>
      <c r="G161" s="15" t="s">
        <v>507</v>
      </c>
      <c r="H161" s="44">
        <v>1</v>
      </c>
      <c r="I161" s="15" t="s">
        <v>104</v>
      </c>
      <c r="J161" s="15" t="s">
        <v>33</v>
      </c>
      <c r="K161" s="15" t="s">
        <v>35</v>
      </c>
      <c r="L161" s="15"/>
      <c r="M161" s="15" t="s">
        <v>38</v>
      </c>
      <c r="N161" s="15"/>
      <c r="O161" s="15"/>
      <c r="P161" s="45">
        <f>H161+SUMIFS(Movimientos!$F$2:$F$5000,Movimientos!$D$2:$D$5000,$A161,Movimientos!$C$2:$C$5000,"Ingreso inventario")+SUMIFS(Movimientos!$F$2:$F$5000,Movimientos!$D$2:$D$5000,$A161,Movimientos!$C$2:$C$5000,"Ajuste")-SUMIFS(Movimientos!$F$2:$F$5000,Movimientos!$D$2:$D$5000,$A161,Movimientos!$C$2:$C$5000,"Consumido en evento")-SUMIFS(Movimientos!$F$2:$F$5000,Movimientos!$D$2:$D$5000,$A161,Movimientos!$C$2:$C$5000,"Consumo interno")-SUMIFS(Movimientos!$F$2:$F$5000,Movimientos!$D$2:$D$5000,$A161,Movimientos!$C$2:$C$5000,"Baja")-SUMIFS(Movimientos!$F$2:$F$5000,Movimientos!$D$2:$D$5000,$A161,Movimientos!$C$2:$C$5000,"Baja desde reparación")</f>
        <v>1</v>
      </c>
      <c r="Q161" s="45">
        <f>SUMIFS(Movimientos!$F$2:$F$5000,Movimientos!$D$2:$D$5000,$A161,Movimientos!$C$2:$C$5000,"Salida alquiler")-SUMIFS(Movimientos!$F$2:$F$5000,Movimientos!$D$2:$D$5000,$A161,Movimientos!$C$2:$C$5000,"Retorno alquiler")-SUMIFS(Movimientos!$F$2:$F$5000,Movimientos!$D$2:$D$5000,$A161,Movimientos!$C$2:$C$5000,"Consumido en evento")-SUMIFS(Movimientos!$F$2:$F$5000,Movimientos!$D$2:$D$5000,$A161,Movimientos!$C$2:$C$5000,"A reparación")</f>
        <v>0</v>
      </c>
      <c r="R161" s="45">
        <f>SUMIFS(Movimientos!$F$2:$F$5000,Movimientos!$D$2:$D$5000,$A161,Movimientos!$C$2:$C$5000,"A reparación")-SUMIFS(Movimientos!$F$2:$F$5000,Movimientos!$D$2:$D$5000,$A161,Movimientos!$C$2:$C$5000,"Retorno reparación")-SUMIFS(Movimientos!$F$2:$F$5000,Movimientos!$D$2:$D$5000,$A161,Movimientos!$C$2:$C$5000,"Baja desde reparación")</f>
        <v>0</v>
      </c>
      <c r="S161" s="45">
        <f>P161-Q161-R161</f>
        <v>1</v>
      </c>
    </row>
    <row r="162" spans="1:19">
      <c r="A162" s="15" t="s">
        <v>818</v>
      </c>
      <c r="B162" s="15" t="s">
        <v>819</v>
      </c>
      <c r="C162" s="42" t="s">
        <v>820</v>
      </c>
      <c r="D162" s="15" t="s">
        <v>101</v>
      </c>
      <c r="E162" s="42" t="s">
        <v>821</v>
      </c>
      <c r="F162" s="43">
        <v>1</v>
      </c>
      <c r="G162" s="15" t="s">
        <v>507</v>
      </c>
      <c r="H162" s="44">
        <v>1</v>
      </c>
      <c r="I162" s="15" t="s">
        <v>104</v>
      </c>
      <c r="J162" s="15" t="s">
        <v>33</v>
      </c>
      <c r="K162" s="15" t="s">
        <v>35</v>
      </c>
      <c r="L162" s="15"/>
      <c r="M162" s="15" t="s">
        <v>38</v>
      </c>
      <c r="N162" s="15"/>
      <c r="O162" s="15"/>
      <c r="P162" s="45">
        <f>H162+SUMIFS(Movimientos!$F$2:$F$5000,Movimientos!$D$2:$D$5000,$A162,Movimientos!$C$2:$C$5000,"Ingreso inventario")+SUMIFS(Movimientos!$F$2:$F$5000,Movimientos!$D$2:$D$5000,$A162,Movimientos!$C$2:$C$5000,"Ajuste")-SUMIFS(Movimientos!$F$2:$F$5000,Movimientos!$D$2:$D$5000,$A162,Movimientos!$C$2:$C$5000,"Consumido en evento")-SUMIFS(Movimientos!$F$2:$F$5000,Movimientos!$D$2:$D$5000,$A162,Movimientos!$C$2:$C$5000,"Consumo interno")-SUMIFS(Movimientos!$F$2:$F$5000,Movimientos!$D$2:$D$5000,$A162,Movimientos!$C$2:$C$5000,"Baja")-SUMIFS(Movimientos!$F$2:$F$5000,Movimientos!$D$2:$D$5000,$A162,Movimientos!$C$2:$C$5000,"Baja desde reparación")</f>
        <v>1</v>
      </c>
      <c r="Q162" s="45">
        <f>SUMIFS(Movimientos!$F$2:$F$5000,Movimientos!$D$2:$D$5000,$A162,Movimientos!$C$2:$C$5000,"Salida alquiler")-SUMIFS(Movimientos!$F$2:$F$5000,Movimientos!$D$2:$D$5000,$A162,Movimientos!$C$2:$C$5000,"Retorno alquiler")-SUMIFS(Movimientos!$F$2:$F$5000,Movimientos!$D$2:$D$5000,$A162,Movimientos!$C$2:$C$5000,"Consumido en evento")-SUMIFS(Movimientos!$F$2:$F$5000,Movimientos!$D$2:$D$5000,$A162,Movimientos!$C$2:$C$5000,"A reparación")</f>
        <v>0</v>
      </c>
      <c r="R162" s="45">
        <f>SUMIFS(Movimientos!$F$2:$F$5000,Movimientos!$D$2:$D$5000,$A162,Movimientos!$C$2:$C$5000,"A reparación")-SUMIFS(Movimientos!$F$2:$F$5000,Movimientos!$D$2:$D$5000,$A162,Movimientos!$C$2:$C$5000,"Retorno reparación")-SUMIFS(Movimientos!$F$2:$F$5000,Movimientos!$D$2:$D$5000,$A162,Movimientos!$C$2:$C$5000,"Baja desde reparación")</f>
        <v>0</v>
      </c>
      <c r="S162" s="45">
        <f>P162-Q162-R162</f>
        <v>1</v>
      </c>
    </row>
    <row r="163" spans="1:19">
      <c r="A163" s="15" t="s">
        <v>822</v>
      </c>
      <c r="B163" s="15" t="s">
        <v>823</v>
      </c>
      <c r="C163" s="42" t="s">
        <v>824</v>
      </c>
      <c r="D163" s="15" t="s">
        <v>101</v>
      </c>
      <c r="E163" s="42" t="s">
        <v>825</v>
      </c>
      <c r="F163" s="43">
        <v>1</v>
      </c>
      <c r="G163" s="15" t="s">
        <v>507</v>
      </c>
      <c r="H163" s="44">
        <v>1</v>
      </c>
      <c r="I163" s="15" t="s">
        <v>104</v>
      </c>
      <c r="J163" s="15" t="s">
        <v>33</v>
      </c>
      <c r="K163" s="15" t="s">
        <v>35</v>
      </c>
      <c r="L163" s="15"/>
      <c r="M163" s="15" t="s">
        <v>38</v>
      </c>
      <c r="N163" s="15"/>
      <c r="O163" s="15"/>
      <c r="P163" s="45">
        <f>H163+SUMIFS(Movimientos!$F$2:$F$5000,Movimientos!$D$2:$D$5000,$A163,Movimientos!$C$2:$C$5000,"Ingreso inventario")+SUMIFS(Movimientos!$F$2:$F$5000,Movimientos!$D$2:$D$5000,$A163,Movimientos!$C$2:$C$5000,"Ajuste")-SUMIFS(Movimientos!$F$2:$F$5000,Movimientos!$D$2:$D$5000,$A163,Movimientos!$C$2:$C$5000,"Consumido en evento")-SUMIFS(Movimientos!$F$2:$F$5000,Movimientos!$D$2:$D$5000,$A163,Movimientos!$C$2:$C$5000,"Consumo interno")-SUMIFS(Movimientos!$F$2:$F$5000,Movimientos!$D$2:$D$5000,$A163,Movimientos!$C$2:$C$5000,"Baja")-SUMIFS(Movimientos!$F$2:$F$5000,Movimientos!$D$2:$D$5000,$A163,Movimientos!$C$2:$C$5000,"Baja desde reparación")</f>
        <v>1</v>
      </c>
      <c r="Q163" s="45">
        <f>SUMIFS(Movimientos!$F$2:$F$5000,Movimientos!$D$2:$D$5000,$A163,Movimientos!$C$2:$C$5000,"Salida alquiler")-SUMIFS(Movimientos!$F$2:$F$5000,Movimientos!$D$2:$D$5000,$A163,Movimientos!$C$2:$C$5000,"Retorno alquiler")-SUMIFS(Movimientos!$F$2:$F$5000,Movimientos!$D$2:$D$5000,$A163,Movimientos!$C$2:$C$5000,"Consumido en evento")-SUMIFS(Movimientos!$F$2:$F$5000,Movimientos!$D$2:$D$5000,$A163,Movimientos!$C$2:$C$5000,"A reparación")</f>
        <v>0</v>
      </c>
      <c r="R163" s="45">
        <f>SUMIFS(Movimientos!$F$2:$F$5000,Movimientos!$D$2:$D$5000,$A163,Movimientos!$C$2:$C$5000,"A reparación")-SUMIFS(Movimientos!$F$2:$F$5000,Movimientos!$D$2:$D$5000,$A163,Movimientos!$C$2:$C$5000,"Retorno reparación")-SUMIFS(Movimientos!$F$2:$F$5000,Movimientos!$D$2:$D$5000,$A163,Movimientos!$C$2:$C$5000,"Baja desde reparación")</f>
        <v>0</v>
      </c>
      <c r="S163" s="45">
        <f>P163-Q163-R163</f>
        <v>1</v>
      </c>
    </row>
    <row r="164" spans="1:19">
      <c r="A164" s="15" t="s">
        <v>826</v>
      </c>
      <c r="B164" s="15" t="s">
        <v>827</v>
      </c>
      <c r="C164" s="42" t="s">
        <v>828</v>
      </c>
      <c r="D164" s="15" t="s">
        <v>101</v>
      </c>
      <c r="E164" s="42" t="s">
        <v>829</v>
      </c>
      <c r="F164" s="43">
        <v>1</v>
      </c>
      <c r="G164" s="15" t="s">
        <v>507</v>
      </c>
      <c r="H164" s="44">
        <v>1</v>
      </c>
      <c r="I164" s="15" t="s">
        <v>104</v>
      </c>
      <c r="J164" s="15" t="s">
        <v>33</v>
      </c>
      <c r="K164" s="15" t="s">
        <v>35</v>
      </c>
      <c r="L164" s="15"/>
      <c r="M164" s="15" t="s">
        <v>38</v>
      </c>
      <c r="N164" s="15"/>
      <c r="O164" s="15"/>
      <c r="P164" s="45">
        <f>H164+SUMIFS(Movimientos!$F$2:$F$5000,Movimientos!$D$2:$D$5000,$A164,Movimientos!$C$2:$C$5000,"Ingreso inventario")+SUMIFS(Movimientos!$F$2:$F$5000,Movimientos!$D$2:$D$5000,$A164,Movimientos!$C$2:$C$5000,"Ajuste")-SUMIFS(Movimientos!$F$2:$F$5000,Movimientos!$D$2:$D$5000,$A164,Movimientos!$C$2:$C$5000,"Consumido en evento")-SUMIFS(Movimientos!$F$2:$F$5000,Movimientos!$D$2:$D$5000,$A164,Movimientos!$C$2:$C$5000,"Consumo interno")-SUMIFS(Movimientos!$F$2:$F$5000,Movimientos!$D$2:$D$5000,$A164,Movimientos!$C$2:$C$5000,"Baja")-SUMIFS(Movimientos!$F$2:$F$5000,Movimientos!$D$2:$D$5000,$A164,Movimientos!$C$2:$C$5000,"Baja desde reparación")</f>
        <v>1</v>
      </c>
      <c r="Q164" s="45">
        <f>SUMIFS(Movimientos!$F$2:$F$5000,Movimientos!$D$2:$D$5000,$A164,Movimientos!$C$2:$C$5000,"Salida alquiler")-SUMIFS(Movimientos!$F$2:$F$5000,Movimientos!$D$2:$D$5000,$A164,Movimientos!$C$2:$C$5000,"Retorno alquiler")-SUMIFS(Movimientos!$F$2:$F$5000,Movimientos!$D$2:$D$5000,$A164,Movimientos!$C$2:$C$5000,"Consumido en evento")-SUMIFS(Movimientos!$F$2:$F$5000,Movimientos!$D$2:$D$5000,$A164,Movimientos!$C$2:$C$5000,"A reparación")</f>
        <v>0</v>
      </c>
      <c r="R164" s="45">
        <f>SUMIFS(Movimientos!$F$2:$F$5000,Movimientos!$D$2:$D$5000,$A164,Movimientos!$C$2:$C$5000,"A reparación")-SUMIFS(Movimientos!$F$2:$F$5000,Movimientos!$D$2:$D$5000,$A164,Movimientos!$C$2:$C$5000,"Retorno reparación")-SUMIFS(Movimientos!$F$2:$F$5000,Movimientos!$D$2:$D$5000,$A164,Movimientos!$C$2:$C$5000,"Baja desde reparación")</f>
        <v>0</v>
      </c>
      <c r="S164" s="45">
        <f>P164-Q164-R164</f>
        <v>1</v>
      </c>
    </row>
    <row r="165" spans="1:19">
      <c r="A165" s="15" t="s">
        <v>830</v>
      </c>
      <c r="B165" s="15" t="s">
        <v>831</v>
      </c>
      <c r="C165" s="42" t="s">
        <v>832</v>
      </c>
      <c r="D165" s="15" t="s">
        <v>101</v>
      </c>
      <c r="E165" s="42" t="s">
        <v>833</v>
      </c>
      <c r="F165" s="43">
        <v>1</v>
      </c>
      <c r="G165" s="15" t="s">
        <v>507</v>
      </c>
      <c r="H165" s="44">
        <v>1</v>
      </c>
      <c r="I165" s="15" t="s">
        <v>104</v>
      </c>
      <c r="J165" s="15" t="s">
        <v>33</v>
      </c>
      <c r="K165" s="15" t="s">
        <v>35</v>
      </c>
      <c r="L165" s="15"/>
      <c r="M165" s="15" t="s">
        <v>38</v>
      </c>
      <c r="N165" s="15"/>
      <c r="O165" s="15"/>
      <c r="P165" s="45">
        <f>H165+SUMIFS(Movimientos!$F$2:$F$5000,Movimientos!$D$2:$D$5000,$A165,Movimientos!$C$2:$C$5000,"Ingreso inventario")+SUMIFS(Movimientos!$F$2:$F$5000,Movimientos!$D$2:$D$5000,$A165,Movimientos!$C$2:$C$5000,"Ajuste")-SUMIFS(Movimientos!$F$2:$F$5000,Movimientos!$D$2:$D$5000,$A165,Movimientos!$C$2:$C$5000,"Consumido en evento")-SUMIFS(Movimientos!$F$2:$F$5000,Movimientos!$D$2:$D$5000,$A165,Movimientos!$C$2:$C$5000,"Consumo interno")-SUMIFS(Movimientos!$F$2:$F$5000,Movimientos!$D$2:$D$5000,$A165,Movimientos!$C$2:$C$5000,"Baja")-SUMIFS(Movimientos!$F$2:$F$5000,Movimientos!$D$2:$D$5000,$A165,Movimientos!$C$2:$C$5000,"Baja desde reparación")</f>
        <v>1</v>
      </c>
      <c r="Q165" s="45">
        <f>SUMIFS(Movimientos!$F$2:$F$5000,Movimientos!$D$2:$D$5000,$A165,Movimientos!$C$2:$C$5000,"Salida alquiler")-SUMIFS(Movimientos!$F$2:$F$5000,Movimientos!$D$2:$D$5000,$A165,Movimientos!$C$2:$C$5000,"Retorno alquiler")-SUMIFS(Movimientos!$F$2:$F$5000,Movimientos!$D$2:$D$5000,$A165,Movimientos!$C$2:$C$5000,"Consumido en evento")-SUMIFS(Movimientos!$F$2:$F$5000,Movimientos!$D$2:$D$5000,$A165,Movimientos!$C$2:$C$5000,"A reparación")</f>
        <v>0</v>
      </c>
      <c r="R165" s="45">
        <f>SUMIFS(Movimientos!$F$2:$F$5000,Movimientos!$D$2:$D$5000,$A165,Movimientos!$C$2:$C$5000,"A reparación")-SUMIFS(Movimientos!$F$2:$F$5000,Movimientos!$D$2:$D$5000,$A165,Movimientos!$C$2:$C$5000,"Retorno reparación")-SUMIFS(Movimientos!$F$2:$F$5000,Movimientos!$D$2:$D$5000,$A165,Movimientos!$C$2:$C$5000,"Baja desde reparación")</f>
        <v>0</v>
      </c>
      <c r="S165" s="45">
        <f>P165-Q165-R165</f>
        <v>1</v>
      </c>
    </row>
    <row r="166" spans="1:19">
      <c r="A166" s="15" t="s">
        <v>834</v>
      </c>
      <c r="B166" s="15" t="s">
        <v>835</v>
      </c>
      <c r="C166" s="42" t="s">
        <v>836</v>
      </c>
      <c r="D166" s="15" t="s">
        <v>101</v>
      </c>
      <c r="E166" s="42" t="s">
        <v>837</v>
      </c>
      <c r="F166" s="43">
        <v>1</v>
      </c>
      <c r="G166" s="15" t="s">
        <v>507</v>
      </c>
      <c r="H166" s="44">
        <v>1</v>
      </c>
      <c r="I166" s="15" t="s">
        <v>104</v>
      </c>
      <c r="J166" s="15" t="s">
        <v>33</v>
      </c>
      <c r="K166" s="15" t="s">
        <v>35</v>
      </c>
      <c r="L166" s="15"/>
      <c r="M166" s="15" t="s">
        <v>38</v>
      </c>
      <c r="N166" s="15"/>
      <c r="O166" s="15"/>
      <c r="P166" s="45">
        <f>H166+SUMIFS(Movimientos!$F$2:$F$5000,Movimientos!$D$2:$D$5000,$A166,Movimientos!$C$2:$C$5000,"Ingreso inventario")+SUMIFS(Movimientos!$F$2:$F$5000,Movimientos!$D$2:$D$5000,$A166,Movimientos!$C$2:$C$5000,"Ajuste")-SUMIFS(Movimientos!$F$2:$F$5000,Movimientos!$D$2:$D$5000,$A166,Movimientos!$C$2:$C$5000,"Consumido en evento")-SUMIFS(Movimientos!$F$2:$F$5000,Movimientos!$D$2:$D$5000,$A166,Movimientos!$C$2:$C$5000,"Consumo interno")-SUMIFS(Movimientos!$F$2:$F$5000,Movimientos!$D$2:$D$5000,$A166,Movimientos!$C$2:$C$5000,"Baja")-SUMIFS(Movimientos!$F$2:$F$5000,Movimientos!$D$2:$D$5000,$A166,Movimientos!$C$2:$C$5000,"Baja desde reparación")</f>
        <v>1</v>
      </c>
      <c r="Q166" s="45">
        <f>SUMIFS(Movimientos!$F$2:$F$5000,Movimientos!$D$2:$D$5000,$A166,Movimientos!$C$2:$C$5000,"Salida alquiler")-SUMIFS(Movimientos!$F$2:$F$5000,Movimientos!$D$2:$D$5000,$A166,Movimientos!$C$2:$C$5000,"Retorno alquiler")-SUMIFS(Movimientos!$F$2:$F$5000,Movimientos!$D$2:$D$5000,$A166,Movimientos!$C$2:$C$5000,"Consumido en evento")-SUMIFS(Movimientos!$F$2:$F$5000,Movimientos!$D$2:$D$5000,$A166,Movimientos!$C$2:$C$5000,"A reparación")</f>
        <v>0</v>
      </c>
      <c r="R166" s="45">
        <f>SUMIFS(Movimientos!$F$2:$F$5000,Movimientos!$D$2:$D$5000,$A166,Movimientos!$C$2:$C$5000,"A reparación")-SUMIFS(Movimientos!$F$2:$F$5000,Movimientos!$D$2:$D$5000,$A166,Movimientos!$C$2:$C$5000,"Retorno reparación")-SUMIFS(Movimientos!$F$2:$F$5000,Movimientos!$D$2:$D$5000,$A166,Movimientos!$C$2:$C$5000,"Baja desde reparación")</f>
        <v>0</v>
      </c>
      <c r="S166" s="45">
        <f>P166-Q166-R166</f>
        <v>1</v>
      </c>
    </row>
    <row r="167" spans="1:19">
      <c r="A167" s="15" t="s">
        <v>838</v>
      </c>
      <c r="B167" s="15" t="s">
        <v>839</v>
      </c>
      <c r="C167" s="42" t="s">
        <v>840</v>
      </c>
      <c r="D167" s="15" t="s">
        <v>101</v>
      </c>
      <c r="E167" s="42" t="s">
        <v>841</v>
      </c>
      <c r="F167" s="43">
        <v>1</v>
      </c>
      <c r="G167" s="15" t="s">
        <v>507</v>
      </c>
      <c r="H167" s="44">
        <v>6</v>
      </c>
      <c r="I167" s="15" t="s">
        <v>104</v>
      </c>
      <c r="J167" s="15" t="s">
        <v>33</v>
      </c>
      <c r="K167" s="15" t="s">
        <v>35</v>
      </c>
      <c r="L167" s="15"/>
      <c r="M167" s="15" t="s">
        <v>38</v>
      </c>
      <c r="N167" s="15"/>
      <c r="O167" s="15"/>
      <c r="P167" s="45">
        <f>H167+SUMIFS(Movimientos!$F$2:$F$5000,Movimientos!$D$2:$D$5000,$A167,Movimientos!$C$2:$C$5000,"Ingreso inventario")+SUMIFS(Movimientos!$F$2:$F$5000,Movimientos!$D$2:$D$5000,$A167,Movimientos!$C$2:$C$5000,"Ajuste")-SUMIFS(Movimientos!$F$2:$F$5000,Movimientos!$D$2:$D$5000,$A167,Movimientos!$C$2:$C$5000,"Consumido en evento")-SUMIFS(Movimientos!$F$2:$F$5000,Movimientos!$D$2:$D$5000,$A167,Movimientos!$C$2:$C$5000,"Consumo interno")-SUMIFS(Movimientos!$F$2:$F$5000,Movimientos!$D$2:$D$5000,$A167,Movimientos!$C$2:$C$5000,"Baja")-SUMIFS(Movimientos!$F$2:$F$5000,Movimientos!$D$2:$D$5000,$A167,Movimientos!$C$2:$C$5000,"Baja desde reparación")</f>
        <v>6</v>
      </c>
      <c r="Q167" s="45">
        <f>SUMIFS(Movimientos!$F$2:$F$5000,Movimientos!$D$2:$D$5000,$A167,Movimientos!$C$2:$C$5000,"Salida alquiler")-SUMIFS(Movimientos!$F$2:$F$5000,Movimientos!$D$2:$D$5000,$A167,Movimientos!$C$2:$C$5000,"Retorno alquiler")-SUMIFS(Movimientos!$F$2:$F$5000,Movimientos!$D$2:$D$5000,$A167,Movimientos!$C$2:$C$5000,"Consumido en evento")-SUMIFS(Movimientos!$F$2:$F$5000,Movimientos!$D$2:$D$5000,$A167,Movimientos!$C$2:$C$5000,"A reparación")</f>
        <v>0</v>
      </c>
      <c r="R167" s="45">
        <f>SUMIFS(Movimientos!$F$2:$F$5000,Movimientos!$D$2:$D$5000,$A167,Movimientos!$C$2:$C$5000,"A reparación")-SUMIFS(Movimientos!$F$2:$F$5000,Movimientos!$D$2:$D$5000,$A167,Movimientos!$C$2:$C$5000,"Retorno reparación")-SUMIFS(Movimientos!$F$2:$F$5000,Movimientos!$D$2:$D$5000,$A167,Movimientos!$C$2:$C$5000,"Baja desde reparación")</f>
        <v>0</v>
      </c>
      <c r="S167" s="45">
        <f>P167-Q167-R167</f>
        <v>6</v>
      </c>
    </row>
    <row r="168" spans="1:19">
      <c r="A168" s="15" t="s">
        <v>842</v>
      </c>
      <c r="B168" s="15" t="s">
        <v>843</v>
      </c>
      <c r="C168" s="42" t="s">
        <v>844</v>
      </c>
      <c r="D168" s="15" t="s">
        <v>101</v>
      </c>
      <c r="E168" s="42" t="s">
        <v>845</v>
      </c>
      <c r="F168" s="43">
        <v>1</v>
      </c>
      <c r="G168" s="15" t="s">
        <v>507</v>
      </c>
      <c r="H168" s="44">
        <v>1</v>
      </c>
      <c r="I168" s="15" t="s">
        <v>104</v>
      </c>
      <c r="J168" s="15" t="s">
        <v>33</v>
      </c>
      <c r="K168" s="15" t="s">
        <v>35</v>
      </c>
      <c r="L168" s="15"/>
      <c r="M168" s="15" t="s">
        <v>38</v>
      </c>
      <c r="N168" s="15"/>
      <c r="O168" s="15"/>
      <c r="P168" s="45">
        <f>H168+SUMIFS(Movimientos!$F$2:$F$5000,Movimientos!$D$2:$D$5000,$A168,Movimientos!$C$2:$C$5000,"Ingreso inventario")+SUMIFS(Movimientos!$F$2:$F$5000,Movimientos!$D$2:$D$5000,$A168,Movimientos!$C$2:$C$5000,"Ajuste")-SUMIFS(Movimientos!$F$2:$F$5000,Movimientos!$D$2:$D$5000,$A168,Movimientos!$C$2:$C$5000,"Consumido en evento")-SUMIFS(Movimientos!$F$2:$F$5000,Movimientos!$D$2:$D$5000,$A168,Movimientos!$C$2:$C$5000,"Consumo interno")-SUMIFS(Movimientos!$F$2:$F$5000,Movimientos!$D$2:$D$5000,$A168,Movimientos!$C$2:$C$5000,"Baja")-SUMIFS(Movimientos!$F$2:$F$5000,Movimientos!$D$2:$D$5000,$A168,Movimientos!$C$2:$C$5000,"Baja desde reparación")</f>
        <v>1</v>
      </c>
      <c r="Q168" s="45">
        <f>SUMIFS(Movimientos!$F$2:$F$5000,Movimientos!$D$2:$D$5000,$A168,Movimientos!$C$2:$C$5000,"Salida alquiler")-SUMIFS(Movimientos!$F$2:$F$5000,Movimientos!$D$2:$D$5000,$A168,Movimientos!$C$2:$C$5000,"Retorno alquiler")-SUMIFS(Movimientos!$F$2:$F$5000,Movimientos!$D$2:$D$5000,$A168,Movimientos!$C$2:$C$5000,"Consumido en evento")-SUMIFS(Movimientos!$F$2:$F$5000,Movimientos!$D$2:$D$5000,$A168,Movimientos!$C$2:$C$5000,"A reparación")</f>
        <v>0</v>
      </c>
      <c r="R168" s="45">
        <f>SUMIFS(Movimientos!$F$2:$F$5000,Movimientos!$D$2:$D$5000,$A168,Movimientos!$C$2:$C$5000,"A reparación")-SUMIFS(Movimientos!$F$2:$F$5000,Movimientos!$D$2:$D$5000,$A168,Movimientos!$C$2:$C$5000,"Retorno reparación")-SUMIFS(Movimientos!$F$2:$F$5000,Movimientos!$D$2:$D$5000,$A168,Movimientos!$C$2:$C$5000,"Baja desde reparación")</f>
        <v>0</v>
      </c>
      <c r="S168" s="45">
        <f>P168-Q168-R168</f>
        <v>1</v>
      </c>
    </row>
    <row r="169" spans="1:19">
      <c r="A169" s="15" t="s">
        <v>846</v>
      </c>
      <c r="B169" s="15" t="s">
        <v>847</v>
      </c>
      <c r="C169" s="42" t="s">
        <v>848</v>
      </c>
      <c r="D169" s="15" t="s">
        <v>101</v>
      </c>
      <c r="E169" s="42" t="s">
        <v>849</v>
      </c>
      <c r="F169" s="43">
        <v>1</v>
      </c>
      <c r="G169" s="15" t="s">
        <v>507</v>
      </c>
      <c r="H169" s="44">
        <v>2</v>
      </c>
      <c r="I169" s="15" t="s">
        <v>104</v>
      </c>
      <c r="J169" s="15" t="s">
        <v>33</v>
      </c>
      <c r="K169" s="15" t="s">
        <v>35</v>
      </c>
      <c r="L169" s="15"/>
      <c r="M169" s="15" t="s">
        <v>38</v>
      </c>
      <c r="N169" s="15"/>
      <c r="O169" s="15"/>
      <c r="P169" s="45">
        <f>H169+SUMIFS(Movimientos!$F$2:$F$5000,Movimientos!$D$2:$D$5000,$A169,Movimientos!$C$2:$C$5000,"Ingreso inventario")+SUMIFS(Movimientos!$F$2:$F$5000,Movimientos!$D$2:$D$5000,$A169,Movimientos!$C$2:$C$5000,"Ajuste")-SUMIFS(Movimientos!$F$2:$F$5000,Movimientos!$D$2:$D$5000,$A169,Movimientos!$C$2:$C$5000,"Consumido en evento")-SUMIFS(Movimientos!$F$2:$F$5000,Movimientos!$D$2:$D$5000,$A169,Movimientos!$C$2:$C$5000,"Consumo interno")-SUMIFS(Movimientos!$F$2:$F$5000,Movimientos!$D$2:$D$5000,$A169,Movimientos!$C$2:$C$5000,"Baja")-SUMIFS(Movimientos!$F$2:$F$5000,Movimientos!$D$2:$D$5000,$A169,Movimientos!$C$2:$C$5000,"Baja desde reparación")</f>
        <v>2</v>
      </c>
      <c r="Q169" s="45">
        <f>SUMIFS(Movimientos!$F$2:$F$5000,Movimientos!$D$2:$D$5000,$A169,Movimientos!$C$2:$C$5000,"Salida alquiler")-SUMIFS(Movimientos!$F$2:$F$5000,Movimientos!$D$2:$D$5000,$A169,Movimientos!$C$2:$C$5000,"Retorno alquiler")-SUMIFS(Movimientos!$F$2:$F$5000,Movimientos!$D$2:$D$5000,$A169,Movimientos!$C$2:$C$5000,"Consumido en evento")-SUMIFS(Movimientos!$F$2:$F$5000,Movimientos!$D$2:$D$5000,$A169,Movimientos!$C$2:$C$5000,"A reparación")</f>
        <v>0</v>
      </c>
      <c r="R169" s="45">
        <f>SUMIFS(Movimientos!$F$2:$F$5000,Movimientos!$D$2:$D$5000,$A169,Movimientos!$C$2:$C$5000,"A reparación")-SUMIFS(Movimientos!$F$2:$F$5000,Movimientos!$D$2:$D$5000,$A169,Movimientos!$C$2:$C$5000,"Retorno reparación")-SUMIFS(Movimientos!$F$2:$F$5000,Movimientos!$D$2:$D$5000,$A169,Movimientos!$C$2:$C$5000,"Baja desde reparación")</f>
        <v>0</v>
      </c>
      <c r="S169" s="45">
        <f>P169-Q169-R169</f>
        <v>2</v>
      </c>
    </row>
    <row r="170" spans="1:19">
      <c r="A170" s="15" t="s">
        <v>850</v>
      </c>
      <c r="B170" s="15" t="s">
        <v>851</v>
      </c>
      <c r="C170" s="42" t="s">
        <v>852</v>
      </c>
      <c r="D170" s="15" t="s">
        <v>101</v>
      </c>
      <c r="E170" s="42" t="s">
        <v>853</v>
      </c>
      <c r="F170" s="43">
        <v>1</v>
      </c>
      <c r="G170" s="15" t="s">
        <v>507</v>
      </c>
      <c r="H170" s="44">
        <v>2</v>
      </c>
      <c r="I170" s="15" t="s">
        <v>104</v>
      </c>
      <c r="J170" s="15" t="s">
        <v>33</v>
      </c>
      <c r="K170" s="15" t="s">
        <v>35</v>
      </c>
      <c r="L170" s="15"/>
      <c r="M170" s="15" t="s">
        <v>38</v>
      </c>
      <c r="N170" s="15"/>
      <c r="O170" s="15"/>
      <c r="P170" s="45">
        <f>H170+SUMIFS(Movimientos!$F$2:$F$5000,Movimientos!$D$2:$D$5000,$A170,Movimientos!$C$2:$C$5000,"Ingreso inventario")+SUMIFS(Movimientos!$F$2:$F$5000,Movimientos!$D$2:$D$5000,$A170,Movimientos!$C$2:$C$5000,"Ajuste")-SUMIFS(Movimientos!$F$2:$F$5000,Movimientos!$D$2:$D$5000,$A170,Movimientos!$C$2:$C$5000,"Consumido en evento")-SUMIFS(Movimientos!$F$2:$F$5000,Movimientos!$D$2:$D$5000,$A170,Movimientos!$C$2:$C$5000,"Consumo interno")-SUMIFS(Movimientos!$F$2:$F$5000,Movimientos!$D$2:$D$5000,$A170,Movimientos!$C$2:$C$5000,"Baja")-SUMIFS(Movimientos!$F$2:$F$5000,Movimientos!$D$2:$D$5000,$A170,Movimientos!$C$2:$C$5000,"Baja desde reparación")</f>
        <v>2</v>
      </c>
      <c r="Q170" s="45">
        <f>SUMIFS(Movimientos!$F$2:$F$5000,Movimientos!$D$2:$D$5000,$A170,Movimientos!$C$2:$C$5000,"Salida alquiler")-SUMIFS(Movimientos!$F$2:$F$5000,Movimientos!$D$2:$D$5000,$A170,Movimientos!$C$2:$C$5000,"Retorno alquiler")-SUMIFS(Movimientos!$F$2:$F$5000,Movimientos!$D$2:$D$5000,$A170,Movimientos!$C$2:$C$5000,"Consumido en evento")-SUMIFS(Movimientos!$F$2:$F$5000,Movimientos!$D$2:$D$5000,$A170,Movimientos!$C$2:$C$5000,"A reparación")</f>
        <v>0</v>
      </c>
      <c r="R170" s="45">
        <f>SUMIFS(Movimientos!$F$2:$F$5000,Movimientos!$D$2:$D$5000,$A170,Movimientos!$C$2:$C$5000,"A reparación")-SUMIFS(Movimientos!$F$2:$F$5000,Movimientos!$D$2:$D$5000,$A170,Movimientos!$C$2:$C$5000,"Retorno reparación")-SUMIFS(Movimientos!$F$2:$F$5000,Movimientos!$D$2:$D$5000,$A170,Movimientos!$C$2:$C$5000,"Baja desde reparación")</f>
        <v>0</v>
      </c>
      <c r="S170" s="45">
        <f>P170-Q170-R170</f>
        <v>2</v>
      </c>
    </row>
    <row r="171" spans="1:19">
      <c r="A171" s="15" t="s">
        <v>854</v>
      </c>
      <c r="B171" s="15" t="s">
        <v>855</v>
      </c>
      <c r="C171" s="42" t="s">
        <v>856</v>
      </c>
      <c r="D171" s="15" t="s">
        <v>101</v>
      </c>
      <c r="E171" s="42" t="s">
        <v>857</v>
      </c>
      <c r="F171" s="43">
        <v>1</v>
      </c>
      <c r="G171" s="15" t="s">
        <v>507</v>
      </c>
      <c r="H171" s="44">
        <v>3</v>
      </c>
      <c r="I171" s="15" t="s">
        <v>104</v>
      </c>
      <c r="J171" s="15" t="s">
        <v>33</v>
      </c>
      <c r="K171" s="15" t="s">
        <v>35</v>
      </c>
      <c r="L171" s="15"/>
      <c r="M171" s="15" t="s">
        <v>38</v>
      </c>
      <c r="N171" s="15"/>
      <c r="O171" s="15"/>
      <c r="P171" s="45">
        <f>H171+SUMIFS(Movimientos!$F$2:$F$5000,Movimientos!$D$2:$D$5000,$A171,Movimientos!$C$2:$C$5000,"Ingreso inventario")+SUMIFS(Movimientos!$F$2:$F$5000,Movimientos!$D$2:$D$5000,$A171,Movimientos!$C$2:$C$5000,"Ajuste")-SUMIFS(Movimientos!$F$2:$F$5000,Movimientos!$D$2:$D$5000,$A171,Movimientos!$C$2:$C$5000,"Consumido en evento")-SUMIFS(Movimientos!$F$2:$F$5000,Movimientos!$D$2:$D$5000,$A171,Movimientos!$C$2:$C$5000,"Consumo interno")-SUMIFS(Movimientos!$F$2:$F$5000,Movimientos!$D$2:$D$5000,$A171,Movimientos!$C$2:$C$5000,"Baja")-SUMIFS(Movimientos!$F$2:$F$5000,Movimientos!$D$2:$D$5000,$A171,Movimientos!$C$2:$C$5000,"Baja desde reparación")</f>
        <v>3</v>
      </c>
      <c r="Q171" s="45">
        <f>SUMIFS(Movimientos!$F$2:$F$5000,Movimientos!$D$2:$D$5000,$A171,Movimientos!$C$2:$C$5000,"Salida alquiler")-SUMIFS(Movimientos!$F$2:$F$5000,Movimientos!$D$2:$D$5000,$A171,Movimientos!$C$2:$C$5000,"Retorno alquiler")-SUMIFS(Movimientos!$F$2:$F$5000,Movimientos!$D$2:$D$5000,$A171,Movimientos!$C$2:$C$5000,"Consumido en evento")-SUMIFS(Movimientos!$F$2:$F$5000,Movimientos!$D$2:$D$5000,$A171,Movimientos!$C$2:$C$5000,"A reparación")</f>
        <v>0</v>
      </c>
      <c r="R171" s="45">
        <f>SUMIFS(Movimientos!$F$2:$F$5000,Movimientos!$D$2:$D$5000,$A171,Movimientos!$C$2:$C$5000,"A reparación")-SUMIFS(Movimientos!$F$2:$F$5000,Movimientos!$D$2:$D$5000,$A171,Movimientos!$C$2:$C$5000,"Retorno reparación")-SUMIFS(Movimientos!$F$2:$F$5000,Movimientos!$D$2:$D$5000,$A171,Movimientos!$C$2:$C$5000,"Baja desde reparación")</f>
        <v>0</v>
      </c>
      <c r="S171" s="45">
        <f>P171-Q171-R171</f>
        <v>3</v>
      </c>
    </row>
    <row r="172" spans="1:19">
      <c r="A172" s="15" t="s">
        <v>858</v>
      </c>
      <c r="B172" s="15" t="s">
        <v>859</v>
      </c>
      <c r="C172" s="42" t="s">
        <v>860</v>
      </c>
      <c r="D172" s="15" t="s">
        <v>101</v>
      </c>
      <c r="E172" s="42" t="s">
        <v>861</v>
      </c>
      <c r="F172" s="43">
        <v>1</v>
      </c>
      <c r="G172" s="15" t="s">
        <v>507</v>
      </c>
      <c r="H172" s="44">
        <v>1</v>
      </c>
      <c r="I172" s="15" t="s">
        <v>104</v>
      </c>
      <c r="J172" s="15" t="s">
        <v>33</v>
      </c>
      <c r="K172" s="15" t="s">
        <v>35</v>
      </c>
      <c r="L172" s="15"/>
      <c r="M172" s="15" t="s">
        <v>38</v>
      </c>
      <c r="N172" s="15"/>
      <c r="O172" s="15"/>
      <c r="P172" s="45">
        <f>H172+SUMIFS(Movimientos!$F$2:$F$5000,Movimientos!$D$2:$D$5000,$A172,Movimientos!$C$2:$C$5000,"Ingreso inventario")+SUMIFS(Movimientos!$F$2:$F$5000,Movimientos!$D$2:$D$5000,$A172,Movimientos!$C$2:$C$5000,"Ajuste")-SUMIFS(Movimientos!$F$2:$F$5000,Movimientos!$D$2:$D$5000,$A172,Movimientos!$C$2:$C$5000,"Consumido en evento")-SUMIFS(Movimientos!$F$2:$F$5000,Movimientos!$D$2:$D$5000,$A172,Movimientos!$C$2:$C$5000,"Consumo interno")-SUMIFS(Movimientos!$F$2:$F$5000,Movimientos!$D$2:$D$5000,$A172,Movimientos!$C$2:$C$5000,"Baja")-SUMIFS(Movimientos!$F$2:$F$5000,Movimientos!$D$2:$D$5000,$A172,Movimientos!$C$2:$C$5000,"Baja desde reparación")</f>
        <v>1</v>
      </c>
      <c r="Q172" s="45">
        <f>SUMIFS(Movimientos!$F$2:$F$5000,Movimientos!$D$2:$D$5000,$A172,Movimientos!$C$2:$C$5000,"Salida alquiler")-SUMIFS(Movimientos!$F$2:$F$5000,Movimientos!$D$2:$D$5000,$A172,Movimientos!$C$2:$C$5000,"Retorno alquiler")-SUMIFS(Movimientos!$F$2:$F$5000,Movimientos!$D$2:$D$5000,$A172,Movimientos!$C$2:$C$5000,"Consumido en evento")-SUMIFS(Movimientos!$F$2:$F$5000,Movimientos!$D$2:$D$5000,$A172,Movimientos!$C$2:$C$5000,"A reparación")</f>
        <v>0</v>
      </c>
      <c r="R172" s="45">
        <f>SUMIFS(Movimientos!$F$2:$F$5000,Movimientos!$D$2:$D$5000,$A172,Movimientos!$C$2:$C$5000,"A reparación")-SUMIFS(Movimientos!$F$2:$F$5000,Movimientos!$D$2:$D$5000,$A172,Movimientos!$C$2:$C$5000,"Retorno reparación")-SUMIFS(Movimientos!$F$2:$F$5000,Movimientos!$D$2:$D$5000,$A172,Movimientos!$C$2:$C$5000,"Baja desde reparación")</f>
        <v>0</v>
      </c>
      <c r="S172" s="45">
        <f>P172-Q172-R172</f>
        <v>1</v>
      </c>
    </row>
    <row r="173" spans="1:19">
      <c r="A173" s="15" t="s">
        <v>862</v>
      </c>
      <c r="B173" s="15" t="s">
        <v>863</v>
      </c>
      <c r="C173" s="42" t="s">
        <v>864</v>
      </c>
      <c r="D173" s="15" t="s">
        <v>101</v>
      </c>
      <c r="E173" s="42" t="s">
        <v>865</v>
      </c>
      <c r="F173" s="43">
        <v>1</v>
      </c>
      <c r="G173" s="15" t="s">
        <v>507</v>
      </c>
      <c r="H173" s="44">
        <v>1</v>
      </c>
      <c r="I173" s="15" t="s">
        <v>104</v>
      </c>
      <c r="J173" s="15" t="s">
        <v>33</v>
      </c>
      <c r="K173" s="15" t="s">
        <v>35</v>
      </c>
      <c r="L173" s="15"/>
      <c r="M173" s="15" t="s">
        <v>38</v>
      </c>
      <c r="N173" s="15"/>
      <c r="O173" s="15"/>
      <c r="P173" s="45">
        <f>H173+SUMIFS(Movimientos!$F$2:$F$5000,Movimientos!$D$2:$D$5000,$A173,Movimientos!$C$2:$C$5000,"Ingreso inventario")+SUMIFS(Movimientos!$F$2:$F$5000,Movimientos!$D$2:$D$5000,$A173,Movimientos!$C$2:$C$5000,"Ajuste")-SUMIFS(Movimientos!$F$2:$F$5000,Movimientos!$D$2:$D$5000,$A173,Movimientos!$C$2:$C$5000,"Consumido en evento")-SUMIFS(Movimientos!$F$2:$F$5000,Movimientos!$D$2:$D$5000,$A173,Movimientos!$C$2:$C$5000,"Consumo interno")-SUMIFS(Movimientos!$F$2:$F$5000,Movimientos!$D$2:$D$5000,$A173,Movimientos!$C$2:$C$5000,"Baja")-SUMIFS(Movimientos!$F$2:$F$5000,Movimientos!$D$2:$D$5000,$A173,Movimientos!$C$2:$C$5000,"Baja desde reparación")</f>
        <v>1</v>
      </c>
      <c r="Q173" s="45">
        <f>SUMIFS(Movimientos!$F$2:$F$5000,Movimientos!$D$2:$D$5000,$A173,Movimientos!$C$2:$C$5000,"Salida alquiler")-SUMIFS(Movimientos!$F$2:$F$5000,Movimientos!$D$2:$D$5000,$A173,Movimientos!$C$2:$C$5000,"Retorno alquiler")-SUMIFS(Movimientos!$F$2:$F$5000,Movimientos!$D$2:$D$5000,$A173,Movimientos!$C$2:$C$5000,"Consumido en evento")-SUMIFS(Movimientos!$F$2:$F$5000,Movimientos!$D$2:$D$5000,$A173,Movimientos!$C$2:$C$5000,"A reparación")</f>
        <v>0</v>
      </c>
      <c r="R173" s="45">
        <f>SUMIFS(Movimientos!$F$2:$F$5000,Movimientos!$D$2:$D$5000,$A173,Movimientos!$C$2:$C$5000,"A reparación")-SUMIFS(Movimientos!$F$2:$F$5000,Movimientos!$D$2:$D$5000,$A173,Movimientos!$C$2:$C$5000,"Retorno reparación")-SUMIFS(Movimientos!$F$2:$F$5000,Movimientos!$D$2:$D$5000,$A173,Movimientos!$C$2:$C$5000,"Baja desde reparación")</f>
        <v>0</v>
      </c>
      <c r="S173" s="45">
        <f>P173-Q173-R173</f>
        <v>1</v>
      </c>
    </row>
    <row r="174" spans="1:19">
      <c r="A174" s="15" t="s">
        <v>866</v>
      </c>
      <c r="B174" s="15" t="s">
        <v>867</v>
      </c>
      <c r="C174" s="42" t="s">
        <v>868</v>
      </c>
      <c r="D174" s="15" t="s">
        <v>101</v>
      </c>
      <c r="E174" s="42" t="s">
        <v>869</v>
      </c>
      <c r="F174" s="43">
        <v>1</v>
      </c>
      <c r="G174" s="15" t="s">
        <v>507</v>
      </c>
      <c r="H174" s="44">
        <v>1</v>
      </c>
      <c r="I174" s="15" t="s">
        <v>104</v>
      </c>
      <c r="J174" s="15" t="s">
        <v>33</v>
      </c>
      <c r="K174" s="15" t="s">
        <v>35</v>
      </c>
      <c r="L174" s="15"/>
      <c r="M174" s="15" t="s">
        <v>38</v>
      </c>
      <c r="N174" s="15"/>
      <c r="O174" s="15"/>
      <c r="P174" s="45">
        <f>H174+SUMIFS(Movimientos!$F$2:$F$5000,Movimientos!$D$2:$D$5000,$A174,Movimientos!$C$2:$C$5000,"Ingreso inventario")+SUMIFS(Movimientos!$F$2:$F$5000,Movimientos!$D$2:$D$5000,$A174,Movimientos!$C$2:$C$5000,"Ajuste")-SUMIFS(Movimientos!$F$2:$F$5000,Movimientos!$D$2:$D$5000,$A174,Movimientos!$C$2:$C$5000,"Consumido en evento")-SUMIFS(Movimientos!$F$2:$F$5000,Movimientos!$D$2:$D$5000,$A174,Movimientos!$C$2:$C$5000,"Consumo interno")-SUMIFS(Movimientos!$F$2:$F$5000,Movimientos!$D$2:$D$5000,$A174,Movimientos!$C$2:$C$5000,"Baja")-SUMIFS(Movimientos!$F$2:$F$5000,Movimientos!$D$2:$D$5000,$A174,Movimientos!$C$2:$C$5000,"Baja desde reparación")</f>
        <v>1</v>
      </c>
      <c r="Q174" s="45">
        <f>SUMIFS(Movimientos!$F$2:$F$5000,Movimientos!$D$2:$D$5000,$A174,Movimientos!$C$2:$C$5000,"Salida alquiler")-SUMIFS(Movimientos!$F$2:$F$5000,Movimientos!$D$2:$D$5000,$A174,Movimientos!$C$2:$C$5000,"Retorno alquiler")-SUMIFS(Movimientos!$F$2:$F$5000,Movimientos!$D$2:$D$5000,$A174,Movimientos!$C$2:$C$5000,"Consumido en evento")-SUMIFS(Movimientos!$F$2:$F$5000,Movimientos!$D$2:$D$5000,$A174,Movimientos!$C$2:$C$5000,"A reparación")</f>
        <v>0</v>
      </c>
      <c r="R174" s="45">
        <f>SUMIFS(Movimientos!$F$2:$F$5000,Movimientos!$D$2:$D$5000,$A174,Movimientos!$C$2:$C$5000,"A reparación")-SUMIFS(Movimientos!$F$2:$F$5000,Movimientos!$D$2:$D$5000,$A174,Movimientos!$C$2:$C$5000,"Retorno reparación")-SUMIFS(Movimientos!$F$2:$F$5000,Movimientos!$D$2:$D$5000,$A174,Movimientos!$C$2:$C$5000,"Baja desde reparación")</f>
        <v>0</v>
      </c>
      <c r="S174" s="45">
        <f>P174-Q174-R174</f>
        <v>1</v>
      </c>
    </row>
    <row r="175" spans="1:19">
      <c r="A175" s="15" t="s">
        <v>870</v>
      </c>
      <c r="B175" s="15" t="s">
        <v>871</v>
      </c>
      <c r="C175" s="42" t="s">
        <v>872</v>
      </c>
      <c r="D175" s="15" t="s">
        <v>101</v>
      </c>
      <c r="E175" s="42" t="s">
        <v>873</v>
      </c>
      <c r="F175" s="43">
        <v>1</v>
      </c>
      <c r="G175" s="15" t="s">
        <v>507</v>
      </c>
      <c r="H175" s="44">
        <v>3</v>
      </c>
      <c r="I175" s="15" t="s">
        <v>104</v>
      </c>
      <c r="J175" s="15" t="s">
        <v>33</v>
      </c>
      <c r="K175" s="15" t="s">
        <v>35</v>
      </c>
      <c r="L175" s="15"/>
      <c r="M175" s="15" t="s">
        <v>38</v>
      </c>
      <c r="N175" s="15"/>
      <c r="O175" s="15"/>
      <c r="P175" s="45">
        <f>H175+SUMIFS(Movimientos!$F$2:$F$5000,Movimientos!$D$2:$D$5000,$A175,Movimientos!$C$2:$C$5000,"Ingreso inventario")+SUMIFS(Movimientos!$F$2:$F$5000,Movimientos!$D$2:$D$5000,$A175,Movimientos!$C$2:$C$5000,"Ajuste")-SUMIFS(Movimientos!$F$2:$F$5000,Movimientos!$D$2:$D$5000,$A175,Movimientos!$C$2:$C$5000,"Consumido en evento")-SUMIFS(Movimientos!$F$2:$F$5000,Movimientos!$D$2:$D$5000,$A175,Movimientos!$C$2:$C$5000,"Consumo interno")-SUMIFS(Movimientos!$F$2:$F$5000,Movimientos!$D$2:$D$5000,$A175,Movimientos!$C$2:$C$5000,"Baja")-SUMIFS(Movimientos!$F$2:$F$5000,Movimientos!$D$2:$D$5000,$A175,Movimientos!$C$2:$C$5000,"Baja desde reparación")</f>
        <v>3</v>
      </c>
      <c r="Q175" s="45">
        <f>SUMIFS(Movimientos!$F$2:$F$5000,Movimientos!$D$2:$D$5000,$A175,Movimientos!$C$2:$C$5000,"Salida alquiler")-SUMIFS(Movimientos!$F$2:$F$5000,Movimientos!$D$2:$D$5000,$A175,Movimientos!$C$2:$C$5000,"Retorno alquiler")-SUMIFS(Movimientos!$F$2:$F$5000,Movimientos!$D$2:$D$5000,$A175,Movimientos!$C$2:$C$5000,"Consumido en evento")-SUMIFS(Movimientos!$F$2:$F$5000,Movimientos!$D$2:$D$5000,$A175,Movimientos!$C$2:$C$5000,"A reparación")</f>
        <v>0</v>
      </c>
      <c r="R175" s="45">
        <f>SUMIFS(Movimientos!$F$2:$F$5000,Movimientos!$D$2:$D$5000,$A175,Movimientos!$C$2:$C$5000,"A reparación")-SUMIFS(Movimientos!$F$2:$F$5000,Movimientos!$D$2:$D$5000,$A175,Movimientos!$C$2:$C$5000,"Retorno reparación")-SUMIFS(Movimientos!$F$2:$F$5000,Movimientos!$D$2:$D$5000,$A175,Movimientos!$C$2:$C$5000,"Baja desde reparación")</f>
        <v>0</v>
      </c>
      <c r="S175" s="45">
        <f>P175-Q175-R175</f>
        <v>3</v>
      </c>
    </row>
    <row r="176" spans="1:19">
      <c r="A176" s="15" t="s">
        <v>874</v>
      </c>
      <c r="B176" s="15" t="s">
        <v>875</v>
      </c>
      <c r="C176" s="42" t="s">
        <v>876</v>
      </c>
      <c r="D176" s="15" t="s">
        <v>101</v>
      </c>
      <c r="E176" s="42" t="s">
        <v>877</v>
      </c>
      <c r="F176" s="43">
        <v>1</v>
      </c>
      <c r="G176" s="15" t="s">
        <v>507</v>
      </c>
      <c r="H176" s="44">
        <v>1</v>
      </c>
      <c r="I176" s="15" t="s">
        <v>104</v>
      </c>
      <c r="J176" s="15" t="s">
        <v>33</v>
      </c>
      <c r="K176" s="15" t="s">
        <v>35</v>
      </c>
      <c r="L176" s="15"/>
      <c r="M176" s="15" t="s">
        <v>38</v>
      </c>
      <c r="N176" s="15"/>
      <c r="O176" s="15"/>
      <c r="P176" s="45">
        <f>H176+SUMIFS(Movimientos!$F$2:$F$5000,Movimientos!$D$2:$D$5000,$A176,Movimientos!$C$2:$C$5000,"Ingreso inventario")+SUMIFS(Movimientos!$F$2:$F$5000,Movimientos!$D$2:$D$5000,$A176,Movimientos!$C$2:$C$5000,"Ajuste")-SUMIFS(Movimientos!$F$2:$F$5000,Movimientos!$D$2:$D$5000,$A176,Movimientos!$C$2:$C$5000,"Consumido en evento")-SUMIFS(Movimientos!$F$2:$F$5000,Movimientos!$D$2:$D$5000,$A176,Movimientos!$C$2:$C$5000,"Consumo interno")-SUMIFS(Movimientos!$F$2:$F$5000,Movimientos!$D$2:$D$5000,$A176,Movimientos!$C$2:$C$5000,"Baja")-SUMIFS(Movimientos!$F$2:$F$5000,Movimientos!$D$2:$D$5000,$A176,Movimientos!$C$2:$C$5000,"Baja desde reparación")</f>
        <v>1</v>
      </c>
      <c r="Q176" s="45">
        <f>SUMIFS(Movimientos!$F$2:$F$5000,Movimientos!$D$2:$D$5000,$A176,Movimientos!$C$2:$C$5000,"Salida alquiler")-SUMIFS(Movimientos!$F$2:$F$5000,Movimientos!$D$2:$D$5000,$A176,Movimientos!$C$2:$C$5000,"Retorno alquiler")-SUMIFS(Movimientos!$F$2:$F$5000,Movimientos!$D$2:$D$5000,$A176,Movimientos!$C$2:$C$5000,"Consumido en evento")-SUMIFS(Movimientos!$F$2:$F$5000,Movimientos!$D$2:$D$5000,$A176,Movimientos!$C$2:$C$5000,"A reparación")</f>
        <v>0</v>
      </c>
      <c r="R176" s="45">
        <f>SUMIFS(Movimientos!$F$2:$F$5000,Movimientos!$D$2:$D$5000,$A176,Movimientos!$C$2:$C$5000,"A reparación")-SUMIFS(Movimientos!$F$2:$F$5000,Movimientos!$D$2:$D$5000,$A176,Movimientos!$C$2:$C$5000,"Retorno reparación")-SUMIFS(Movimientos!$F$2:$F$5000,Movimientos!$D$2:$D$5000,$A176,Movimientos!$C$2:$C$5000,"Baja desde reparación")</f>
        <v>0</v>
      </c>
      <c r="S176" s="45">
        <f>P176-Q176-R176</f>
        <v>1</v>
      </c>
    </row>
    <row r="177" spans="1:19">
      <c r="A177" s="15" t="s">
        <v>878</v>
      </c>
      <c r="B177" s="15" t="s">
        <v>879</v>
      </c>
      <c r="C177" s="42" t="s">
        <v>880</v>
      </c>
      <c r="D177" s="15" t="s">
        <v>101</v>
      </c>
      <c r="E177" s="42" t="s">
        <v>881</v>
      </c>
      <c r="F177" s="43">
        <v>1</v>
      </c>
      <c r="G177" s="15" t="s">
        <v>507</v>
      </c>
      <c r="H177" s="44">
        <v>1</v>
      </c>
      <c r="I177" s="15" t="s">
        <v>104</v>
      </c>
      <c r="J177" s="15" t="s">
        <v>33</v>
      </c>
      <c r="K177" s="15" t="s">
        <v>35</v>
      </c>
      <c r="L177" s="15"/>
      <c r="M177" s="15" t="s">
        <v>38</v>
      </c>
      <c r="N177" s="15"/>
      <c r="O177" s="15"/>
      <c r="P177" s="45">
        <f>H177+SUMIFS(Movimientos!$F$2:$F$5000,Movimientos!$D$2:$D$5000,$A177,Movimientos!$C$2:$C$5000,"Ingreso inventario")+SUMIFS(Movimientos!$F$2:$F$5000,Movimientos!$D$2:$D$5000,$A177,Movimientos!$C$2:$C$5000,"Ajuste")-SUMIFS(Movimientos!$F$2:$F$5000,Movimientos!$D$2:$D$5000,$A177,Movimientos!$C$2:$C$5000,"Consumido en evento")-SUMIFS(Movimientos!$F$2:$F$5000,Movimientos!$D$2:$D$5000,$A177,Movimientos!$C$2:$C$5000,"Consumo interno")-SUMIFS(Movimientos!$F$2:$F$5000,Movimientos!$D$2:$D$5000,$A177,Movimientos!$C$2:$C$5000,"Baja")-SUMIFS(Movimientos!$F$2:$F$5000,Movimientos!$D$2:$D$5000,$A177,Movimientos!$C$2:$C$5000,"Baja desde reparación")</f>
        <v>1</v>
      </c>
      <c r="Q177" s="45">
        <f>SUMIFS(Movimientos!$F$2:$F$5000,Movimientos!$D$2:$D$5000,$A177,Movimientos!$C$2:$C$5000,"Salida alquiler")-SUMIFS(Movimientos!$F$2:$F$5000,Movimientos!$D$2:$D$5000,$A177,Movimientos!$C$2:$C$5000,"Retorno alquiler")-SUMIFS(Movimientos!$F$2:$F$5000,Movimientos!$D$2:$D$5000,$A177,Movimientos!$C$2:$C$5000,"Consumido en evento")-SUMIFS(Movimientos!$F$2:$F$5000,Movimientos!$D$2:$D$5000,$A177,Movimientos!$C$2:$C$5000,"A reparación")</f>
        <v>0</v>
      </c>
      <c r="R177" s="45">
        <f>SUMIFS(Movimientos!$F$2:$F$5000,Movimientos!$D$2:$D$5000,$A177,Movimientos!$C$2:$C$5000,"A reparación")-SUMIFS(Movimientos!$F$2:$F$5000,Movimientos!$D$2:$D$5000,$A177,Movimientos!$C$2:$C$5000,"Retorno reparación")-SUMIFS(Movimientos!$F$2:$F$5000,Movimientos!$D$2:$D$5000,$A177,Movimientos!$C$2:$C$5000,"Baja desde reparación")</f>
        <v>0</v>
      </c>
      <c r="S177" s="45">
        <f>P177-Q177-R177</f>
        <v>1</v>
      </c>
    </row>
    <row r="178" spans="1:19">
      <c r="A178" s="15" t="s">
        <v>882</v>
      </c>
      <c r="B178" s="15" t="s">
        <v>883</v>
      </c>
      <c r="C178" s="42" t="s">
        <v>884</v>
      </c>
      <c r="D178" s="15" t="s">
        <v>101</v>
      </c>
      <c r="E178" s="42" t="s">
        <v>885</v>
      </c>
      <c r="F178" s="43">
        <v>1</v>
      </c>
      <c r="G178" s="15" t="s">
        <v>507</v>
      </c>
      <c r="H178" s="44">
        <v>2</v>
      </c>
      <c r="I178" s="15" t="s">
        <v>104</v>
      </c>
      <c r="J178" s="15" t="s">
        <v>33</v>
      </c>
      <c r="K178" s="15" t="s">
        <v>35</v>
      </c>
      <c r="L178" s="15"/>
      <c r="M178" s="15" t="s">
        <v>38</v>
      </c>
      <c r="N178" s="15"/>
      <c r="O178" s="15"/>
      <c r="P178" s="45">
        <f>H178+SUMIFS(Movimientos!$F$2:$F$5000,Movimientos!$D$2:$D$5000,$A178,Movimientos!$C$2:$C$5000,"Ingreso inventario")+SUMIFS(Movimientos!$F$2:$F$5000,Movimientos!$D$2:$D$5000,$A178,Movimientos!$C$2:$C$5000,"Ajuste")-SUMIFS(Movimientos!$F$2:$F$5000,Movimientos!$D$2:$D$5000,$A178,Movimientos!$C$2:$C$5000,"Consumido en evento")-SUMIFS(Movimientos!$F$2:$F$5000,Movimientos!$D$2:$D$5000,$A178,Movimientos!$C$2:$C$5000,"Consumo interno")-SUMIFS(Movimientos!$F$2:$F$5000,Movimientos!$D$2:$D$5000,$A178,Movimientos!$C$2:$C$5000,"Baja")-SUMIFS(Movimientos!$F$2:$F$5000,Movimientos!$D$2:$D$5000,$A178,Movimientos!$C$2:$C$5000,"Baja desde reparación")</f>
        <v>2</v>
      </c>
      <c r="Q178" s="45">
        <f>SUMIFS(Movimientos!$F$2:$F$5000,Movimientos!$D$2:$D$5000,$A178,Movimientos!$C$2:$C$5000,"Salida alquiler")-SUMIFS(Movimientos!$F$2:$F$5000,Movimientos!$D$2:$D$5000,$A178,Movimientos!$C$2:$C$5000,"Retorno alquiler")-SUMIFS(Movimientos!$F$2:$F$5000,Movimientos!$D$2:$D$5000,$A178,Movimientos!$C$2:$C$5000,"Consumido en evento")-SUMIFS(Movimientos!$F$2:$F$5000,Movimientos!$D$2:$D$5000,$A178,Movimientos!$C$2:$C$5000,"A reparación")</f>
        <v>0</v>
      </c>
      <c r="R178" s="45">
        <f>SUMIFS(Movimientos!$F$2:$F$5000,Movimientos!$D$2:$D$5000,$A178,Movimientos!$C$2:$C$5000,"A reparación")-SUMIFS(Movimientos!$F$2:$F$5000,Movimientos!$D$2:$D$5000,$A178,Movimientos!$C$2:$C$5000,"Retorno reparación")-SUMIFS(Movimientos!$F$2:$F$5000,Movimientos!$D$2:$D$5000,$A178,Movimientos!$C$2:$C$5000,"Baja desde reparación")</f>
        <v>0</v>
      </c>
      <c r="S178" s="45">
        <f>P178-Q178-R178</f>
        <v>2</v>
      </c>
    </row>
    <row r="179" spans="1:19">
      <c r="A179" s="15" t="s">
        <v>886</v>
      </c>
      <c r="B179" s="15" t="s">
        <v>887</v>
      </c>
      <c r="C179" s="42" t="s">
        <v>888</v>
      </c>
      <c r="D179" s="15" t="s">
        <v>101</v>
      </c>
      <c r="E179" s="42" t="s">
        <v>889</v>
      </c>
      <c r="F179" s="43">
        <v>1</v>
      </c>
      <c r="G179" s="15" t="s">
        <v>507</v>
      </c>
      <c r="H179" s="44">
        <v>2</v>
      </c>
      <c r="I179" s="15" t="s">
        <v>104</v>
      </c>
      <c r="J179" s="15" t="s">
        <v>33</v>
      </c>
      <c r="K179" s="15" t="s">
        <v>35</v>
      </c>
      <c r="L179" s="15"/>
      <c r="M179" s="15" t="s">
        <v>38</v>
      </c>
      <c r="N179" s="15"/>
      <c r="O179" s="15"/>
      <c r="P179" s="45">
        <f>H179+SUMIFS(Movimientos!$F$2:$F$5000,Movimientos!$D$2:$D$5000,$A179,Movimientos!$C$2:$C$5000,"Ingreso inventario")+SUMIFS(Movimientos!$F$2:$F$5000,Movimientos!$D$2:$D$5000,$A179,Movimientos!$C$2:$C$5000,"Ajuste")-SUMIFS(Movimientos!$F$2:$F$5000,Movimientos!$D$2:$D$5000,$A179,Movimientos!$C$2:$C$5000,"Consumido en evento")-SUMIFS(Movimientos!$F$2:$F$5000,Movimientos!$D$2:$D$5000,$A179,Movimientos!$C$2:$C$5000,"Consumo interno")-SUMIFS(Movimientos!$F$2:$F$5000,Movimientos!$D$2:$D$5000,$A179,Movimientos!$C$2:$C$5000,"Baja")-SUMIFS(Movimientos!$F$2:$F$5000,Movimientos!$D$2:$D$5000,$A179,Movimientos!$C$2:$C$5000,"Baja desde reparación")</f>
        <v>2</v>
      </c>
      <c r="Q179" s="45">
        <f>SUMIFS(Movimientos!$F$2:$F$5000,Movimientos!$D$2:$D$5000,$A179,Movimientos!$C$2:$C$5000,"Salida alquiler")-SUMIFS(Movimientos!$F$2:$F$5000,Movimientos!$D$2:$D$5000,$A179,Movimientos!$C$2:$C$5000,"Retorno alquiler")-SUMIFS(Movimientos!$F$2:$F$5000,Movimientos!$D$2:$D$5000,$A179,Movimientos!$C$2:$C$5000,"Consumido en evento")-SUMIFS(Movimientos!$F$2:$F$5000,Movimientos!$D$2:$D$5000,$A179,Movimientos!$C$2:$C$5000,"A reparación")</f>
        <v>0</v>
      </c>
      <c r="R179" s="45">
        <f>SUMIFS(Movimientos!$F$2:$F$5000,Movimientos!$D$2:$D$5000,$A179,Movimientos!$C$2:$C$5000,"A reparación")-SUMIFS(Movimientos!$F$2:$F$5000,Movimientos!$D$2:$D$5000,$A179,Movimientos!$C$2:$C$5000,"Retorno reparación")-SUMIFS(Movimientos!$F$2:$F$5000,Movimientos!$D$2:$D$5000,$A179,Movimientos!$C$2:$C$5000,"Baja desde reparación")</f>
        <v>0</v>
      </c>
      <c r="S179" s="45">
        <f>P179-Q179-R179</f>
        <v>2</v>
      </c>
    </row>
    <row r="180" spans="1:19">
      <c r="A180" s="15" t="s">
        <v>890</v>
      </c>
      <c r="B180" s="15" t="s">
        <v>891</v>
      </c>
      <c r="C180" s="42" t="s">
        <v>892</v>
      </c>
      <c r="D180" s="15" t="s">
        <v>101</v>
      </c>
      <c r="E180" s="42" t="s">
        <v>893</v>
      </c>
      <c r="F180" s="43">
        <v>1</v>
      </c>
      <c r="G180" s="15" t="s">
        <v>507</v>
      </c>
      <c r="H180" s="44">
        <v>3</v>
      </c>
      <c r="I180" s="15" t="s">
        <v>104</v>
      </c>
      <c r="J180" s="15" t="s">
        <v>33</v>
      </c>
      <c r="K180" s="15" t="s">
        <v>35</v>
      </c>
      <c r="L180" s="15"/>
      <c r="M180" s="15" t="s">
        <v>38</v>
      </c>
      <c r="N180" s="15"/>
      <c r="O180" s="15"/>
      <c r="P180" s="45">
        <f>H180+SUMIFS(Movimientos!$F$2:$F$5000,Movimientos!$D$2:$D$5000,$A180,Movimientos!$C$2:$C$5000,"Ingreso inventario")+SUMIFS(Movimientos!$F$2:$F$5000,Movimientos!$D$2:$D$5000,$A180,Movimientos!$C$2:$C$5000,"Ajuste")-SUMIFS(Movimientos!$F$2:$F$5000,Movimientos!$D$2:$D$5000,$A180,Movimientos!$C$2:$C$5000,"Consumido en evento")-SUMIFS(Movimientos!$F$2:$F$5000,Movimientos!$D$2:$D$5000,$A180,Movimientos!$C$2:$C$5000,"Consumo interno")-SUMIFS(Movimientos!$F$2:$F$5000,Movimientos!$D$2:$D$5000,$A180,Movimientos!$C$2:$C$5000,"Baja")-SUMIFS(Movimientos!$F$2:$F$5000,Movimientos!$D$2:$D$5000,$A180,Movimientos!$C$2:$C$5000,"Baja desde reparación")</f>
        <v>3</v>
      </c>
      <c r="Q180" s="45">
        <f>SUMIFS(Movimientos!$F$2:$F$5000,Movimientos!$D$2:$D$5000,$A180,Movimientos!$C$2:$C$5000,"Salida alquiler")-SUMIFS(Movimientos!$F$2:$F$5000,Movimientos!$D$2:$D$5000,$A180,Movimientos!$C$2:$C$5000,"Retorno alquiler")-SUMIFS(Movimientos!$F$2:$F$5000,Movimientos!$D$2:$D$5000,$A180,Movimientos!$C$2:$C$5000,"Consumido en evento")-SUMIFS(Movimientos!$F$2:$F$5000,Movimientos!$D$2:$D$5000,$A180,Movimientos!$C$2:$C$5000,"A reparación")</f>
        <v>0</v>
      </c>
      <c r="R180" s="45">
        <f>SUMIFS(Movimientos!$F$2:$F$5000,Movimientos!$D$2:$D$5000,$A180,Movimientos!$C$2:$C$5000,"A reparación")-SUMIFS(Movimientos!$F$2:$F$5000,Movimientos!$D$2:$D$5000,$A180,Movimientos!$C$2:$C$5000,"Retorno reparación")-SUMIFS(Movimientos!$F$2:$F$5000,Movimientos!$D$2:$D$5000,$A180,Movimientos!$C$2:$C$5000,"Baja desde reparación")</f>
        <v>0</v>
      </c>
      <c r="S180" s="45">
        <f>P180-Q180-R180</f>
        <v>3</v>
      </c>
    </row>
    <row r="181" spans="1:19">
      <c r="A181" s="15" t="s">
        <v>894</v>
      </c>
      <c r="B181" s="15" t="s">
        <v>895</v>
      </c>
      <c r="C181" s="42" t="s">
        <v>896</v>
      </c>
      <c r="D181" s="15" t="s">
        <v>101</v>
      </c>
      <c r="E181" s="42" t="s">
        <v>897</v>
      </c>
      <c r="F181" s="43">
        <v>1</v>
      </c>
      <c r="G181" s="15" t="s">
        <v>507</v>
      </c>
      <c r="H181" s="44">
        <v>3</v>
      </c>
      <c r="I181" s="15" t="s">
        <v>104</v>
      </c>
      <c r="J181" s="15" t="s">
        <v>33</v>
      </c>
      <c r="K181" s="15" t="s">
        <v>35</v>
      </c>
      <c r="L181" s="15"/>
      <c r="M181" s="15" t="s">
        <v>38</v>
      </c>
      <c r="N181" s="15"/>
      <c r="O181" s="15"/>
      <c r="P181" s="45">
        <f>H181+SUMIFS(Movimientos!$F$2:$F$5000,Movimientos!$D$2:$D$5000,$A181,Movimientos!$C$2:$C$5000,"Ingreso inventario")+SUMIFS(Movimientos!$F$2:$F$5000,Movimientos!$D$2:$D$5000,$A181,Movimientos!$C$2:$C$5000,"Ajuste")-SUMIFS(Movimientos!$F$2:$F$5000,Movimientos!$D$2:$D$5000,$A181,Movimientos!$C$2:$C$5000,"Consumido en evento")-SUMIFS(Movimientos!$F$2:$F$5000,Movimientos!$D$2:$D$5000,$A181,Movimientos!$C$2:$C$5000,"Consumo interno")-SUMIFS(Movimientos!$F$2:$F$5000,Movimientos!$D$2:$D$5000,$A181,Movimientos!$C$2:$C$5000,"Baja")-SUMIFS(Movimientos!$F$2:$F$5000,Movimientos!$D$2:$D$5000,$A181,Movimientos!$C$2:$C$5000,"Baja desde reparación")</f>
        <v>3</v>
      </c>
      <c r="Q181" s="45">
        <f>SUMIFS(Movimientos!$F$2:$F$5000,Movimientos!$D$2:$D$5000,$A181,Movimientos!$C$2:$C$5000,"Salida alquiler")-SUMIFS(Movimientos!$F$2:$F$5000,Movimientos!$D$2:$D$5000,$A181,Movimientos!$C$2:$C$5000,"Retorno alquiler")-SUMIFS(Movimientos!$F$2:$F$5000,Movimientos!$D$2:$D$5000,$A181,Movimientos!$C$2:$C$5000,"Consumido en evento")-SUMIFS(Movimientos!$F$2:$F$5000,Movimientos!$D$2:$D$5000,$A181,Movimientos!$C$2:$C$5000,"A reparación")</f>
        <v>0</v>
      </c>
      <c r="R181" s="45">
        <f>SUMIFS(Movimientos!$F$2:$F$5000,Movimientos!$D$2:$D$5000,$A181,Movimientos!$C$2:$C$5000,"A reparación")-SUMIFS(Movimientos!$F$2:$F$5000,Movimientos!$D$2:$D$5000,$A181,Movimientos!$C$2:$C$5000,"Retorno reparación")-SUMIFS(Movimientos!$F$2:$F$5000,Movimientos!$D$2:$D$5000,$A181,Movimientos!$C$2:$C$5000,"Baja desde reparación")</f>
        <v>0</v>
      </c>
      <c r="S181" s="45">
        <f>P181-Q181-R181</f>
        <v>3</v>
      </c>
    </row>
    <row r="182" spans="1:19">
      <c r="A182" s="15" t="s">
        <v>898</v>
      </c>
      <c r="B182" s="15" t="s">
        <v>899</v>
      </c>
      <c r="C182" s="42" t="s">
        <v>900</v>
      </c>
      <c r="D182" s="15" t="s">
        <v>101</v>
      </c>
      <c r="E182" s="42" t="s">
        <v>901</v>
      </c>
      <c r="F182" s="43">
        <v>1</v>
      </c>
      <c r="G182" s="15" t="s">
        <v>507</v>
      </c>
      <c r="H182" s="44">
        <v>2</v>
      </c>
      <c r="I182" s="15" t="s">
        <v>104</v>
      </c>
      <c r="J182" s="15" t="s">
        <v>33</v>
      </c>
      <c r="K182" s="15" t="s">
        <v>35</v>
      </c>
      <c r="L182" s="15"/>
      <c r="M182" s="15" t="s">
        <v>38</v>
      </c>
      <c r="N182" s="15"/>
      <c r="O182" s="15"/>
      <c r="P182" s="45">
        <f>H182+SUMIFS(Movimientos!$F$2:$F$5000,Movimientos!$D$2:$D$5000,$A182,Movimientos!$C$2:$C$5000,"Ingreso inventario")+SUMIFS(Movimientos!$F$2:$F$5000,Movimientos!$D$2:$D$5000,$A182,Movimientos!$C$2:$C$5000,"Ajuste")-SUMIFS(Movimientos!$F$2:$F$5000,Movimientos!$D$2:$D$5000,$A182,Movimientos!$C$2:$C$5000,"Consumido en evento")-SUMIFS(Movimientos!$F$2:$F$5000,Movimientos!$D$2:$D$5000,$A182,Movimientos!$C$2:$C$5000,"Consumo interno")-SUMIFS(Movimientos!$F$2:$F$5000,Movimientos!$D$2:$D$5000,$A182,Movimientos!$C$2:$C$5000,"Baja")-SUMIFS(Movimientos!$F$2:$F$5000,Movimientos!$D$2:$D$5000,$A182,Movimientos!$C$2:$C$5000,"Baja desde reparación")</f>
        <v>2</v>
      </c>
      <c r="Q182" s="45">
        <f>SUMIFS(Movimientos!$F$2:$F$5000,Movimientos!$D$2:$D$5000,$A182,Movimientos!$C$2:$C$5000,"Salida alquiler")-SUMIFS(Movimientos!$F$2:$F$5000,Movimientos!$D$2:$D$5000,$A182,Movimientos!$C$2:$C$5000,"Retorno alquiler")-SUMIFS(Movimientos!$F$2:$F$5000,Movimientos!$D$2:$D$5000,$A182,Movimientos!$C$2:$C$5000,"Consumido en evento")-SUMIFS(Movimientos!$F$2:$F$5000,Movimientos!$D$2:$D$5000,$A182,Movimientos!$C$2:$C$5000,"A reparación")</f>
        <v>0</v>
      </c>
      <c r="R182" s="45">
        <f>SUMIFS(Movimientos!$F$2:$F$5000,Movimientos!$D$2:$D$5000,$A182,Movimientos!$C$2:$C$5000,"A reparación")-SUMIFS(Movimientos!$F$2:$F$5000,Movimientos!$D$2:$D$5000,$A182,Movimientos!$C$2:$C$5000,"Retorno reparación")-SUMIFS(Movimientos!$F$2:$F$5000,Movimientos!$D$2:$D$5000,$A182,Movimientos!$C$2:$C$5000,"Baja desde reparación")</f>
        <v>0</v>
      </c>
      <c r="S182" s="45">
        <f>P182-Q182-R182</f>
        <v>2</v>
      </c>
    </row>
    <row r="183" spans="1:19">
      <c r="A183" s="15" t="s">
        <v>902</v>
      </c>
      <c r="B183" s="15" t="s">
        <v>903</v>
      </c>
      <c r="C183" s="42" t="s">
        <v>904</v>
      </c>
      <c r="D183" s="15" t="s">
        <v>101</v>
      </c>
      <c r="E183" s="42" t="s">
        <v>905</v>
      </c>
      <c r="F183" s="43">
        <v>1</v>
      </c>
      <c r="G183" s="15" t="s">
        <v>507</v>
      </c>
      <c r="H183" s="44">
        <v>1</v>
      </c>
      <c r="I183" s="15" t="s">
        <v>104</v>
      </c>
      <c r="J183" s="15" t="s">
        <v>33</v>
      </c>
      <c r="K183" s="15" t="s">
        <v>35</v>
      </c>
      <c r="L183" s="15"/>
      <c r="M183" s="15" t="s">
        <v>38</v>
      </c>
      <c r="N183" s="15"/>
      <c r="O183" s="15"/>
      <c r="P183" s="45">
        <f>H183+SUMIFS(Movimientos!$F$2:$F$5000,Movimientos!$D$2:$D$5000,$A183,Movimientos!$C$2:$C$5000,"Ingreso inventario")+SUMIFS(Movimientos!$F$2:$F$5000,Movimientos!$D$2:$D$5000,$A183,Movimientos!$C$2:$C$5000,"Ajuste")-SUMIFS(Movimientos!$F$2:$F$5000,Movimientos!$D$2:$D$5000,$A183,Movimientos!$C$2:$C$5000,"Consumido en evento")-SUMIFS(Movimientos!$F$2:$F$5000,Movimientos!$D$2:$D$5000,$A183,Movimientos!$C$2:$C$5000,"Consumo interno")-SUMIFS(Movimientos!$F$2:$F$5000,Movimientos!$D$2:$D$5000,$A183,Movimientos!$C$2:$C$5000,"Baja")-SUMIFS(Movimientos!$F$2:$F$5000,Movimientos!$D$2:$D$5000,$A183,Movimientos!$C$2:$C$5000,"Baja desde reparación")</f>
        <v>1</v>
      </c>
      <c r="Q183" s="45">
        <f>SUMIFS(Movimientos!$F$2:$F$5000,Movimientos!$D$2:$D$5000,$A183,Movimientos!$C$2:$C$5000,"Salida alquiler")-SUMIFS(Movimientos!$F$2:$F$5000,Movimientos!$D$2:$D$5000,$A183,Movimientos!$C$2:$C$5000,"Retorno alquiler")-SUMIFS(Movimientos!$F$2:$F$5000,Movimientos!$D$2:$D$5000,$A183,Movimientos!$C$2:$C$5000,"Consumido en evento")-SUMIFS(Movimientos!$F$2:$F$5000,Movimientos!$D$2:$D$5000,$A183,Movimientos!$C$2:$C$5000,"A reparación")</f>
        <v>0</v>
      </c>
      <c r="R183" s="45">
        <f>SUMIFS(Movimientos!$F$2:$F$5000,Movimientos!$D$2:$D$5000,$A183,Movimientos!$C$2:$C$5000,"A reparación")-SUMIFS(Movimientos!$F$2:$F$5000,Movimientos!$D$2:$D$5000,$A183,Movimientos!$C$2:$C$5000,"Retorno reparación")-SUMIFS(Movimientos!$F$2:$F$5000,Movimientos!$D$2:$D$5000,$A183,Movimientos!$C$2:$C$5000,"Baja desde reparación")</f>
        <v>0</v>
      </c>
      <c r="S183" s="45">
        <f>P183-Q183-R183</f>
        <v>1</v>
      </c>
    </row>
    <row r="184" spans="1:19">
      <c r="A184" s="15" t="s">
        <v>906</v>
      </c>
      <c r="B184" s="15" t="s">
        <v>907</v>
      </c>
      <c r="C184" s="42" t="s">
        <v>908</v>
      </c>
      <c r="D184" s="15" t="s">
        <v>101</v>
      </c>
      <c r="E184" s="42" t="s">
        <v>909</v>
      </c>
      <c r="F184" s="43">
        <v>1</v>
      </c>
      <c r="G184" s="15" t="s">
        <v>507</v>
      </c>
      <c r="H184" s="44">
        <v>3</v>
      </c>
      <c r="I184" s="15" t="s">
        <v>104</v>
      </c>
      <c r="J184" s="15" t="s">
        <v>33</v>
      </c>
      <c r="K184" s="15" t="s">
        <v>35</v>
      </c>
      <c r="L184" s="15"/>
      <c r="M184" s="15" t="s">
        <v>38</v>
      </c>
      <c r="N184" s="15"/>
      <c r="O184" s="15"/>
      <c r="P184" s="45">
        <f>H184+SUMIFS(Movimientos!$F$2:$F$5000,Movimientos!$D$2:$D$5000,$A184,Movimientos!$C$2:$C$5000,"Ingreso inventario")+SUMIFS(Movimientos!$F$2:$F$5000,Movimientos!$D$2:$D$5000,$A184,Movimientos!$C$2:$C$5000,"Ajuste")-SUMIFS(Movimientos!$F$2:$F$5000,Movimientos!$D$2:$D$5000,$A184,Movimientos!$C$2:$C$5000,"Consumido en evento")-SUMIFS(Movimientos!$F$2:$F$5000,Movimientos!$D$2:$D$5000,$A184,Movimientos!$C$2:$C$5000,"Consumo interno")-SUMIFS(Movimientos!$F$2:$F$5000,Movimientos!$D$2:$D$5000,$A184,Movimientos!$C$2:$C$5000,"Baja")-SUMIFS(Movimientos!$F$2:$F$5000,Movimientos!$D$2:$D$5000,$A184,Movimientos!$C$2:$C$5000,"Baja desde reparación")</f>
        <v>3</v>
      </c>
      <c r="Q184" s="45">
        <f>SUMIFS(Movimientos!$F$2:$F$5000,Movimientos!$D$2:$D$5000,$A184,Movimientos!$C$2:$C$5000,"Salida alquiler")-SUMIFS(Movimientos!$F$2:$F$5000,Movimientos!$D$2:$D$5000,$A184,Movimientos!$C$2:$C$5000,"Retorno alquiler")-SUMIFS(Movimientos!$F$2:$F$5000,Movimientos!$D$2:$D$5000,$A184,Movimientos!$C$2:$C$5000,"Consumido en evento")-SUMIFS(Movimientos!$F$2:$F$5000,Movimientos!$D$2:$D$5000,$A184,Movimientos!$C$2:$C$5000,"A reparación")</f>
        <v>0</v>
      </c>
      <c r="R184" s="45">
        <f>SUMIFS(Movimientos!$F$2:$F$5000,Movimientos!$D$2:$D$5000,$A184,Movimientos!$C$2:$C$5000,"A reparación")-SUMIFS(Movimientos!$F$2:$F$5000,Movimientos!$D$2:$D$5000,$A184,Movimientos!$C$2:$C$5000,"Retorno reparación")-SUMIFS(Movimientos!$F$2:$F$5000,Movimientos!$D$2:$D$5000,$A184,Movimientos!$C$2:$C$5000,"Baja desde reparación")</f>
        <v>0</v>
      </c>
      <c r="S184" s="45">
        <f>P184-Q184-R184</f>
        <v>3</v>
      </c>
    </row>
    <row r="185" spans="1:19">
      <c r="A185" s="15" t="s">
        <v>910</v>
      </c>
      <c r="B185" s="15" t="s">
        <v>911</v>
      </c>
      <c r="C185" s="42" t="s">
        <v>912</v>
      </c>
      <c r="D185" s="15" t="s">
        <v>101</v>
      </c>
      <c r="E185" s="42" t="s">
        <v>913</v>
      </c>
      <c r="F185" s="43">
        <v>1</v>
      </c>
      <c r="G185" s="15" t="s">
        <v>507</v>
      </c>
      <c r="H185" s="44">
        <v>2</v>
      </c>
      <c r="I185" s="15" t="s">
        <v>104</v>
      </c>
      <c r="J185" s="15" t="s">
        <v>33</v>
      </c>
      <c r="K185" s="15" t="s">
        <v>35</v>
      </c>
      <c r="L185" s="15"/>
      <c r="M185" s="15" t="s">
        <v>38</v>
      </c>
      <c r="N185" s="15"/>
      <c r="O185" s="15"/>
      <c r="P185" s="45">
        <f>H185+SUMIFS(Movimientos!$F$2:$F$5000,Movimientos!$D$2:$D$5000,$A185,Movimientos!$C$2:$C$5000,"Ingreso inventario")+SUMIFS(Movimientos!$F$2:$F$5000,Movimientos!$D$2:$D$5000,$A185,Movimientos!$C$2:$C$5000,"Ajuste")-SUMIFS(Movimientos!$F$2:$F$5000,Movimientos!$D$2:$D$5000,$A185,Movimientos!$C$2:$C$5000,"Consumido en evento")-SUMIFS(Movimientos!$F$2:$F$5000,Movimientos!$D$2:$D$5000,$A185,Movimientos!$C$2:$C$5000,"Consumo interno")-SUMIFS(Movimientos!$F$2:$F$5000,Movimientos!$D$2:$D$5000,$A185,Movimientos!$C$2:$C$5000,"Baja")-SUMIFS(Movimientos!$F$2:$F$5000,Movimientos!$D$2:$D$5000,$A185,Movimientos!$C$2:$C$5000,"Baja desde reparación")</f>
        <v>2</v>
      </c>
      <c r="Q185" s="45">
        <f>SUMIFS(Movimientos!$F$2:$F$5000,Movimientos!$D$2:$D$5000,$A185,Movimientos!$C$2:$C$5000,"Salida alquiler")-SUMIFS(Movimientos!$F$2:$F$5000,Movimientos!$D$2:$D$5000,$A185,Movimientos!$C$2:$C$5000,"Retorno alquiler")-SUMIFS(Movimientos!$F$2:$F$5000,Movimientos!$D$2:$D$5000,$A185,Movimientos!$C$2:$C$5000,"Consumido en evento")-SUMIFS(Movimientos!$F$2:$F$5000,Movimientos!$D$2:$D$5000,$A185,Movimientos!$C$2:$C$5000,"A reparación")</f>
        <v>0</v>
      </c>
      <c r="R185" s="45">
        <f>SUMIFS(Movimientos!$F$2:$F$5000,Movimientos!$D$2:$D$5000,$A185,Movimientos!$C$2:$C$5000,"A reparación")-SUMIFS(Movimientos!$F$2:$F$5000,Movimientos!$D$2:$D$5000,$A185,Movimientos!$C$2:$C$5000,"Retorno reparación")-SUMIFS(Movimientos!$F$2:$F$5000,Movimientos!$D$2:$D$5000,$A185,Movimientos!$C$2:$C$5000,"Baja desde reparación")</f>
        <v>0</v>
      </c>
      <c r="S185" s="45">
        <f>P185-Q185-R185</f>
        <v>2</v>
      </c>
    </row>
    <row r="186" spans="1:19">
      <c r="A186" s="15" t="s">
        <v>914</v>
      </c>
      <c r="B186" s="15" t="s">
        <v>915</v>
      </c>
      <c r="C186" s="42" t="s">
        <v>916</v>
      </c>
      <c r="D186" s="15" t="s">
        <v>101</v>
      </c>
      <c r="E186" s="42" t="s">
        <v>917</v>
      </c>
      <c r="F186" s="43">
        <v>1</v>
      </c>
      <c r="G186" s="15" t="s">
        <v>507</v>
      </c>
      <c r="H186" s="44">
        <v>3</v>
      </c>
      <c r="I186" s="15" t="s">
        <v>104</v>
      </c>
      <c r="J186" s="15" t="s">
        <v>33</v>
      </c>
      <c r="K186" s="15" t="s">
        <v>35</v>
      </c>
      <c r="L186" s="15"/>
      <c r="M186" s="15" t="s">
        <v>38</v>
      </c>
      <c r="N186" s="15"/>
      <c r="O186" s="15"/>
      <c r="P186" s="45">
        <f>H186+SUMIFS(Movimientos!$F$2:$F$5000,Movimientos!$D$2:$D$5000,$A186,Movimientos!$C$2:$C$5000,"Ingreso inventario")+SUMIFS(Movimientos!$F$2:$F$5000,Movimientos!$D$2:$D$5000,$A186,Movimientos!$C$2:$C$5000,"Ajuste")-SUMIFS(Movimientos!$F$2:$F$5000,Movimientos!$D$2:$D$5000,$A186,Movimientos!$C$2:$C$5000,"Consumido en evento")-SUMIFS(Movimientos!$F$2:$F$5000,Movimientos!$D$2:$D$5000,$A186,Movimientos!$C$2:$C$5000,"Consumo interno")-SUMIFS(Movimientos!$F$2:$F$5000,Movimientos!$D$2:$D$5000,$A186,Movimientos!$C$2:$C$5000,"Baja")-SUMIFS(Movimientos!$F$2:$F$5000,Movimientos!$D$2:$D$5000,$A186,Movimientos!$C$2:$C$5000,"Baja desde reparación")</f>
        <v>3</v>
      </c>
      <c r="Q186" s="45">
        <f>SUMIFS(Movimientos!$F$2:$F$5000,Movimientos!$D$2:$D$5000,$A186,Movimientos!$C$2:$C$5000,"Salida alquiler")-SUMIFS(Movimientos!$F$2:$F$5000,Movimientos!$D$2:$D$5000,$A186,Movimientos!$C$2:$C$5000,"Retorno alquiler")-SUMIFS(Movimientos!$F$2:$F$5000,Movimientos!$D$2:$D$5000,$A186,Movimientos!$C$2:$C$5000,"Consumido en evento")-SUMIFS(Movimientos!$F$2:$F$5000,Movimientos!$D$2:$D$5000,$A186,Movimientos!$C$2:$C$5000,"A reparación")</f>
        <v>0</v>
      </c>
      <c r="R186" s="45">
        <f>SUMIFS(Movimientos!$F$2:$F$5000,Movimientos!$D$2:$D$5000,$A186,Movimientos!$C$2:$C$5000,"A reparación")-SUMIFS(Movimientos!$F$2:$F$5000,Movimientos!$D$2:$D$5000,$A186,Movimientos!$C$2:$C$5000,"Retorno reparación")-SUMIFS(Movimientos!$F$2:$F$5000,Movimientos!$D$2:$D$5000,$A186,Movimientos!$C$2:$C$5000,"Baja desde reparación")</f>
        <v>0</v>
      </c>
      <c r="S186" s="45">
        <f>P186-Q186-R186</f>
        <v>3</v>
      </c>
    </row>
    <row r="187" spans="1:19">
      <c r="A187" s="15" t="s">
        <v>918</v>
      </c>
      <c r="B187" s="15" t="s">
        <v>919</v>
      </c>
      <c r="C187" s="42" t="s">
        <v>920</v>
      </c>
      <c r="D187" s="15" t="s">
        <v>101</v>
      </c>
      <c r="E187" s="42" t="s">
        <v>921</v>
      </c>
      <c r="F187" s="43">
        <v>1</v>
      </c>
      <c r="G187" s="15" t="s">
        <v>507</v>
      </c>
      <c r="H187" s="44">
        <v>2</v>
      </c>
      <c r="I187" s="15" t="s">
        <v>104</v>
      </c>
      <c r="J187" s="15" t="s">
        <v>33</v>
      </c>
      <c r="K187" s="15" t="s">
        <v>35</v>
      </c>
      <c r="L187" s="15"/>
      <c r="M187" s="15" t="s">
        <v>38</v>
      </c>
      <c r="N187" s="15"/>
      <c r="O187" s="15"/>
      <c r="P187" s="45">
        <f>H187+SUMIFS(Movimientos!$F$2:$F$5000,Movimientos!$D$2:$D$5000,$A187,Movimientos!$C$2:$C$5000,"Ingreso inventario")+SUMIFS(Movimientos!$F$2:$F$5000,Movimientos!$D$2:$D$5000,$A187,Movimientos!$C$2:$C$5000,"Ajuste")-SUMIFS(Movimientos!$F$2:$F$5000,Movimientos!$D$2:$D$5000,$A187,Movimientos!$C$2:$C$5000,"Consumido en evento")-SUMIFS(Movimientos!$F$2:$F$5000,Movimientos!$D$2:$D$5000,$A187,Movimientos!$C$2:$C$5000,"Consumo interno")-SUMIFS(Movimientos!$F$2:$F$5000,Movimientos!$D$2:$D$5000,$A187,Movimientos!$C$2:$C$5000,"Baja")-SUMIFS(Movimientos!$F$2:$F$5000,Movimientos!$D$2:$D$5000,$A187,Movimientos!$C$2:$C$5000,"Baja desde reparación")</f>
        <v>2</v>
      </c>
      <c r="Q187" s="45">
        <f>SUMIFS(Movimientos!$F$2:$F$5000,Movimientos!$D$2:$D$5000,$A187,Movimientos!$C$2:$C$5000,"Salida alquiler")-SUMIFS(Movimientos!$F$2:$F$5000,Movimientos!$D$2:$D$5000,$A187,Movimientos!$C$2:$C$5000,"Retorno alquiler")-SUMIFS(Movimientos!$F$2:$F$5000,Movimientos!$D$2:$D$5000,$A187,Movimientos!$C$2:$C$5000,"Consumido en evento")-SUMIFS(Movimientos!$F$2:$F$5000,Movimientos!$D$2:$D$5000,$A187,Movimientos!$C$2:$C$5000,"A reparación")</f>
        <v>0</v>
      </c>
      <c r="R187" s="45">
        <f>SUMIFS(Movimientos!$F$2:$F$5000,Movimientos!$D$2:$D$5000,$A187,Movimientos!$C$2:$C$5000,"A reparación")-SUMIFS(Movimientos!$F$2:$F$5000,Movimientos!$D$2:$D$5000,$A187,Movimientos!$C$2:$C$5000,"Retorno reparación")-SUMIFS(Movimientos!$F$2:$F$5000,Movimientos!$D$2:$D$5000,$A187,Movimientos!$C$2:$C$5000,"Baja desde reparación")</f>
        <v>0</v>
      </c>
      <c r="S187" s="45">
        <f>P187-Q187-R187</f>
        <v>2</v>
      </c>
    </row>
    <row r="188" spans="1:19">
      <c r="A188" s="15" t="s">
        <v>922</v>
      </c>
      <c r="B188" s="15" t="s">
        <v>923</v>
      </c>
      <c r="C188" s="42" t="s">
        <v>924</v>
      </c>
      <c r="D188" s="15" t="s">
        <v>101</v>
      </c>
      <c r="E188" s="42" t="s">
        <v>925</v>
      </c>
      <c r="F188" s="43">
        <v>1</v>
      </c>
      <c r="G188" s="15" t="s">
        <v>507</v>
      </c>
      <c r="H188" s="44">
        <v>2</v>
      </c>
      <c r="I188" s="15" t="s">
        <v>104</v>
      </c>
      <c r="J188" s="15" t="s">
        <v>33</v>
      </c>
      <c r="K188" s="15" t="s">
        <v>35</v>
      </c>
      <c r="L188" s="15"/>
      <c r="M188" s="15" t="s">
        <v>38</v>
      </c>
      <c r="N188" s="15"/>
      <c r="O188" s="15"/>
      <c r="P188" s="45">
        <f>H188+SUMIFS(Movimientos!$F$2:$F$5000,Movimientos!$D$2:$D$5000,$A188,Movimientos!$C$2:$C$5000,"Ingreso inventario")+SUMIFS(Movimientos!$F$2:$F$5000,Movimientos!$D$2:$D$5000,$A188,Movimientos!$C$2:$C$5000,"Ajuste")-SUMIFS(Movimientos!$F$2:$F$5000,Movimientos!$D$2:$D$5000,$A188,Movimientos!$C$2:$C$5000,"Consumido en evento")-SUMIFS(Movimientos!$F$2:$F$5000,Movimientos!$D$2:$D$5000,$A188,Movimientos!$C$2:$C$5000,"Consumo interno")-SUMIFS(Movimientos!$F$2:$F$5000,Movimientos!$D$2:$D$5000,$A188,Movimientos!$C$2:$C$5000,"Baja")-SUMIFS(Movimientos!$F$2:$F$5000,Movimientos!$D$2:$D$5000,$A188,Movimientos!$C$2:$C$5000,"Baja desde reparación")</f>
        <v>2</v>
      </c>
      <c r="Q188" s="45">
        <f>SUMIFS(Movimientos!$F$2:$F$5000,Movimientos!$D$2:$D$5000,$A188,Movimientos!$C$2:$C$5000,"Salida alquiler")-SUMIFS(Movimientos!$F$2:$F$5000,Movimientos!$D$2:$D$5000,$A188,Movimientos!$C$2:$C$5000,"Retorno alquiler")-SUMIFS(Movimientos!$F$2:$F$5000,Movimientos!$D$2:$D$5000,$A188,Movimientos!$C$2:$C$5000,"Consumido en evento")-SUMIFS(Movimientos!$F$2:$F$5000,Movimientos!$D$2:$D$5000,$A188,Movimientos!$C$2:$C$5000,"A reparación")</f>
        <v>0</v>
      </c>
      <c r="R188" s="45">
        <f>SUMIFS(Movimientos!$F$2:$F$5000,Movimientos!$D$2:$D$5000,$A188,Movimientos!$C$2:$C$5000,"A reparación")-SUMIFS(Movimientos!$F$2:$F$5000,Movimientos!$D$2:$D$5000,$A188,Movimientos!$C$2:$C$5000,"Retorno reparación")-SUMIFS(Movimientos!$F$2:$F$5000,Movimientos!$D$2:$D$5000,$A188,Movimientos!$C$2:$C$5000,"Baja desde reparación")</f>
        <v>0</v>
      </c>
      <c r="S188" s="45">
        <f>P188-Q188-R188</f>
        <v>2</v>
      </c>
    </row>
    <row r="189" spans="1:19">
      <c r="A189" s="15" t="s">
        <v>926</v>
      </c>
      <c r="B189" s="15" t="s">
        <v>927</v>
      </c>
      <c r="C189" s="42" t="s">
        <v>928</v>
      </c>
      <c r="D189" s="15" t="s">
        <v>101</v>
      </c>
      <c r="E189" s="42" t="s">
        <v>929</v>
      </c>
      <c r="F189" s="43">
        <v>1</v>
      </c>
      <c r="G189" s="15" t="s">
        <v>507</v>
      </c>
      <c r="H189" s="44">
        <v>1</v>
      </c>
      <c r="I189" s="15" t="s">
        <v>104</v>
      </c>
      <c r="J189" s="15" t="s">
        <v>33</v>
      </c>
      <c r="K189" s="15" t="s">
        <v>35</v>
      </c>
      <c r="L189" s="15"/>
      <c r="M189" s="15" t="s">
        <v>38</v>
      </c>
      <c r="N189" s="15"/>
      <c r="O189" s="15"/>
      <c r="P189" s="45">
        <f>H189+SUMIFS(Movimientos!$F$2:$F$5000,Movimientos!$D$2:$D$5000,$A189,Movimientos!$C$2:$C$5000,"Ingreso inventario")+SUMIFS(Movimientos!$F$2:$F$5000,Movimientos!$D$2:$D$5000,$A189,Movimientos!$C$2:$C$5000,"Ajuste")-SUMIFS(Movimientos!$F$2:$F$5000,Movimientos!$D$2:$D$5000,$A189,Movimientos!$C$2:$C$5000,"Consumido en evento")-SUMIFS(Movimientos!$F$2:$F$5000,Movimientos!$D$2:$D$5000,$A189,Movimientos!$C$2:$C$5000,"Consumo interno")-SUMIFS(Movimientos!$F$2:$F$5000,Movimientos!$D$2:$D$5000,$A189,Movimientos!$C$2:$C$5000,"Baja")-SUMIFS(Movimientos!$F$2:$F$5000,Movimientos!$D$2:$D$5000,$A189,Movimientos!$C$2:$C$5000,"Baja desde reparación")</f>
        <v>1</v>
      </c>
      <c r="Q189" s="45">
        <f>SUMIFS(Movimientos!$F$2:$F$5000,Movimientos!$D$2:$D$5000,$A189,Movimientos!$C$2:$C$5000,"Salida alquiler")-SUMIFS(Movimientos!$F$2:$F$5000,Movimientos!$D$2:$D$5000,$A189,Movimientos!$C$2:$C$5000,"Retorno alquiler")-SUMIFS(Movimientos!$F$2:$F$5000,Movimientos!$D$2:$D$5000,$A189,Movimientos!$C$2:$C$5000,"Consumido en evento")-SUMIFS(Movimientos!$F$2:$F$5000,Movimientos!$D$2:$D$5000,$A189,Movimientos!$C$2:$C$5000,"A reparación")</f>
        <v>0</v>
      </c>
      <c r="R189" s="45">
        <f>SUMIFS(Movimientos!$F$2:$F$5000,Movimientos!$D$2:$D$5000,$A189,Movimientos!$C$2:$C$5000,"A reparación")-SUMIFS(Movimientos!$F$2:$F$5000,Movimientos!$D$2:$D$5000,$A189,Movimientos!$C$2:$C$5000,"Retorno reparación")-SUMIFS(Movimientos!$F$2:$F$5000,Movimientos!$D$2:$D$5000,$A189,Movimientos!$C$2:$C$5000,"Baja desde reparación")</f>
        <v>0</v>
      </c>
      <c r="S189" s="45">
        <f>P189-Q189-R189</f>
        <v>1</v>
      </c>
    </row>
    <row r="190" spans="1:19">
      <c r="A190" s="15" t="s">
        <v>930</v>
      </c>
      <c r="B190" s="15" t="s">
        <v>931</v>
      </c>
      <c r="C190" s="42" t="s">
        <v>932</v>
      </c>
      <c r="D190" s="15" t="s">
        <v>101</v>
      </c>
      <c r="E190" s="42" t="s">
        <v>933</v>
      </c>
      <c r="F190" s="43">
        <v>1</v>
      </c>
      <c r="G190" s="15" t="s">
        <v>507</v>
      </c>
      <c r="H190" s="44">
        <v>1</v>
      </c>
      <c r="I190" s="15" t="s">
        <v>104</v>
      </c>
      <c r="J190" s="15" t="s">
        <v>33</v>
      </c>
      <c r="K190" s="15" t="s">
        <v>35</v>
      </c>
      <c r="L190" s="15"/>
      <c r="M190" s="15" t="s">
        <v>38</v>
      </c>
      <c r="N190" s="15"/>
      <c r="O190" s="15"/>
      <c r="P190" s="45">
        <f>H190+SUMIFS(Movimientos!$F$2:$F$5000,Movimientos!$D$2:$D$5000,$A190,Movimientos!$C$2:$C$5000,"Ingreso inventario")+SUMIFS(Movimientos!$F$2:$F$5000,Movimientos!$D$2:$D$5000,$A190,Movimientos!$C$2:$C$5000,"Ajuste")-SUMIFS(Movimientos!$F$2:$F$5000,Movimientos!$D$2:$D$5000,$A190,Movimientos!$C$2:$C$5000,"Consumido en evento")-SUMIFS(Movimientos!$F$2:$F$5000,Movimientos!$D$2:$D$5000,$A190,Movimientos!$C$2:$C$5000,"Consumo interno")-SUMIFS(Movimientos!$F$2:$F$5000,Movimientos!$D$2:$D$5000,$A190,Movimientos!$C$2:$C$5000,"Baja")-SUMIFS(Movimientos!$F$2:$F$5000,Movimientos!$D$2:$D$5000,$A190,Movimientos!$C$2:$C$5000,"Baja desde reparación")</f>
        <v>1</v>
      </c>
      <c r="Q190" s="45">
        <f>SUMIFS(Movimientos!$F$2:$F$5000,Movimientos!$D$2:$D$5000,$A190,Movimientos!$C$2:$C$5000,"Salida alquiler")-SUMIFS(Movimientos!$F$2:$F$5000,Movimientos!$D$2:$D$5000,$A190,Movimientos!$C$2:$C$5000,"Retorno alquiler")-SUMIFS(Movimientos!$F$2:$F$5000,Movimientos!$D$2:$D$5000,$A190,Movimientos!$C$2:$C$5000,"Consumido en evento")-SUMIFS(Movimientos!$F$2:$F$5000,Movimientos!$D$2:$D$5000,$A190,Movimientos!$C$2:$C$5000,"A reparación")</f>
        <v>0</v>
      </c>
      <c r="R190" s="45">
        <f>SUMIFS(Movimientos!$F$2:$F$5000,Movimientos!$D$2:$D$5000,$A190,Movimientos!$C$2:$C$5000,"A reparación")-SUMIFS(Movimientos!$F$2:$F$5000,Movimientos!$D$2:$D$5000,$A190,Movimientos!$C$2:$C$5000,"Retorno reparación")-SUMIFS(Movimientos!$F$2:$F$5000,Movimientos!$D$2:$D$5000,$A190,Movimientos!$C$2:$C$5000,"Baja desde reparación")</f>
        <v>0</v>
      </c>
      <c r="S190" s="45">
        <f>P190-Q190-R190</f>
        <v>1</v>
      </c>
    </row>
    <row r="191" spans="1:19">
      <c r="A191" s="15" t="s">
        <v>934</v>
      </c>
      <c r="B191" s="15" t="s">
        <v>935</v>
      </c>
      <c r="C191" s="42" t="s">
        <v>936</v>
      </c>
      <c r="D191" s="15" t="s">
        <v>101</v>
      </c>
      <c r="E191" s="42" t="s">
        <v>937</v>
      </c>
      <c r="F191" s="43">
        <v>1</v>
      </c>
      <c r="G191" s="15" t="s">
        <v>507</v>
      </c>
      <c r="H191" s="44">
        <v>1</v>
      </c>
      <c r="I191" s="15" t="s">
        <v>104</v>
      </c>
      <c r="J191" s="15" t="s">
        <v>33</v>
      </c>
      <c r="K191" s="15" t="s">
        <v>35</v>
      </c>
      <c r="L191" s="15"/>
      <c r="M191" s="15" t="s">
        <v>38</v>
      </c>
      <c r="N191" s="15"/>
      <c r="O191" s="15"/>
      <c r="P191" s="45">
        <f>H191+SUMIFS(Movimientos!$F$2:$F$5000,Movimientos!$D$2:$D$5000,$A191,Movimientos!$C$2:$C$5000,"Ingreso inventario")+SUMIFS(Movimientos!$F$2:$F$5000,Movimientos!$D$2:$D$5000,$A191,Movimientos!$C$2:$C$5000,"Ajuste")-SUMIFS(Movimientos!$F$2:$F$5000,Movimientos!$D$2:$D$5000,$A191,Movimientos!$C$2:$C$5000,"Consumido en evento")-SUMIFS(Movimientos!$F$2:$F$5000,Movimientos!$D$2:$D$5000,$A191,Movimientos!$C$2:$C$5000,"Consumo interno")-SUMIFS(Movimientos!$F$2:$F$5000,Movimientos!$D$2:$D$5000,$A191,Movimientos!$C$2:$C$5000,"Baja")-SUMIFS(Movimientos!$F$2:$F$5000,Movimientos!$D$2:$D$5000,$A191,Movimientos!$C$2:$C$5000,"Baja desde reparación")</f>
        <v>1</v>
      </c>
      <c r="Q191" s="45">
        <f>SUMIFS(Movimientos!$F$2:$F$5000,Movimientos!$D$2:$D$5000,$A191,Movimientos!$C$2:$C$5000,"Salida alquiler")-SUMIFS(Movimientos!$F$2:$F$5000,Movimientos!$D$2:$D$5000,$A191,Movimientos!$C$2:$C$5000,"Retorno alquiler")-SUMIFS(Movimientos!$F$2:$F$5000,Movimientos!$D$2:$D$5000,$A191,Movimientos!$C$2:$C$5000,"Consumido en evento")-SUMIFS(Movimientos!$F$2:$F$5000,Movimientos!$D$2:$D$5000,$A191,Movimientos!$C$2:$C$5000,"A reparación")</f>
        <v>0</v>
      </c>
      <c r="R191" s="45">
        <f>SUMIFS(Movimientos!$F$2:$F$5000,Movimientos!$D$2:$D$5000,$A191,Movimientos!$C$2:$C$5000,"A reparación")-SUMIFS(Movimientos!$F$2:$F$5000,Movimientos!$D$2:$D$5000,$A191,Movimientos!$C$2:$C$5000,"Retorno reparación")-SUMIFS(Movimientos!$F$2:$F$5000,Movimientos!$D$2:$D$5000,$A191,Movimientos!$C$2:$C$5000,"Baja desde reparación")</f>
        <v>0</v>
      </c>
      <c r="S191" s="45">
        <f>P191-Q191-R191</f>
        <v>1</v>
      </c>
    </row>
    <row r="192" spans="1:19">
      <c r="A192" s="15" t="s">
        <v>938</v>
      </c>
      <c r="B192" s="15" t="s">
        <v>939</v>
      </c>
      <c r="C192" s="42" t="s">
        <v>940</v>
      </c>
      <c r="D192" s="15" t="s">
        <v>101</v>
      </c>
      <c r="E192" s="42" t="s">
        <v>941</v>
      </c>
      <c r="F192" s="43">
        <v>1</v>
      </c>
      <c r="G192" s="15" t="s">
        <v>507</v>
      </c>
      <c r="H192" s="44">
        <v>1</v>
      </c>
      <c r="I192" s="15" t="s">
        <v>104</v>
      </c>
      <c r="J192" s="15" t="s">
        <v>33</v>
      </c>
      <c r="K192" s="15" t="s">
        <v>35</v>
      </c>
      <c r="L192" s="15"/>
      <c r="M192" s="15" t="s">
        <v>38</v>
      </c>
      <c r="N192" s="15"/>
      <c r="O192" s="15"/>
      <c r="P192" s="45">
        <f>H192+SUMIFS(Movimientos!$F$2:$F$5000,Movimientos!$D$2:$D$5000,$A192,Movimientos!$C$2:$C$5000,"Ingreso inventario")+SUMIFS(Movimientos!$F$2:$F$5000,Movimientos!$D$2:$D$5000,$A192,Movimientos!$C$2:$C$5000,"Ajuste")-SUMIFS(Movimientos!$F$2:$F$5000,Movimientos!$D$2:$D$5000,$A192,Movimientos!$C$2:$C$5000,"Consumido en evento")-SUMIFS(Movimientos!$F$2:$F$5000,Movimientos!$D$2:$D$5000,$A192,Movimientos!$C$2:$C$5000,"Consumo interno")-SUMIFS(Movimientos!$F$2:$F$5000,Movimientos!$D$2:$D$5000,$A192,Movimientos!$C$2:$C$5000,"Baja")-SUMIFS(Movimientos!$F$2:$F$5000,Movimientos!$D$2:$D$5000,$A192,Movimientos!$C$2:$C$5000,"Baja desde reparación")</f>
        <v>1</v>
      </c>
      <c r="Q192" s="45">
        <f>SUMIFS(Movimientos!$F$2:$F$5000,Movimientos!$D$2:$D$5000,$A192,Movimientos!$C$2:$C$5000,"Salida alquiler")-SUMIFS(Movimientos!$F$2:$F$5000,Movimientos!$D$2:$D$5000,$A192,Movimientos!$C$2:$C$5000,"Retorno alquiler")-SUMIFS(Movimientos!$F$2:$F$5000,Movimientos!$D$2:$D$5000,$A192,Movimientos!$C$2:$C$5000,"Consumido en evento")-SUMIFS(Movimientos!$F$2:$F$5000,Movimientos!$D$2:$D$5000,$A192,Movimientos!$C$2:$C$5000,"A reparación")</f>
        <v>0</v>
      </c>
      <c r="R192" s="45">
        <f>SUMIFS(Movimientos!$F$2:$F$5000,Movimientos!$D$2:$D$5000,$A192,Movimientos!$C$2:$C$5000,"A reparación")-SUMIFS(Movimientos!$F$2:$F$5000,Movimientos!$D$2:$D$5000,$A192,Movimientos!$C$2:$C$5000,"Retorno reparación")-SUMIFS(Movimientos!$F$2:$F$5000,Movimientos!$D$2:$D$5000,$A192,Movimientos!$C$2:$C$5000,"Baja desde reparación")</f>
        <v>0</v>
      </c>
      <c r="S192" s="45">
        <f>P192-Q192-R192</f>
        <v>1</v>
      </c>
    </row>
    <row r="193" spans="1:19">
      <c r="A193" s="15" t="s">
        <v>942</v>
      </c>
      <c r="B193" s="15" t="s">
        <v>943</v>
      </c>
      <c r="C193" s="42"/>
      <c r="D193" s="15" t="s">
        <v>101</v>
      </c>
      <c r="E193" s="42"/>
      <c r="F193" s="43">
        <v>1</v>
      </c>
      <c r="G193" s="15" t="s">
        <v>226</v>
      </c>
      <c r="H193" s="44">
        <v>2</v>
      </c>
      <c r="I193" s="15" t="s">
        <v>104</v>
      </c>
      <c r="J193" s="15" t="s">
        <v>33</v>
      </c>
      <c r="K193" s="15" t="s">
        <v>35</v>
      </c>
      <c r="L193" s="15"/>
      <c r="M193" s="15" t="s">
        <v>38</v>
      </c>
      <c r="N193" s="15"/>
      <c r="O193" s="15"/>
      <c r="P193" s="45">
        <f>H193+SUMIFS(Movimientos!$F$2:$F$5000,Movimientos!$D$2:$D$5000,$A193,Movimientos!$C$2:$C$5000,"Ingreso inventario")+SUMIFS(Movimientos!$F$2:$F$5000,Movimientos!$D$2:$D$5000,$A193,Movimientos!$C$2:$C$5000,"Ajuste")-SUMIFS(Movimientos!$F$2:$F$5000,Movimientos!$D$2:$D$5000,$A193,Movimientos!$C$2:$C$5000,"Consumido en evento")-SUMIFS(Movimientos!$F$2:$F$5000,Movimientos!$D$2:$D$5000,$A193,Movimientos!$C$2:$C$5000,"Consumo interno")-SUMIFS(Movimientos!$F$2:$F$5000,Movimientos!$D$2:$D$5000,$A193,Movimientos!$C$2:$C$5000,"Baja")-SUMIFS(Movimientos!$F$2:$F$5000,Movimientos!$D$2:$D$5000,$A193,Movimientos!$C$2:$C$5000,"Baja desde reparación")</f>
        <v>2</v>
      </c>
      <c r="Q193" s="45">
        <f>SUMIFS(Movimientos!$F$2:$F$5000,Movimientos!$D$2:$D$5000,$A193,Movimientos!$C$2:$C$5000,"Salida alquiler")-SUMIFS(Movimientos!$F$2:$F$5000,Movimientos!$D$2:$D$5000,$A193,Movimientos!$C$2:$C$5000,"Retorno alquiler")-SUMIFS(Movimientos!$F$2:$F$5000,Movimientos!$D$2:$D$5000,$A193,Movimientos!$C$2:$C$5000,"Consumido en evento")-SUMIFS(Movimientos!$F$2:$F$5000,Movimientos!$D$2:$D$5000,$A193,Movimientos!$C$2:$C$5000,"A reparación")</f>
        <v>0</v>
      </c>
      <c r="R193" s="45">
        <f>SUMIFS(Movimientos!$F$2:$F$5000,Movimientos!$D$2:$D$5000,$A193,Movimientos!$C$2:$C$5000,"A reparación")-SUMIFS(Movimientos!$F$2:$F$5000,Movimientos!$D$2:$D$5000,$A193,Movimientos!$C$2:$C$5000,"Retorno reparación")-SUMIFS(Movimientos!$F$2:$F$5000,Movimientos!$D$2:$D$5000,$A193,Movimientos!$C$2:$C$5000,"Baja desde reparación")</f>
        <v>0</v>
      </c>
      <c r="S193" s="45">
        <f>P193-Q193-R193</f>
        <v>2</v>
      </c>
    </row>
    <row r="194" spans="1:19">
      <c r="A194" s="15" t="s">
        <v>944</v>
      </c>
      <c r="B194" s="15" t="s">
        <v>945</v>
      </c>
      <c r="C194" s="42" t="s">
        <v>946</v>
      </c>
      <c r="D194" s="15" t="s">
        <v>101</v>
      </c>
      <c r="E194" s="42" t="s">
        <v>947</v>
      </c>
      <c r="F194" s="43">
        <v>1</v>
      </c>
      <c r="G194" s="15" t="s">
        <v>948</v>
      </c>
      <c r="H194" s="44">
        <v>28</v>
      </c>
      <c r="I194" s="15" t="s">
        <v>104</v>
      </c>
      <c r="J194" s="15" t="s">
        <v>33</v>
      </c>
      <c r="K194" s="15" t="s">
        <v>35</v>
      </c>
      <c r="L194" s="15" t="s">
        <v>949</v>
      </c>
      <c r="M194" s="15" t="s">
        <v>38</v>
      </c>
      <c r="N194" s="15"/>
      <c r="O194" s="15"/>
      <c r="P194" s="45">
        <f>H194+SUMIFS(Movimientos!$F$2:$F$5000,Movimientos!$D$2:$D$5000,$A194,Movimientos!$C$2:$C$5000,"Ingreso inventario")+SUMIFS(Movimientos!$F$2:$F$5000,Movimientos!$D$2:$D$5000,$A194,Movimientos!$C$2:$C$5000,"Ajuste")-SUMIFS(Movimientos!$F$2:$F$5000,Movimientos!$D$2:$D$5000,$A194,Movimientos!$C$2:$C$5000,"Consumido en evento")-SUMIFS(Movimientos!$F$2:$F$5000,Movimientos!$D$2:$D$5000,$A194,Movimientos!$C$2:$C$5000,"Consumo interno")-SUMIFS(Movimientos!$F$2:$F$5000,Movimientos!$D$2:$D$5000,$A194,Movimientos!$C$2:$C$5000,"Baja")-SUMIFS(Movimientos!$F$2:$F$5000,Movimientos!$D$2:$D$5000,$A194,Movimientos!$C$2:$C$5000,"Baja desde reparación")</f>
        <v>28</v>
      </c>
      <c r="Q194" s="45">
        <f>SUMIFS(Movimientos!$F$2:$F$5000,Movimientos!$D$2:$D$5000,$A194,Movimientos!$C$2:$C$5000,"Salida alquiler")-SUMIFS(Movimientos!$F$2:$F$5000,Movimientos!$D$2:$D$5000,$A194,Movimientos!$C$2:$C$5000,"Retorno alquiler")-SUMIFS(Movimientos!$F$2:$F$5000,Movimientos!$D$2:$D$5000,$A194,Movimientos!$C$2:$C$5000,"Consumido en evento")-SUMIFS(Movimientos!$F$2:$F$5000,Movimientos!$D$2:$D$5000,$A194,Movimientos!$C$2:$C$5000,"A reparación")</f>
        <v>0</v>
      </c>
      <c r="R194" s="45">
        <f>SUMIFS(Movimientos!$F$2:$F$5000,Movimientos!$D$2:$D$5000,$A194,Movimientos!$C$2:$C$5000,"A reparación")-SUMIFS(Movimientos!$F$2:$F$5000,Movimientos!$D$2:$D$5000,$A194,Movimientos!$C$2:$C$5000,"Retorno reparación")-SUMIFS(Movimientos!$F$2:$F$5000,Movimientos!$D$2:$D$5000,$A194,Movimientos!$C$2:$C$5000,"Baja desde reparación")</f>
        <v>0</v>
      </c>
      <c r="S194" s="45">
        <f>P194-Q194-R194</f>
        <v>28</v>
      </c>
    </row>
    <row r="195" spans="1:19">
      <c r="A195" s="15" t="s">
        <v>950</v>
      </c>
      <c r="B195" s="15" t="s">
        <v>951</v>
      </c>
      <c r="C195" s="42"/>
      <c r="D195" s="15" t="s">
        <v>101</v>
      </c>
      <c r="E195" s="42"/>
      <c r="F195" s="43">
        <v>1</v>
      </c>
      <c r="G195" s="15" t="s">
        <v>558</v>
      </c>
      <c r="H195" s="44">
        <v>5000</v>
      </c>
      <c r="I195" s="15" t="s">
        <v>559</v>
      </c>
      <c r="J195" s="15" t="s">
        <v>33</v>
      </c>
      <c r="K195" s="15" t="s">
        <v>35</v>
      </c>
      <c r="L195" s="15"/>
      <c r="M195" s="15" t="s">
        <v>38</v>
      </c>
      <c r="N195" s="15"/>
      <c r="O195" s="15"/>
      <c r="P195" s="45">
        <f>H195+SUMIFS(Movimientos!$F$2:$F$5000,Movimientos!$D$2:$D$5000,$A195,Movimientos!$C$2:$C$5000,"Ingreso inventario")+SUMIFS(Movimientos!$F$2:$F$5000,Movimientos!$D$2:$D$5000,$A195,Movimientos!$C$2:$C$5000,"Ajuste")-SUMIFS(Movimientos!$F$2:$F$5000,Movimientos!$D$2:$D$5000,$A195,Movimientos!$C$2:$C$5000,"Consumido en evento")-SUMIFS(Movimientos!$F$2:$F$5000,Movimientos!$D$2:$D$5000,$A195,Movimientos!$C$2:$C$5000,"Consumo interno")-SUMIFS(Movimientos!$F$2:$F$5000,Movimientos!$D$2:$D$5000,$A195,Movimientos!$C$2:$C$5000,"Baja")-SUMIFS(Movimientos!$F$2:$F$5000,Movimientos!$D$2:$D$5000,$A195,Movimientos!$C$2:$C$5000,"Baja desde reparación")</f>
        <v>5000</v>
      </c>
      <c r="Q195" s="45">
        <f>SUMIFS(Movimientos!$F$2:$F$5000,Movimientos!$D$2:$D$5000,$A195,Movimientos!$C$2:$C$5000,"Salida alquiler")-SUMIFS(Movimientos!$F$2:$F$5000,Movimientos!$D$2:$D$5000,$A195,Movimientos!$C$2:$C$5000,"Retorno alquiler")-SUMIFS(Movimientos!$F$2:$F$5000,Movimientos!$D$2:$D$5000,$A195,Movimientos!$C$2:$C$5000,"Consumido en evento")-SUMIFS(Movimientos!$F$2:$F$5000,Movimientos!$D$2:$D$5000,$A195,Movimientos!$C$2:$C$5000,"A reparación")</f>
        <v>0</v>
      </c>
      <c r="R195" s="45">
        <f>SUMIFS(Movimientos!$F$2:$F$5000,Movimientos!$D$2:$D$5000,$A195,Movimientos!$C$2:$C$5000,"A reparación")-SUMIFS(Movimientos!$F$2:$F$5000,Movimientos!$D$2:$D$5000,$A195,Movimientos!$C$2:$C$5000,"Retorno reparación")-SUMIFS(Movimientos!$F$2:$F$5000,Movimientos!$D$2:$D$5000,$A195,Movimientos!$C$2:$C$5000,"Baja desde reparación")</f>
        <v>0</v>
      </c>
      <c r="S195" s="45">
        <f>P195-Q195-R195</f>
        <v>5000</v>
      </c>
    </row>
    <row r="196" spans="1:19">
      <c r="A196" s="15" t="s">
        <v>952</v>
      </c>
      <c r="B196" s="15" t="s">
        <v>953</v>
      </c>
      <c r="C196" s="42" t="s">
        <v>954</v>
      </c>
      <c r="D196" s="15" t="s">
        <v>101</v>
      </c>
      <c r="E196" s="42" t="s">
        <v>955</v>
      </c>
      <c r="F196" s="43">
        <v>1</v>
      </c>
      <c r="G196" s="15" t="s">
        <v>110</v>
      </c>
      <c r="H196" s="44">
        <v>1</v>
      </c>
      <c r="I196" s="15" t="s">
        <v>104</v>
      </c>
      <c r="J196" s="15" t="s">
        <v>33</v>
      </c>
      <c r="K196" s="15" t="s">
        <v>35</v>
      </c>
      <c r="L196" s="15" t="s">
        <v>956</v>
      </c>
      <c r="M196" s="15" t="s">
        <v>38</v>
      </c>
      <c r="N196" s="15"/>
      <c r="O196" s="15"/>
      <c r="P196" s="45">
        <f>H196+SUMIFS(Movimientos!$F$2:$F$5000,Movimientos!$D$2:$D$5000,$A196,Movimientos!$C$2:$C$5000,"Ingreso inventario")+SUMIFS(Movimientos!$F$2:$F$5000,Movimientos!$D$2:$D$5000,$A196,Movimientos!$C$2:$C$5000,"Ajuste")-SUMIFS(Movimientos!$F$2:$F$5000,Movimientos!$D$2:$D$5000,$A196,Movimientos!$C$2:$C$5000,"Consumido en evento")-SUMIFS(Movimientos!$F$2:$F$5000,Movimientos!$D$2:$D$5000,$A196,Movimientos!$C$2:$C$5000,"Consumo interno")-SUMIFS(Movimientos!$F$2:$F$5000,Movimientos!$D$2:$D$5000,$A196,Movimientos!$C$2:$C$5000,"Baja")-SUMIFS(Movimientos!$F$2:$F$5000,Movimientos!$D$2:$D$5000,$A196,Movimientos!$C$2:$C$5000,"Baja desde reparación")</f>
        <v>1</v>
      </c>
      <c r="Q196" s="45">
        <f>SUMIFS(Movimientos!$F$2:$F$5000,Movimientos!$D$2:$D$5000,$A196,Movimientos!$C$2:$C$5000,"Salida alquiler")-SUMIFS(Movimientos!$F$2:$F$5000,Movimientos!$D$2:$D$5000,$A196,Movimientos!$C$2:$C$5000,"Retorno alquiler")-SUMIFS(Movimientos!$F$2:$F$5000,Movimientos!$D$2:$D$5000,$A196,Movimientos!$C$2:$C$5000,"Consumido en evento")-SUMIFS(Movimientos!$F$2:$F$5000,Movimientos!$D$2:$D$5000,$A196,Movimientos!$C$2:$C$5000,"A reparación")</f>
        <v>0</v>
      </c>
      <c r="R196" s="45">
        <f>SUMIFS(Movimientos!$F$2:$F$5000,Movimientos!$D$2:$D$5000,$A196,Movimientos!$C$2:$C$5000,"A reparación")-SUMIFS(Movimientos!$F$2:$F$5000,Movimientos!$D$2:$D$5000,$A196,Movimientos!$C$2:$C$5000,"Retorno reparación")-SUMIFS(Movimientos!$F$2:$F$5000,Movimientos!$D$2:$D$5000,$A196,Movimientos!$C$2:$C$5000,"Baja desde reparación")</f>
        <v>0</v>
      </c>
      <c r="S196" s="45">
        <f>P196-Q196-R196</f>
        <v>1</v>
      </c>
    </row>
    <row r="197" spans="1:19">
      <c r="A197" s="15" t="s">
        <v>957</v>
      </c>
      <c r="B197" s="15" t="s">
        <v>958</v>
      </c>
      <c r="C197" s="42" t="s">
        <v>959</v>
      </c>
      <c r="D197" s="15" t="s">
        <v>101</v>
      </c>
      <c r="E197" s="42" t="s">
        <v>960</v>
      </c>
      <c r="F197" s="43">
        <v>1</v>
      </c>
      <c r="G197" s="15" t="s">
        <v>110</v>
      </c>
      <c r="H197" s="44">
        <v>4</v>
      </c>
      <c r="I197" s="15" t="s">
        <v>104</v>
      </c>
      <c r="J197" s="15" t="s">
        <v>33</v>
      </c>
      <c r="K197" s="15" t="s">
        <v>35</v>
      </c>
      <c r="L197" s="15" t="s">
        <v>961</v>
      </c>
      <c r="M197" s="15" t="s">
        <v>38</v>
      </c>
      <c r="N197" s="15"/>
      <c r="O197" s="15"/>
      <c r="P197" s="45">
        <f>H197+SUMIFS(Movimientos!$F$2:$F$5000,Movimientos!$D$2:$D$5000,$A197,Movimientos!$C$2:$C$5000,"Ingreso inventario")+SUMIFS(Movimientos!$F$2:$F$5000,Movimientos!$D$2:$D$5000,$A197,Movimientos!$C$2:$C$5000,"Ajuste")-SUMIFS(Movimientos!$F$2:$F$5000,Movimientos!$D$2:$D$5000,$A197,Movimientos!$C$2:$C$5000,"Consumido en evento")-SUMIFS(Movimientos!$F$2:$F$5000,Movimientos!$D$2:$D$5000,$A197,Movimientos!$C$2:$C$5000,"Consumo interno")-SUMIFS(Movimientos!$F$2:$F$5000,Movimientos!$D$2:$D$5000,$A197,Movimientos!$C$2:$C$5000,"Baja")-SUMIFS(Movimientos!$F$2:$F$5000,Movimientos!$D$2:$D$5000,$A197,Movimientos!$C$2:$C$5000,"Baja desde reparación")</f>
        <v>4</v>
      </c>
      <c r="Q197" s="45">
        <f>SUMIFS(Movimientos!$F$2:$F$5000,Movimientos!$D$2:$D$5000,$A197,Movimientos!$C$2:$C$5000,"Salida alquiler")-SUMIFS(Movimientos!$F$2:$F$5000,Movimientos!$D$2:$D$5000,$A197,Movimientos!$C$2:$C$5000,"Retorno alquiler")-SUMIFS(Movimientos!$F$2:$F$5000,Movimientos!$D$2:$D$5000,$A197,Movimientos!$C$2:$C$5000,"Consumido en evento")-SUMIFS(Movimientos!$F$2:$F$5000,Movimientos!$D$2:$D$5000,$A197,Movimientos!$C$2:$C$5000,"A reparación")</f>
        <v>0</v>
      </c>
      <c r="R197" s="45">
        <f>SUMIFS(Movimientos!$F$2:$F$5000,Movimientos!$D$2:$D$5000,$A197,Movimientos!$C$2:$C$5000,"A reparación")-SUMIFS(Movimientos!$F$2:$F$5000,Movimientos!$D$2:$D$5000,$A197,Movimientos!$C$2:$C$5000,"Retorno reparación")-SUMIFS(Movimientos!$F$2:$F$5000,Movimientos!$D$2:$D$5000,$A197,Movimientos!$C$2:$C$5000,"Baja desde reparación")</f>
        <v>0</v>
      </c>
      <c r="S197" s="45">
        <f>P197-Q197-R197</f>
        <v>4</v>
      </c>
    </row>
    <row r="198" spans="1:19">
      <c r="A198" s="15" t="s">
        <v>962</v>
      </c>
      <c r="B198" s="15" t="s">
        <v>963</v>
      </c>
      <c r="C198" s="42" t="s">
        <v>964</v>
      </c>
      <c r="D198" s="15" t="s">
        <v>101</v>
      </c>
      <c r="E198" s="42" t="s">
        <v>965</v>
      </c>
      <c r="F198" s="43">
        <v>1</v>
      </c>
      <c r="G198" s="15" t="s">
        <v>110</v>
      </c>
      <c r="H198" s="44">
        <v>37</v>
      </c>
      <c r="I198" s="15" t="s">
        <v>104</v>
      </c>
      <c r="J198" s="15" t="s">
        <v>33</v>
      </c>
      <c r="K198" s="15" t="s">
        <v>35</v>
      </c>
      <c r="L198" s="15" t="s">
        <v>966</v>
      </c>
      <c r="M198" s="15" t="s">
        <v>38</v>
      </c>
      <c r="N198" s="15"/>
      <c r="O198" s="15"/>
      <c r="P198" s="45">
        <f>H198+SUMIFS(Movimientos!$F$2:$F$5000,Movimientos!$D$2:$D$5000,$A198,Movimientos!$C$2:$C$5000,"Ingreso inventario")+SUMIFS(Movimientos!$F$2:$F$5000,Movimientos!$D$2:$D$5000,$A198,Movimientos!$C$2:$C$5000,"Ajuste")-SUMIFS(Movimientos!$F$2:$F$5000,Movimientos!$D$2:$D$5000,$A198,Movimientos!$C$2:$C$5000,"Consumido en evento")-SUMIFS(Movimientos!$F$2:$F$5000,Movimientos!$D$2:$D$5000,$A198,Movimientos!$C$2:$C$5000,"Consumo interno")-SUMIFS(Movimientos!$F$2:$F$5000,Movimientos!$D$2:$D$5000,$A198,Movimientos!$C$2:$C$5000,"Baja")-SUMIFS(Movimientos!$F$2:$F$5000,Movimientos!$D$2:$D$5000,$A198,Movimientos!$C$2:$C$5000,"Baja desde reparación")</f>
        <v>37</v>
      </c>
      <c r="Q198" s="45">
        <f>SUMIFS(Movimientos!$F$2:$F$5000,Movimientos!$D$2:$D$5000,$A198,Movimientos!$C$2:$C$5000,"Salida alquiler")-SUMIFS(Movimientos!$F$2:$F$5000,Movimientos!$D$2:$D$5000,$A198,Movimientos!$C$2:$C$5000,"Retorno alquiler")-SUMIFS(Movimientos!$F$2:$F$5000,Movimientos!$D$2:$D$5000,$A198,Movimientos!$C$2:$C$5000,"Consumido en evento")-SUMIFS(Movimientos!$F$2:$F$5000,Movimientos!$D$2:$D$5000,$A198,Movimientos!$C$2:$C$5000,"A reparación")</f>
        <v>0</v>
      </c>
      <c r="R198" s="45">
        <f>SUMIFS(Movimientos!$F$2:$F$5000,Movimientos!$D$2:$D$5000,$A198,Movimientos!$C$2:$C$5000,"A reparación")-SUMIFS(Movimientos!$F$2:$F$5000,Movimientos!$D$2:$D$5000,$A198,Movimientos!$C$2:$C$5000,"Retorno reparación")-SUMIFS(Movimientos!$F$2:$F$5000,Movimientos!$D$2:$D$5000,$A198,Movimientos!$C$2:$C$5000,"Baja desde reparación")</f>
        <v>0</v>
      </c>
      <c r="S198" s="45">
        <f>P198-Q198-R198</f>
        <v>37</v>
      </c>
    </row>
    <row r="199" spans="1:19">
      <c r="A199" s="15" t="s">
        <v>967</v>
      </c>
      <c r="B199" s="15" t="s">
        <v>968</v>
      </c>
      <c r="C199" s="42" t="s">
        <v>969</v>
      </c>
      <c r="D199" s="15" t="s">
        <v>101</v>
      </c>
      <c r="E199" s="42" t="s">
        <v>970</v>
      </c>
      <c r="F199" s="43">
        <v>1</v>
      </c>
      <c r="G199" s="15" t="s">
        <v>163</v>
      </c>
      <c r="H199" s="44">
        <v>8</v>
      </c>
      <c r="I199" s="15" t="s">
        <v>104</v>
      </c>
      <c r="J199" s="15" t="s">
        <v>33</v>
      </c>
      <c r="K199" s="15" t="s">
        <v>35</v>
      </c>
      <c r="L199" s="15" t="s">
        <v>971</v>
      </c>
      <c r="M199" s="15" t="s">
        <v>38</v>
      </c>
      <c r="N199" s="15"/>
      <c r="O199" s="15"/>
      <c r="P199" s="45">
        <f>H199+SUMIFS(Movimientos!$F$2:$F$5000,Movimientos!$D$2:$D$5000,$A199,Movimientos!$C$2:$C$5000,"Ingreso inventario")+SUMIFS(Movimientos!$F$2:$F$5000,Movimientos!$D$2:$D$5000,$A199,Movimientos!$C$2:$C$5000,"Ajuste")-SUMIFS(Movimientos!$F$2:$F$5000,Movimientos!$D$2:$D$5000,$A199,Movimientos!$C$2:$C$5000,"Consumido en evento")-SUMIFS(Movimientos!$F$2:$F$5000,Movimientos!$D$2:$D$5000,$A199,Movimientos!$C$2:$C$5000,"Consumo interno")-SUMIFS(Movimientos!$F$2:$F$5000,Movimientos!$D$2:$D$5000,$A199,Movimientos!$C$2:$C$5000,"Baja")-SUMIFS(Movimientos!$F$2:$F$5000,Movimientos!$D$2:$D$5000,$A199,Movimientos!$C$2:$C$5000,"Baja desde reparación")</f>
        <v>8</v>
      </c>
      <c r="Q199" s="45">
        <f>SUMIFS(Movimientos!$F$2:$F$5000,Movimientos!$D$2:$D$5000,$A199,Movimientos!$C$2:$C$5000,"Salida alquiler")-SUMIFS(Movimientos!$F$2:$F$5000,Movimientos!$D$2:$D$5000,$A199,Movimientos!$C$2:$C$5000,"Retorno alquiler")-SUMIFS(Movimientos!$F$2:$F$5000,Movimientos!$D$2:$D$5000,$A199,Movimientos!$C$2:$C$5000,"Consumido en evento")-SUMIFS(Movimientos!$F$2:$F$5000,Movimientos!$D$2:$D$5000,$A199,Movimientos!$C$2:$C$5000,"A reparación")</f>
        <v>0</v>
      </c>
      <c r="R199" s="45">
        <f>SUMIFS(Movimientos!$F$2:$F$5000,Movimientos!$D$2:$D$5000,$A199,Movimientos!$C$2:$C$5000,"A reparación")-SUMIFS(Movimientos!$F$2:$F$5000,Movimientos!$D$2:$D$5000,$A199,Movimientos!$C$2:$C$5000,"Retorno reparación")-SUMIFS(Movimientos!$F$2:$F$5000,Movimientos!$D$2:$D$5000,$A199,Movimientos!$C$2:$C$5000,"Baja desde reparación")</f>
        <v>0</v>
      </c>
      <c r="S199" s="45">
        <f>P199-Q199-R199</f>
        <v>8</v>
      </c>
    </row>
    <row r="200" spans="1:19">
      <c r="A200" s="15" t="s">
        <v>972</v>
      </c>
      <c r="B200" s="15" t="s">
        <v>973</v>
      </c>
      <c r="C200" s="42" t="s">
        <v>974</v>
      </c>
      <c r="D200" s="15" t="s">
        <v>101</v>
      </c>
      <c r="E200" s="42" t="s">
        <v>975</v>
      </c>
      <c r="F200" s="43">
        <v>1</v>
      </c>
      <c r="G200" s="15" t="s">
        <v>976</v>
      </c>
      <c r="H200" s="44">
        <v>6</v>
      </c>
      <c r="I200" s="15" t="s">
        <v>104</v>
      </c>
      <c r="J200" s="15" t="s">
        <v>33</v>
      </c>
      <c r="K200" s="15" t="s">
        <v>35</v>
      </c>
      <c r="L200" s="15"/>
      <c r="M200" s="15" t="s">
        <v>38</v>
      </c>
      <c r="N200" s="15"/>
      <c r="O200" s="15"/>
      <c r="P200" s="45">
        <f>H200+SUMIFS(Movimientos!$F$2:$F$5000,Movimientos!$D$2:$D$5000,$A200,Movimientos!$C$2:$C$5000,"Ingreso inventario")+SUMIFS(Movimientos!$F$2:$F$5000,Movimientos!$D$2:$D$5000,$A200,Movimientos!$C$2:$C$5000,"Ajuste")-SUMIFS(Movimientos!$F$2:$F$5000,Movimientos!$D$2:$D$5000,$A200,Movimientos!$C$2:$C$5000,"Consumido en evento")-SUMIFS(Movimientos!$F$2:$F$5000,Movimientos!$D$2:$D$5000,$A200,Movimientos!$C$2:$C$5000,"Consumo interno")-SUMIFS(Movimientos!$F$2:$F$5000,Movimientos!$D$2:$D$5000,$A200,Movimientos!$C$2:$C$5000,"Baja")-SUMIFS(Movimientos!$F$2:$F$5000,Movimientos!$D$2:$D$5000,$A200,Movimientos!$C$2:$C$5000,"Baja desde reparación")</f>
        <v>6</v>
      </c>
      <c r="Q200" s="45">
        <f>SUMIFS(Movimientos!$F$2:$F$5000,Movimientos!$D$2:$D$5000,$A200,Movimientos!$C$2:$C$5000,"Salida alquiler")-SUMIFS(Movimientos!$F$2:$F$5000,Movimientos!$D$2:$D$5000,$A200,Movimientos!$C$2:$C$5000,"Retorno alquiler")-SUMIFS(Movimientos!$F$2:$F$5000,Movimientos!$D$2:$D$5000,$A200,Movimientos!$C$2:$C$5000,"Consumido en evento")-SUMIFS(Movimientos!$F$2:$F$5000,Movimientos!$D$2:$D$5000,$A200,Movimientos!$C$2:$C$5000,"A reparación")</f>
        <v>0</v>
      </c>
      <c r="R200" s="45">
        <f>SUMIFS(Movimientos!$F$2:$F$5000,Movimientos!$D$2:$D$5000,$A200,Movimientos!$C$2:$C$5000,"A reparación")-SUMIFS(Movimientos!$F$2:$F$5000,Movimientos!$D$2:$D$5000,$A200,Movimientos!$C$2:$C$5000,"Retorno reparación")-SUMIFS(Movimientos!$F$2:$F$5000,Movimientos!$D$2:$D$5000,$A200,Movimientos!$C$2:$C$5000,"Baja desde reparación")</f>
        <v>0</v>
      </c>
      <c r="S200" s="45">
        <f>P200-Q200-R200</f>
        <v>6</v>
      </c>
    </row>
    <row r="201" spans="1:19">
      <c r="A201" s="15" t="s">
        <v>977</v>
      </c>
      <c r="B201" s="15" t="s">
        <v>978</v>
      </c>
      <c r="C201" s="42" t="s">
        <v>979</v>
      </c>
      <c r="D201" s="15" t="s">
        <v>101</v>
      </c>
      <c r="E201" s="42" t="s">
        <v>980</v>
      </c>
      <c r="F201" s="43">
        <v>1</v>
      </c>
      <c r="G201" s="15" t="s">
        <v>976</v>
      </c>
      <c r="H201" s="44">
        <v>6</v>
      </c>
      <c r="I201" s="15" t="s">
        <v>104</v>
      </c>
      <c r="J201" s="15" t="s">
        <v>33</v>
      </c>
      <c r="K201" s="15" t="s">
        <v>35</v>
      </c>
      <c r="L201" s="15"/>
      <c r="M201" s="15" t="s">
        <v>38</v>
      </c>
      <c r="N201" s="15"/>
      <c r="O201" s="15"/>
      <c r="P201" s="45">
        <f>H201+SUMIFS(Movimientos!$F$2:$F$5000,Movimientos!$D$2:$D$5000,$A201,Movimientos!$C$2:$C$5000,"Ingreso inventario")+SUMIFS(Movimientos!$F$2:$F$5000,Movimientos!$D$2:$D$5000,$A201,Movimientos!$C$2:$C$5000,"Ajuste")-SUMIFS(Movimientos!$F$2:$F$5000,Movimientos!$D$2:$D$5000,$A201,Movimientos!$C$2:$C$5000,"Consumido en evento")-SUMIFS(Movimientos!$F$2:$F$5000,Movimientos!$D$2:$D$5000,$A201,Movimientos!$C$2:$C$5000,"Consumo interno")-SUMIFS(Movimientos!$F$2:$F$5000,Movimientos!$D$2:$D$5000,$A201,Movimientos!$C$2:$C$5000,"Baja")-SUMIFS(Movimientos!$F$2:$F$5000,Movimientos!$D$2:$D$5000,$A201,Movimientos!$C$2:$C$5000,"Baja desde reparación")</f>
        <v>6</v>
      </c>
      <c r="Q201" s="45">
        <f>SUMIFS(Movimientos!$F$2:$F$5000,Movimientos!$D$2:$D$5000,$A201,Movimientos!$C$2:$C$5000,"Salida alquiler")-SUMIFS(Movimientos!$F$2:$F$5000,Movimientos!$D$2:$D$5000,$A201,Movimientos!$C$2:$C$5000,"Retorno alquiler")-SUMIFS(Movimientos!$F$2:$F$5000,Movimientos!$D$2:$D$5000,$A201,Movimientos!$C$2:$C$5000,"Consumido en evento")-SUMIFS(Movimientos!$F$2:$F$5000,Movimientos!$D$2:$D$5000,$A201,Movimientos!$C$2:$C$5000,"A reparación")</f>
        <v>0</v>
      </c>
      <c r="R201" s="45">
        <f>SUMIFS(Movimientos!$F$2:$F$5000,Movimientos!$D$2:$D$5000,$A201,Movimientos!$C$2:$C$5000,"A reparación")-SUMIFS(Movimientos!$F$2:$F$5000,Movimientos!$D$2:$D$5000,$A201,Movimientos!$C$2:$C$5000,"Retorno reparación")-SUMIFS(Movimientos!$F$2:$F$5000,Movimientos!$D$2:$D$5000,$A201,Movimientos!$C$2:$C$5000,"Baja desde reparación")</f>
        <v>0</v>
      </c>
      <c r="S201" s="45">
        <f>P201-Q201-R201</f>
        <v>6</v>
      </c>
    </row>
    <row r="202" spans="1:19">
      <c r="A202" s="15" t="s">
        <v>981</v>
      </c>
      <c r="B202" s="15" t="s">
        <v>982</v>
      </c>
      <c r="C202" s="42" t="s">
        <v>983</v>
      </c>
      <c r="D202" s="15" t="s">
        <v>101</v>
      </c>
      <c r="E202" s="42" t="s">
        <v>984</v>
      </c>
      <c r="F202" s="43">
        <v>1</v>
      </c>
      <c r="G202" s="15" t="s">
        <v>976</v>
      </c>
      <c r="H202" s="44">
        <v>2</v>
      </c>
      <c r="I202" s="15" t="s">
        <v>104</v>
      </c>
      <c r="J202" s="15" t="s">
        <v>33</v>
      </c>
      <c r="K202" s="15" t="s">
        <v>35</v>
      </c>
      <c r="L202" s="15"/>
      <c r="M202" s="15" t="s">
        <v>38</v>
      </c>
      <c r="N202" s="15"/>
      <c r="O202" s="15"/>
      <c r="P202" s="45">
        <f>H202+SUMIFS(Movimientos!$F$2:$F$5000,Movimientos!$D$2:$D$5000,$A202,Movimientos!$C$2:$C$5000,"Ingreso inventario")+SUMIFS(Movimientos!$F$2:$F$5000,Movimientos!$D$2:$D$5000,$A202,Movimientos!$C$2:$C$5000,"Ajuste")-SUMIFS(Movimientos!$F$2:$F$5000,Movimientos!$D$2:$D$5000,$A202,Movimientos!$C$2:$C$5000,"Consumido en evento")-SUMIFS(Movimientos!$F$2:$F$5000,Movimientos!$D$2:$D$5000,$A202,Movimientos!$C$2:$C$5000,"Consumo interno")-SUMIFS(Movimientos!$F$2:$F$5000,Movimientos!$D$2:$D$5000,$A202,Movimientos!$C$2:$C$5000,"Baja")-SUMIFS(Movimientos!$F$2:$F$5000,Movimientos!$D$2:$D$5000,$A202,Movimientos!$C$2:$C$5000,"Baja desde reparación")</f>
        <v>2</v>
      </c>
      <c r="Q202" s="45">
        <f>SUMIFS(Movimientos!$F$2:$F$5000,Movimientos!$D$2:$D$5000,$A202,Movimientos!$C$2:$C$5000,"Salida alquiler")-SUMIFS(Movimientos!$F$2:$F$5000,Movimientos!$D$2:$D$5000,$A202,Movimientos!$C$2:$C$5000,"Retorno alquiler")-SUMIFS(Movimientos!$F$2:$F$5000,Movimientos!$D$2:$D$5000,$A202,Movimientos!$C$2:$C$5000,"Consumido en evento")-SUMIFS(Movimientos!$F$2:$F$5000,Movimientos!$D$2:$D$5000,$A202,Movimientos!$C$2:$C$5000,"A reparación")</f>
        <v>0</v>
      </c>
      <c r="R202" s="45">
        <f>SUMIFS(Movimientos!$F$2:$F$5000,Movimientos!$D$2:$D$5000,$A202,Movimientos!$C$2:$C$5000,"A reparación")-SUMIFS(Movimientos!$F$2:$F$5000,Movimientos!$D$2:$D$5000,$A202,Movimientos!$C$2:$C$5000,"Retorno reparación")-SUMIFS(Movimientos!$F$2:$F$5000,Movimientos!$D$2:$D$5000,$A202,Movimientos!$C$2:$C$5000,"Baja desde reparación")</f>
        <v>0</v>
      </c>
      <c r="S202" s="45">
        <f>P202-Q202-R202</f>
        <v>2</v>
      </c>
    </row>
    <row r="203" spans="1:19">
      <c r="A203" s="15" t="s">
        <v>985</v>
      </c>
      <c r="B203" s="15" t="s">
        <v>986</v>
      </c>
      <c r="C203" s="42" t="s">
        <v>987</v>
      </c>
      <c r="D203" s="15" t="s">
        <v>101</v>
      </c>
      <c r="E203" s="42" t="s">
        <v>988</v>
      </c>
      <c r="F203" s="43">
        <v>1</v>
      </c>
      <c r="G203" s="15" t="s">
        <v>976</v>
      </c>
      <c r="H203" s="44">
        <v>20</v>
      </c>
      <c r="I203" s="15" t="s">
        <v>104</v>
      </c>
      <c r="J203" s="15" t="s">
        <v>33</v>
      </c>
      <c r="K203" s="15" t="s">
        <v>35</v>
      </c>
      <c r="L203" s="15"/>
      <c r="M203" s="15" t="s">
        <v>38</v>
      </c>
      <c r="N203" s="15"/>
      <c r="O203" s="15"/>
      <c r="P203" s="45">
        <f>H203+SUMIFS(Movimientos!$F$2:$F$5000,Movimientos!$D$2:$D$5000,$A203,Movimientos!$C$2:$C$5000,"Ingreso inventario")+SUMIFS(Movimientos!$F$2:$F$5000,Movimientos!$D$2:$D$5000,$A203,Movimientos!$C$2:$C$5000,"Ajuste")-SUMIFS(Movimientos!$F$2:$F$5000,Movimientos!$D$2:$D$5000,$A203,Movimientos!$C$2:$C$5000,"Consumido en evento")-SUMIFS(Movimientos!$F$2:$F$5000,Movimientos!$D$2:$D$5000,$A203,Movimientos!$C$2:$C$5000,"Consumo interno")-SUMIFS(Movimientos!$F$2:$F$5000,Movimientos!$D$2:$D$5000,$A203,Movimientos!$C$2:$C$5000,"Baja")-SUMIFS(Movimientos!$F$2:$F$5000,Movimientos!$D$2:$D$5000,$A203,Movimientos!$C$2:$C$5000,"Baja desde reparación")</f>
        <v>20</v>
      </c>
      <c r="Q203" s="45">
        <f>SUMIFS(Movimientos!$F$2:$F$5000,Movimientos!$D$2:$D$5000,$A203,Movimientos!$C$2:$C$5000,"Salida alquiler")-SUMIFS(Movimientos!$F$2:$F$5000,Movimientos!$D$2:$D$5000,$A203,Movimientos!$C$2:$C$5000,"Retorno alquiler")-SUMIFS(Movimientos!$F$2:$F$5000,Movimientos!$D$2:$D$5000,$A203,Movimientos!$C$2:$C$5000,"Consumido en evento")-SUMIFS(Movimientos!$F$2:$F$5000,Movimientos!$D$2:$D$5000,$A203,Movimientos!$C$2:$C$5000,"A reparación")</f>
        <v>0</v>
      </c>
      <c r="R203" s="45">
        <f>SUMIFS(Movimientos!$F$2:$F$5000,Movimientos!$D$2:$D$5000,$A203,Movimientos!$C$2:$C$5000,"A reparación")-SUMIFS(Movimientos!$F$2:$F$5000,Movimientos!$D$2:$D$5000,$A203,Movimientos!$C$2:$C$5000,"Retorno reparación")-SUMIFS(Movimientos!$F$2:$F$5000,Movimientos!$D$2:$D$5000,$A203,Movimientos!$C$2:$C$5000,"Baja desde reparación")</f>
        <v>0</v>
      </c>
      <c r="S203" s="45">
        <f>P203-Q203-R203</f>
        <v>20</v>
      </c>
    </row>
    <row r="204" spans="1:19">
      <c r="A204" s="15" t="s">
        <v>989</v>
      </c>
      <c r="B204" s="15" t="s">
        <v>990</v>
      </c>
      <c r="C204" s="42" t="s">
        <v>991</v>
      </c>
      <c r="D204" s="15" t="s">
        <v>101</v>
      </c>
      <c r="E204" s="42" t="s">
        <v>992</v>
      </c>
      <c r="F204" s="43">
        <v>1</v>
      </c>
      <c r="G204" s="15" t="s">
        <v>976</v>
      </c>
      <c r="H204" s="44">
        <v>40</v>
      </c>
      <c r="I204" s="15" t="s">
        <v>104</v>
      </c>
      <c r="J204" s="15" t="s">
        <v>33</v>
      </c>
      <c r="K204" s="15" t="s">
        <v>35</v>
      </c>
      <c r="L204" s="15"/>
      <c r="M204" s="15" t="s">
        <v>38</v>
      </c>
      <c r="N204" s="15"/>
      <c r="O204" s="15"/>
      <c r="P204" s="45">
        <f>H204+SUMIFS(Movimientos!$F$2:$F$5000,Movimientos!$D$2:$D$5000,$A204,Movimientos!$C$2:$C$5000,"Ingreso inventario")+SUMIFS(Movimientos!$F$2:$F$5000,Movimientos!$D$2:$D$5000,$A204,Movimientos!$C$2:$C$5000,"Ajuste")-SUMIFS(Movimientos!$F$2:$F$5000,Movimientos!$D$2:$D$5000,$A204,Movimientos!$C$2:$C$5000,"Consumido en evento")-SUMIFS(Movimientos!$F$2:$F$5000,Movimientos!$D$2:$D$5000,$A204,Movimientos!$C$2:$C$5000,"Consumo interno")-SUMIFS(Movimientos!$F$2:$F$5000,Movimientos!$D$2:$D$5000,$A204,Movimientos!$C$2:$C$5000,"Baja")-SUMIFS(Movimientos!$F$2:$F$5000,Movimientos!$D$2:$D$5000,$A204,Movimientos!$C$2:$C$5000,"Baja desde reparación")</f>
        <v>40</v>
      </c>
      <c r="Q204" s="45">
        <f>SUMIFS(Movimientos!$F$2:$F$5000,Movimientos!$D$2:$D$5000,$A204,Movimientos!$C$2:$C$5000,"Salida alquiler")-SUMIFS(Movimientos!$F$2:$F$5000,Movimientos!$D$2:$D$5000,$A204,Movimientos!$C$2:$C$5000,"Retorno alquiler")-SUMIFS(Movimientos!$F$2:$F$5000,Movimientos!$D$2:$D$5000,$A204,Movimientos!$C$2:$C$5000,"Consumido en evento")-SUMIFS(Movimientos!$F$2:$F$5000,Movimientos!$D$2:$D$5000,$A204,Movimientos!$C$2:$C$5000,"A reparación")</f>
        <v>0</v>
      </c>
      <c r="R204" s="45">
        <f>SUMIFS(Movimientos!$F$2:$F$5000,Movimientos!$D$2:$D$5000,$A204,Movimientos!$C$2:$C$5000,"A reparación")-SUMIFS(Movimientos!$F$2:$F$5000,Movimientos!$D$2:$D$5000,$A204,Movimientos!$C$2:$C$5000,"Retorno reparación")-SUMIFS(Movimientos!$F$2:$F$5000,Movimientos!$D$2:$D$5000,$A204,Movimientos!$C$2:$C$5000,"Baja desde reparación")</f>
        <v>0</v>
      </c>
      <c r="S204" s="45">
        <f>P204-Q204-R204</f>
        <v>40</v>
      </c>
    </row>
    <row r="205" spans="1:19">
      <c r="A205" s="15" t="s">
        <v>993</v>
      </c>
      <c r="B205" s="15" t="s">
        <v>994</v>
      </c>
      <c r="C205" s="42" t="s">
        <v>995</v>
      </c>
      <c r="D205" s="15" t="s">
        <v>101</v>
      </c>
      <c r="E205" s="42" t="s">
        <v>996</v>
      </c>
      <c r="F205" s="43">
        <v>1</v>
      </c>
      <c r="G205" s="15" t="s">
        <v>110</v>
      </c>
      <c r="H205" s="44">
        <v>16</v>
      </c>
      <c r="I205" s="15" t="s">
        <v>104</v>
      </c>
      <c r="J205" s="15" t="s">
        <v>33</v>
      </c>
      <c r="K205" s="15" t="s">
        <v>35</v>
      </c>
      <c r="L205" s="15"/>
      <c r="M205" s="15" t="s">
        <v>38</v>
      </c>
      <c r="N205" s="15"/>
      <c r="O205" s="15"/>
      <c r="P205" s="45">
        <f>H205+SUMIFS(Movimientos!$F$2:$F$5000,Movimientos!$D$2:$D$5000,$A205,Movimientos!$C$2:$C$5000,"Ingreso inventario")+SUMIFS(Movimientos!$F$2:$F$5000,Movimientos!$D$2:$D$5000,$A205,Movimientos!$C$2:$C$5000,"Ajuste")-SUMIFS(Movimientos!$F$2:$F$5000,Movimientos!$D$2:$D$5000,$A205,Movimientos!$C$2:$C$5000,"Consumido en evento")-SUMIFS(Movimientos!$F$2:$F$5000,Movimientos!$D$2:$D$5000,$A205,Movimientos!$C$2:$C$5000,"Consumo interno")-SUMIFS(Movimientos!$F$2:$F$5000,Movimientos!$D$2:$D$5000,$A205,Movimientos!$C$2:$C$5000,"Baja")-SUMIFS(Movimientos!$F$2:$F$5000,Movimientos!$D$2:$D$5000,$A205,Movimientos!$C$2:$C$5000,"Baja desde reparación")</f>
        <v>16</v>
      </c>
      <c r="Q205" s="45">
        <f>SUMIFS(Movimientos!$F$2:$F$5000,Movimientos!$D$2:$D$5000,$A205,Movimientos!$C$2:$C$5000,"Salida alquiler")-SUMIFS(Movimientos!$F$2:$F$5000,Movimientos!$D$2:$D$5000,$A205,Movimientos!$C$2:$C$5000,"Retorno alquiler")-SUMIFS(Movimientos!$F$2:$F$5000,Movimientos!$D$2:$D$5000,$A205,Movimientos!$C$2:$C$5000,"Consumido en evento")-SUMIFS(Movimientos!$F$2:$F$5000,Movimientos!$D$2:$D$5000,$A205,Movimientos!$C$2:$C$5000,"A reparación")</f>
        <v>0</v>
      </c>
      <c r="R205" s="45">
        <f>SUMIFS(Movimientos!$F$2:$F$5000,Movimientos!$D$2:$D$5000,$A205,Movimientos!$C$2:$C$5000,"A reparación")-SUMIFS(Movimientos!$F$2:$F$5000,Movimientos!$D$2:$D$5000,$A205,Movimientos!$C$2:$C$5000,"Retorno reparación")-SUMIFS(Movimientos!$F$2:$F$5000,Movimientos!$D$2:$D$5000,$A205,Movimientos!$C$2:$C$5000,"Baja desde reparación")</f>
        <v>0</v>
      </c>
      <c r="S205" s="45">
        <f>P205-Q205-R205</f>
        <v>16</v>
      </c>
    </row>
    <row r="206" spans="1:19">
      <c r="A206" s="15" t="s">
        <v>997</v>
      </c>
      <c r="B206" s="15" t="s">
        <v>998</v>
      </c>
      <c r="C206" s="42" t="s">
        <v>999</v>
      </c>
      <c r="D206" s="15" t="s">
        <v>101</v>
      </c>
      <c r="E206" s="42" t="s">
        <v>1000</v>
      </c>
      <c r="F206" s="43">
        <v>1</v>
      </c>
      <c r="G206" s="15" t="s">
        <v>110</v>
      </c>
      <c r="H206" s="44">
        <v>2</v>
      </c>
      <c r="I206" s="15" t="s">
        <v>104</v>
      </c>
      <c r="J206" s="15" t="s">
        <v>33</v>
      </c>
      <c r="K206" s="15" t="s">
        <v>35</v>
      </c>
      <c r="L206" s="15" t="s">
        <v>1001</v>
      </c>
      <c r="M206" s="15" t="s">
        <v>38</v>
      </c>
      <c r="N206" s="15"/>
      <c r="O206" s="15"/>
      <c r="P206" s="45">
        <f>H206+SUMIFS(Movimientos!$F$2:$F$5000,Movimientos!$D$2:$D$5000,$A206,Movimientos!$C$2:$C$5000,"Ingreso inventario")+SUMIFS(Movimientos!$F$2:$F$5000,Movimientos!$D$2:$D$5000,$A206,Movimientos!$C$2:$C$5000,"Ajuste")-SUMIFS(Movimientos!$F$2:$F$5000,Movimientos!$D$2:$D$5000,$A206,Movimientos!$C$2:$C$5000,"Consumido en evento")-SUMIFS(Movimientos!$F$2:$F$5000,Movimientos!$D$2:$D$5000,$A206,Movimientos!$C$2:$C$5000,"Consumo interno")-SUMIFS(Movimientos!$F$2:$F$5000,Movimientos!$D$2:$D$5000,$A206,Movimientos!$C$2:$C$5000,"Baja")-SUMIFS(Movimientos!$F$2:$F$5000,Movimientos!$D$2:$D$5000,$A206,Movimientos!$C$2:$C$5000,"Baja desde reparación")</f>
        <v>2</v>
      </c>
      <c r="Q206" s="45">
        <f>SUMIFS(Movimientos!$F$2:$F$5000,Movimientos!$D$2:$D$5000,$A206,Movimientos!$C$2:$C$5000,"Salida alquiler")-SUMIFS(Movimientos!$F$2:$F$5000,Movimientos!$D$2:$D$5000,$A206,Movimientos!$C$2:$C$5000,"Retorno alquiler")-SUMIFS(Movimientos!$F$2:$F$5000,Movimientos!$D$2:$D$5000,$A206,Movimientos!$C$2:$C$5000,"Consumido en evento")-SUMIFS(Movimientos!$F$2:$F$5000,Movimientos!$D$2:$D$5000,$A206,Movimientos!$C$2:$C$5000,"A reparación")</f>
        <v>0</v>
      </c>
      <c r="R206" s="45">
        <f>SUMIFS(Movimientos!$F$2:$F$5000,Movimientos!$D$2:$D$5000,$A206,Movimientos!$C$2:$C$5000,"A reparación")-SUMIFS(Movimientos!$F$2:$F$5000,Movimientos!$D$2:$D$5000,$A206,Movimientos!$C$2:$C$5000,"Retorno reparación")-SUMIFS(Movimientos!$F$2:$F$5000,Movimientos!$D$2:$D$5000,$A206,Movimientos!$C$2:$C$5000,"Baja desde reparación")</f>
        <v>0</v>
      </c>
      <c r="S206" s="45">
        <f>P206-Q206-R206</f>
        <v>2</v>
      </c>
    </row>
    <row r="207" spans="1:19">
      <c r="A207" s="15" t="s">
        <v>1002</v>
      </c>
      <c r="B207" s="15" t="s">
        <v>1003</v>
      </c>
      <c r="C207" s="42" t="s">
        <v>1004</v>
      </c>
      <c r="D207" s="15" t="s">
        <v>101</v>
      </c>
      <c r="E207" s="42" t="s">
        <v>1005</v>
      </c>
      <c r="F207" s="43">
        <v>1</v>
      </c>
      <c r="G207" s="15" t="s">
        <v>110</v>
      </c>
      <c r="H207" s="44">
        <v>1</v>
      </c>
      <c r="I207" s="15" t="s">
        <v>104</v>
      </c>
      <c r="J207" s="15" t="s">
        <v>33</v>
      </c>
      <c r="K207" s="15" t="s">
        <v>35</v>
      </c>
      <c r="L207" s="15" t="s">
        <v>1006</v>
      </c>
      <c r="M207" s="15" t="s">
        <v>38</v>
      </c>
      <c r="N207" s="15"/>
      <c r="O207" s="15"/>
      <c r="P207" s="45">
        <f>H207+SUMIFS(Movimientos!$F$2:$F$5000,Movimientos!$D$2:$D$5000,$A207,Movimientos!$C$2:$C$5000,"Ingreso inventario")+SUMIFS(Movimientos!$F$2:$F$5000,Movimientos!$D$2:$D$5000,$A207,Movimientos!$C$2:$C$5000,"Ajuste")-SUMIFS(Movimientos!$F$2:$F$5000,Movimientos!$D$2:$D$5000,$A207,Movimientos!$C$2:$C$5000,"Consumido en evento")-SUMIFS(Movimientos!$F$2:$F$5000,Movimientos!$D$2:$D$5000,$A207,Movimientos!$C$2:$C$5000,"Consumo interno")-SUMIFS(Movimientos!$F$2:$F$5000,Movimientos!$D$2:$D$5000,$A207,Movimientos!$C$2:$C$5000,"Baja")-SUMIFS(Movimientos!$F$2:$F$5000,Movimientos!$D$2:$D$5000,$A207,Movimientos!$C$2:$C$5000,"Baja desde reparación")</f>
        <v>1</v>
      </c>
      <c r="Q207" s="45">
        <f>SUMIFS(Movimientos!$F$2:$F$5000,Movimientos!$D$2:$D$5000,$A207,Movimientos!$C$2:$C$5000,"Salida alquiler")-SUMIFS(Movimientos!$F$2:$F$5000,Movimientos!$D$2:$D$5000,$A207,Movimientos!$C$2:$C$5000,"Retorno alquiler")-SUMIFS(Movimientos!$F$2:$F$5000,Movimientos!$D$2:$D$5000,$A207,Movimientos!$C$2:$C$5000,"Consumido en evento")-SUMIFS(Movimientos!$F$2:$F$5000,Movimientos!$D$2:$D$5000,$A207,Movimientos!$C$2:$C$5000,"A reparación")</f>
        <v>0</v>
      </c>
      <c r="R207" s="45">
        <f>SUMIFS(Movimientos!$F$2:$F$5000,Movimientos!$D$2:$D$5000,$A207,Movimientos!$C$2:$C$5000,"A reparación")-SUMIFS(Movimientos!$F$2:$F$5000,Movimientos!$D$2:$D$5000,$A207,Movimientos!$C$2:$C$5000,"Retorno reparación")-SUMIFS(Movimientos!$F$2:$F$5000,Movimientos!$D$2:$D$5000,$A207,Movimientos!$C$2:$C$5000,"Baja desde reparación")</f>
        <v>0</v>
      </c>
      <c r="S207" s="45">
        <f>P207-Q207-R207</f>
        <v>1</v>
      </c>
    </row>
    <row r="208" spans="1:19">
      <c r="A208" s="15" t="s">
        <v>1007</v>
      </c>
      <c r="B208" s="15" t="s">
        <v>1008</v>
      </c>
      <c r="C208" s="42" t="s">
        <v>1009</v>
      </c>
      <c r="D208" s="15" t="s">
        <v>101</v>
      </c>
      <c r="E208" s="42" t="s">
        <v>1010</v>
      </c>
      <c r="F208" s="43">
        <v>1</v>
      </c>
      <c r="G208" s="15" t="s">
        <v>110</v>
      </c>
      <c r="H208" s="44">
        <v>4</v>
      </c>
      <c r="I208" s="15" t="s">
        <v>104</v>
      </c>
      <c r="J208" s="15" t="s">
        <v>33</v>
      </c>
      <c r="K208" s="15" t="s">
        <v>35</v>
      </c>
      <c r="L208" s="15"/>
      <c r="M208" s="15" t="s">
        <v>38</v>
      </c>
      <c r="N208" s="15"/>
      <c r="O208" s="15"/>
      <c r="P208" s="45">
        <f>H208+SUMIFS(Movimientos!$F$2:$F$5000,Movimientos!$D$2:$D$5000,$A208,Movimientos!$C$2:$C$5000,"Ingreso inventario")+SUMIFS(Movimientos!$F$2:$F$5000,Movimientos!$D$2:$D$5000,$A208,Movimientos!$C$2:$C$5000,"Ajuste")-SUMIFS(Movimientos!$F$2:$F$5000,Movimientos!$D$2:$D$5000,$A208,Movimientos!$C$2:$C$5000,"Consumido en evento")-SUMIFS(Movimientos!$F$2:$F$5000,Movimientos!$D$2:$D$5000,$A208,Movimientos!$C$2:$C$5000,"Consumo interno")-SUMIFS(Movimientos!$F$2:$F$5000,Movimientos!$D$2:$D$5000,$A208,Movimientos!$C$2:$C$5000,"Baja")-SUMIFS(Movimientos!$F$2:$F$5000,Movimientos!$D$2:$D$5000,$A208,Movimientos!$C$2:$C$5000,"Baja desde reparación")</f>
        <v>4</v>
      </c>
      <c r="Q208" s="45">
        <f>SUMIFS(Movimientos!$F$2:$F$5000,Movimientos!$D$2:$D$5000,$A208,Movimientos!$C$2:$C$5000,"Salida alquiler")-SUMIFS(Movimientos!$F$2:$F$5000,Movimientos!$D$2:$D$5000,$A208,Movimientos!$C$2:$C$5000,"Retorno alquiler")-SUMIFS(Movimientos!$F$2:$F$5000,Movimientos!$D$2:$D$5000,$A208,Movimientos!$C$2:$C$5000,"Consumido en evento")-SUMIFS(Movimientos!$F$2:$F$5000,Movimientos!$D$2:$D$5000,$A208,Movimientos!$C$2:$C$5000,"A reparación")</f>
        <v>0</v>
      </c>
      <c r="R208" s="45">
        <f>SUMIFS(Movimientos!$F$2:$F$5000,Movimientos!$D$2:$D$5000,$A208,Movimientos!$C$2:$C$5000,"A reparación")-SUMIFS(Movimientos!$F$2:$F$5000,Movimientos!$D$2:$D$5000,$A208,Movimientos!$C$2:$C$5000,"Retorno reparación")-SUMIFS(Movimientos!$F$2:$F$5000,Movimientos!$D$2:$D$5000,$A208,Movimientos!$C$2:$C$5000,"Baja desde reparación")</f>
        <v>0</v>
      </c>
      <c r="S208" s="45">
        <f>P208-Q208-R208</f>
        <v>4</v>
      </c>
    </row>
    <row r="209" spans="1:19">
      <c r="A209" s="15" t="s">
        <v>1011</v>
      </c>
      <c r="B209" s="15" t="s">
        <v>1012</v>
      </c>
      <c r="C209" s="42" t="s">
        <v>1013</v>
      </c>
      <c r="D209" s="15" t="s">
        <v>101</v>
      </c>
      <c r="E209" s="42" t="s">
        <v>1014</v>
      </c>
      <c r="F209" s="43">
        <v>1</v>
      </c>
      <c r="G209" s="15" t="s">
        <v>110</v>
      </c>
      <c r="H209" s="44">
        <v>2</v>
      </c>
      <c r="I209" s="15" t="s">
        <v>104</v>
      </c>
      <c r="J209" s="15" t="s">
        <v>33</v>
      </c>
      <c r="K209" s="15" t="s">
        <v>35</v>
      </c>
      <c r="L209" s="15" t="s">
        <v>1015</v>
      </c>
      <c r="M209" s="15" t="s">
        <v>38</v>
      </c>
      <c r="N209" s="15"/>
      <c r="O209" s="15"/>
      <c r="P209" s="45">
        <f>H209+SUMIFS(Movimientos!$F$2:$F$5000,Movimientos!$D$2:$D$5000,$A209,Movimientos!$C$2:$C$5000,"Ingreso inventario")+SUMIFS(Movimientos!$F$2:$F$5000,Movimientos!$D$2:$D$5000,$A209,Movimientos!$C$2:$C$5000,"Ajuste")-SUMIFS(Movimientos!$F$2:$F$5000,Movimientos!$D$2:$D$5000,$A209,Movimientos!$C$2:$C$5000,"Consumido en evento")-SUMIFS(Movimientos!$F$2:$F$5000,Movimientos!$D$2:$D$5000,$A209,Movimientos!$C$2:$C$5000,"Consumo interno")-SUMIFS(Movimientos!$F$2:$F$5000,Movimientos!$D$2:$D$5000,$A209,Movimientos!$C$2:$C$5000,"Baja")-SUMIFS(Movimientos!$F$2:$F$5000,Movimientos!$D$2:$D$5000,$A209,Movimientos!$C$2:$C$5000,"Baja desde reparación")</f>
        <v>2</v>
      </c>
      <c r="Q209" s="45">
        <f>SUMIFS(Movimientos!$F$2:$F$5000,Movimientos!$D$2:$D$5000,$A209,Movimientos!$C$2:$C$5000,"Salida alquiler")-SUMIFS(Movimientos!$F$2:$F$5000,Movimientos!$D$2:$D$5000,$A209,Movimientos!$C$2:$C$5000,"Retorno alquiler")-SUMIFS(Movimientos!$F$2:$F$5000,Movimientos!$D$2:$D$5000,$A209,Movimientos!$C$2:$C$5000,"Consumido en evento")-SUMIFS(Movimientos!$F$2:$F$5000,Movimientos!$D$2:$D$5000,$A209,Movimientos!$C$2:$C$5000,"A reparación")</f>
        <v>0</v>
      </c>
      <c r="R209" s="45">
        <f>SUMIFS(Movimientos!$F$2:$F$5000,Movimientos!$D$2:$D$5000,$A209,Movimientos!$C$2:$C$5000,"A reparación")-SUMIFS(Movimientos!$F$2:$F$5000,Movimientos!$D$2:$D$5000,$A209,Movimientos!$C$2:$C$5000,"Retorno reparación")-SUMIFS(Movimientos!$F$2:$F$5000,Movimientos!$D$2:$D$5000,$A209,Movimientos!$C$2:$C$5000,"Baja desde reparación")</f>
        <v>0</v>
      </c>
      <c r="S209" s="45">
        <f>P209-Q209-R209</f>
        <v>2</v>
      </c>
    </row>
    <row r="210" spans="1:19">
      <c r="A210" s="15" t="s">
        <v>1016</v>
      </c>
      <c r="B210" s="15" t="s">
        <v>1017</v>
      </c>
      <c r="C210" s="42" t="s">
        <v>1018</v>
      </c>
      <c r="D210" s="15" t="s">
        <v>101</v>
      </c>
      <c r="E210" s="42" t="s">
        <v>1019</v>
      </c>
      <c r="F210" s="43">
        <v>1</v>
      </c>
      <c r="G210" s="15" t="s">
        <v>110</v>
      </c>
      <c r="H210" s="44">
        <v>6</v>
      </c>
      <c r="I210" s="15" t="s">
        <v>104</v>
      </c>
      <c r="J210" s="15" t="s">
        <v>33</v>
      </c>
      <c r="K210" s="15" t="s">
        <v>35</v>
      </c>
      <c r="L210" s="15" t="s">
        <v>1020</v>
      </c>
      <c r="M210" s="15" t="s">
        <v>38</v>
      </c>
      <c r="N210" s="15"/>
      <c r="O210" s="15"/>
      <c r="P210" s="45">
        <f>H210+SUMIFS(Movimientos!$F$2:$F$5000,Movimientos!$D$2:$D$5000,$A210,Movimientos!$C$2:$C$5000,"Ingreso inventario")+SUMIFS(Movimientos!$F$2:$F$5000,Movimientos!$D$2:$D$5000,$A210,Movimientos!$C$2:$C$5000,"Ajuste")-SUMIFS(Movimientos!$F$2:$F$5000,Movimientos!$D$2:$D$5000,$A210,Movimientos!$C$2:$C$5000,"Consumido en evento")-SUMIFS(Movimientos!$F$2:$F$5000,Movimientos!$D$2:$D$5000,$A210,Movimientos!$C$2:$C$5000,"Consumo interno")-SUMIFS(Movimientos!$F$2:$F$5000,Movimientos!$D$2:$D$5000,$A210,Movimientos!$C$2:$C$5000,"Baja")-SUMIFS(Movimientos!$F$2:$F$5000,Movimientos!$D$2:$D$5000,$A210,Movimientos!$C$2:$C$5000,"Baja desde reparación")</f>
        <v>6</v>
      </c>
      <c r="Q210" s="45">
        <f>SUMIFS(Movimientos!$F$2:$F$5000,Movimientos!$D$2:$D$5000,$A210,Movimientos!$C$2:$C$5000,"Salida alquiler")-SUMIFS(Movimientos!$F$2:$F$5000,Movimientos!$D$2:$D$5000,$A210,Movimientos!$C$2:$C$5000,"Retorno alquiler")-SUMIFS(Movimientos!$F$2:$F$5000,Movimientos!$D$2:$D$5000,$A210,Movimientos!$C$2:$C$5000,"Consumido en evento")-SUMIFS(Movimientos!$F$2:$F$5000,Movimientos!$D$2:$D$5000,$A210,Movimientos!$C$2:$C$5000,"A reparación")</f>
        <v>0</v>
      </c>
      <c r="R210" s="45">
        <f>SUMIFS(Movimientos!$F$2:$F$5000,Movimientos!$D$2:$D$5000,$A210,Movimientos!$C$2:$C$5000,"A reparación")-SUMIFS(Movimientos!$F$2:$F$5000,Movimientos!$D$2:$D$5000,$A210,Movimientos!$C$2:$C$5000,"Retorno reparación")-SUMIFS(Movimientos!$F$2:$F$5000,Movimientos!$D$2:$D$5000,$A210,Movimientos!$C$2:$C$5000,"Baja desde reparación")</f>
        <v>0</v>
      </c>
      <c r="S210" s="45">
        <f>P210-Q210-R210</f>
        <v>6</v>
      </c>
    </row>
    <row r="211" spans="1:19">
      <c r="A211" s="15" t="s">
        <v>1021</v>
      </c>
      <c r="B211" s="15" t="s">
        <v>1022</v>
      </c>
      <c r="C211" s="42" t="s">
        <v>1023</v>
      </c>
      <c r="D211" s="15" t="s">
        <v>101</v>
      </c>
      <c r="E211" s="42" t="s">
        <v>1024</v>
      </c>
      <c r="F211" s="43">
        <v>1</v>
      </c>
      <c r="G211" s="15" t="s">
        <v>110</v>
      </c>
      <c r="H211" s="44">
        <v>4</v>
      </c>
      <c r="I211" s="15" t="s">
        <v>104</v>
      </c>
      <c r="J211" s="15" t="s">
        <v>33</v>
      </c>
      <c r="K211" s="15" t="s">
        <v>35</v>
      </c>
      <c r="L211" s="15"/>
      <c r="M211" s="15" t="s">
        <v>38</v>
      </c>
      <c r="N211" s="15"/>
      <c r="O211" s="15"/>
      <c r="P211" s="45">
        <f>H211+SUMIFS(Movimientos!$F$2:$F$5000,Movimientos!$D$2:$D$5000,$A211,Movimientos!$C$2:$C$5000,"Ingreso inventario")+SUMIFS(Movimientos!$F$2:$F$5000,Movimientos!$D$2:$D$5000,$A211,Movimientos!$C$2:$C$5000,"Ajuste")-SUMIFS(Movimientos!$F$2:$F$5000,Movimientos!$D$2:$D$5000,$A211,Movimientos!$C$2:$C$5000,"Consumido en evento")-SUMIFS(Movimientos!$F$2:$F$5000,Movimientos!$D$2:$D$5000,$A211,Movimientos!$C$2:$C$5000,"Consumo interno")-SUMIFS(Movimientos!$F$2:$F$5000,Movimientos!$D$2:$D$5000,$A211,Movimientos!$C$2:$C$5000,"Baja")-SUMIFS(Movimientos!$F$2:$F$5000,Movimientos!$D$2:$D$5000,$A211,Movimientos!$C$2:$C$5000,"Baja desde reparación")</f>
        <v>4</v>
      </c>
      <c r="Q211" s="45">
        <f>SUMIFS(Movimientos!$F$2:$F$5000,Movimientos!$D$2:$D$5000,$A211,Movimientos!$C$2:$C$5000,"Salida alquiler")-SUMIFS(Movimientos!$F$2:$F$5000,Movimientos!$D$2:$D$5000,$A211,Movimientos!$C$2:$C$5000,"Retorno alquiler")-SUMIFS(Movimientos!$F$2:$F$5000,Movimientos!$D$2:$D$5000,$A211,Movimientos!$C$2:$C$5000,"Consumido en evento")-SUMIFS(Movimientos!$F$2:$F$5000,Movimientos!$D$2:$D$5000,$A211,Movimientos!$C$2:$C$5000,"A reparación")</f>
        <v>0</v>
      </c>
      <c r="R211" s="45">
        <f>SUMIFS(Movimientos!$F$2:$F$5000,Movimientos!$D$2:$D$5000,$A211,Movimientos!$C$2:$C$5000,"A reparación")-SUMIFS(Movimientos!$F$2:$F$5000,Movimientos!$D$2:$D$5000,$A211,Movimientos!$C$2:$C$5000,"Retorno reparación")-SUMIFS(Movimientos!$F$2:$F$5000,Movimientos!$D$2:$D$5000,$A211,Movimientos!$C$2:$C$5000,"Baja desde reparación")</f>
        <v>0</v>
      </c>
      <c r="S211" s="45">
        <f>P211-Q211-R211</f>
        <v>4</v>
      </c>
    </row>
    <row r="212" spans="1:19">
      <c r="A212" s="15" t="s">
        <v>1025</v>
      </c>
      <c r="B212" s="15" t="s">
        <v>1026</v>
      </c>
      <c r="C212" s="42" t="s">
        <v>1027</v>
      </c>
      <c r="D212" s="15" t="s">
        <v>101</v>
      </c>
      <c r="E212" s="42" t="s">
        <v>1028</v>
      </c>
      <c r="F212" s="43">
        <v>1</v>
      </c>
      <c r="G212" s="15" t="s">
        <v>110</v>
      </c>
      <c r="H212" s="44">
        <v>4</v>
      </c>
      <c r="I212" s="15" t="s">
        <v>104</v>
      </c>
      <c r="J212" s="15" t="s">
        <v>33</v>
      </c>
      <c r="K212" s="15" t="s">
        <v>35</v>
      </c>
      <c r="L212" s="15" t="s">
        <v>1029</v>
      </c>
      <c r="M212" s="15" t="s">
        <v>38</v>
      </c>
      <c r="N212" s="15"/>
      <c r="O212" s="15"/>
      <c r="P212" s="45">
        <f>H212+SUMIFS(Movimientos!$F$2:$F$5000,Movimientos!$D$2:$D$5000,$A212,Movimientos!$C$2:$C$5000,"Ingreso inventario")+SUMIFS(Movimientos!$F$2:$F$5000,Movimientos!$D$2:$D$5000,$A212,Movimientos!$C$2:$C$5000,"Ajuste")-SUMIFS(Movimientos!$F$2:$F$5000,Movimientos!$D$2:$D$5000,$A212,Movimientos!$C$2:$C$5000,"Consumido en evento")-SUMIFS(Movimientos!$F$2:$F$5000,Movimientos!$D$2:$D$5000,$A212,Movimientos!$C$2:$C$5000,"Consumo interno")-SUMIFS(Movimientos!$F$2:$F$5000,Movimientos!$D$2:$D$5000,$A212,Movimientos!$C$2:$C$5000,"Baja")-SUMIFS(Movimientos!$F$2:$F$5000,Movimientos!$D$2:$D$5000,$A212,Movimientos!$C$2:$C$5000,"Baja desde reparación")</f>
        <v>4</v>
      </c>
      <c r="Q212" s="45">
        <f>SUMIFS(Movimientos!$F$2:$F$5000,Movimientos!$D$2:$D$5000,$A212,Movimientos!$C$2:$C$5000,"Salida alquiler")-SUMIFS(Movimientos!$F$2:$F$5000,Movimientos!$D$2:$D$5000,$A212,Movimientos!$C$2:$C$5000,"Retorno alquiler")-SUMIFS(Movimientos!$F$2:$F$5000,Movimientos!$D$2:$D$5000,$A212,Movimientos!$C$2:$C$5000,"Consumido en evento")-SUMIFS(Movimientos!$F$2:$F$5000,Movimientos!$D$2:$D$5000,$A212,Movimientos!$C$2:$C$5000,"A reparación")</f>
        <v>0</v>
      </c>
      <c r="R212" s="45">
        <f>SUMIFS(Movimientos!$F$2:$F$5000,Movimientos!$D$2:$D$5000,$A212,Movimientos!$C$2:$C$5000,"A reparación")-SUMIFS(Movimientos!$F$2:$F$5000,Movimientos!$D$2:$D$5000,$A212,Movimientos!$C$2:$C$5000,"Retorno reparación")-SUMIFS(Movimientos!$F$2:$F$5000,Movimientos!$D$2:$D$5000,$A212,Movimientos!$C$2:$C$5000,"Baja desde reparación")</f>
        <v>0</v>
      </c>
      <c r="S212" s="45">
        <f>P212-Q212-R212</f>
        <v>4</v>
      </c>
    </row>
    <row r="213" spans="1:19">
      <c r="A213" s="15" t="s">
        <v>1030</v>
      </c>
      <c r="B213" s="15" t="s">
        <v>1031</v>
      </c>
      <c r="C213" s="42" t="s">
        <v>1032</v>
      </c>
      <c r="D213" s="15" t="s">
        <v>101</v>
      </c>
      <c r="E213" s="42" t="s">
        <v>1033</v>
      </c>
      <c r="F213" s="43">
        <v>1</v>
      </c>
      <c r="G213" s="15" t="s">
        <v>110</v>
      </c>
      <c r="H213" s="44">
        <v>3</v>
      </c>
      <c r="I213" s="15" t="s">
        <v>104</v>
      </c>
      <c r="J213" s="15" t="s">
        <v>33</v>
      </c>
      <c r="K213" s="15" t="s">
        <v>35</v>
      </c>
      <c r="L213" s="15"/>
      <c r="M213" s="15" t="s">
        <v>38</v>
      </c>
      <c r="N213" s="15"/>
      <c r="O213" s="15"/>
      <c r="P213" s="45">
        <f>H213+SUMIFS(Movimientos!$F$2:$F$5000,Movimientos!$D$2:$D$5000,$A213,Movimientos!$C$2:$C$5000,"Ingreso inventario")+SUMIFS(Movimientos!$F$2:$F$5000,Movimientos!$D$2:$D$5000,$A213,Movimientos!$C$2:$C$5000,"Ajuste")-SUMIFS(Movimientos!$F$2:$F$5000,Movimientos!$D$2:$D$5000,$A213,Movimientos!$C$2:$C$5000,"Consumido en evento")-SUMIFS(Movimientos!$F$2:$F$5000,Movimientos!$D$2:$D$5000,$A213,Movimientos!$C$2:$C$5000,"Consumo interno")-SUMIFS(Movimientos!$F$2:$F$5000,Movimientos!$D$2:$D$5000,$A213,Movimientos!$C$2:$C$5000,"Baja")-SUMIFS(Movimientos!$F$2:$F$5000,Movimientos!$D$2:$D$5000,$A213,Movimientos!$C$2:$C$5000,"Baja desde reparación")</f>
        <v>3</v>
      </c>
      <c r="Q213" s="45">
        <f>SUMIFS(Movimientos!$F$2:$F$5000,Movimientos!$D$2:$D$5000,$A213,Movimientos!$C$2:$C$5000,"Salida alquiler")-SUMIFS(Movimientos!$F$2:$F$5000,Movimientos!$D$2:$D$5000,$A213,Movimientos!$C$2:$C$5000,"Retorno alquiler")-SUMIFS(Movimientos!$F$2:$F$5000,Movimientos!$D$2:$D$5000,$A213,Movimientos!$C$2:$C$5000,"Consumido en evento")-SUMIFS(Movimientos!$F$2:$F$5000,Movimientos!$D$2:$D$5000,$A213,Movimientos!$C$2:$C$5000,"A reparación")</f>
        <v>0</v>
      </c>
      <c r="R213" s="45">
        <f>SUMIFS(Movimientos!$F$2:$F$5000,Movimientos!$D$2:$D$5000,$A213,Movimientos!$C$2:$C$5000,"A reparación")-SUMIFS(Movimientos!$F$2:$F$5000,Movimientos!$D$2:$D$5000,$A213,Movimientos!$C$2:$C$5000,"Retorno reparación")-SUMIFS(Movimientos!$F$2:$F$5000,Movimientos!$D$2:$D$5000,$A213,Movimientos!$C$2:$C$5000,"Baja desde reparación")</f>
        <v>0</v>
      </c>
      <c r="S213" s="45">
        <f>P213-Q213-R213</f>
        <v>3</v>
      </c>
    </row>
    <row r="214" spans="1:19">
      <c r="A214" s="15" t="s">
        <v>1034</v>
      </c>
      <c r="B214" s="15" t="s">
        <v>1035</v>
      </c>
      <c r="C214" s="42" t="s">
        <v>1036</v>
      </c>
      <c r="D214" s="15" t="s">
        <v>101</v>
      </c>
      <c r="E214" s="42" t="s">
        <v>1037</v>
      </c>
      <c r="F214" s="43">
        <v>1</v>
      </c>
      <c r="G214" s="15" t="s">
        <v>110</v>
      </c>
      <c r="H214" s="44">
        <v>1</v>
      </c>
      <c r="I214" s="15" t="s">
        <v>104</v>
      </c>
      <c r="J214" s="15" t="s">
        <v>33</v>
      </c>
      <c r="K214" s="15" t="s">
        <v>35</v>
      </c>
      <c r="L214" s="15"/>
      <c r="M214" s="15" t="s">
        <v>38</v>
      </c>
      <c r="N214" s="15"/>
      <c r="O214" s="15"/>
      <c r="P214" s="45">
        <f>H214+SUMIFS(Movimientos!$F$2:$F$5000,Movimientos!$D$2:$D$5000,$A214,Movimientos!$C$2:$C$5000,"Ingreso inventario")+SUMIFS(Movimientos!$F$2:$F$5000,Movimientos!$D$2:$D$5000,$A214,Movimientos!$C$2:$C$5000,"Ajuste")-SUMIFS(Movimientos!$F$2:$F$5000,Movimientos!$D$2:$D$5000,$A214,Movimientos!$C$2:$C$5000,"Consumido en evento")-SUMIFS(Movimientos!$F$2:$F$5000,Movimientos!$D$2:$D$5000,$A214,Movimientos!$C$2:$C$5000,"Consumo interno")-SUMIFS(Movimientos!$F$2:$F$5000,Movimientos!$D$2:$D$5000,$A214,Movimientos!$C$2:$C$5000,"Baja")-SUMIFS(Movimientos!$F$2:$F$5000,Movimientos!$D$2:$D$5000,$A214,Movimientos!$C$2:$C$5000,"Baja desde reparación")</f>
        <v>1</v>
      </c>
      <c r="Q214" s="45">
        <f>SUMIFS(Movimientos!$F$2:$F$5000,Movimientos!$D$2:$D$5000,$A214,Movimientos!$C$2:$C$5000,"Salida alquiler")-SUMIFS(Movimientos!$F$2:$F$5000,Movimientos!$D$2:$D$5000,$A214,Movimientos!$C$2:$C$5000,"Retorno alquiler")-SUMIFS(Movimientos!$F$2:$F$5000,Movimientos!$D$2:$D$5000,$A214,Movimientos!$C$2:$C$5000,"Consumido en evento")-SUMIFS(Movimientos!$F$2:$F$5000,Movimientos!$D$2:$D$5000,$A214,Movimientos!$C$2:$C$5000,"A reparación")</f>
        <v>0</v>
      </c>
      <c r="R214" s="45">
        <f>SUMIFS(Movimientos!$F$2:$F$5000,Movimientos!$D$2:$D$5000,$A214,Movimientos!$C$2:$C$5000,"A reparación")-SUMIFS(Movimientos!$F$2:$F$5000,Movimientos!$D$2:$D$5000,$A214,Movimientos!$C$2:$C$5000,"Retorno reparación")-SUMIFS(Movimientos!$F$2:$F$5000,Movimientos!$D$2:$D$5000,$A214,Movimientos!$C$2:$C$5000,"Baja desde reparación")</f>
        <v>0</v>
      </c>
      <c r="S214" s="45">
        <f>P214-Q214-R214</f>
        <v>1</v>
      </c>
    </row>
    <row r="215" spans="1:19">
      <c r="A215" s="15" t="s">
        <v>1038</v>
      </c>
      <c r="B215" s="15" t="s">
        <v>1039</v>
      </c>
      <c r="C215" s="42" t="s">
        <v>1040</v>
      </c>
      <c r="D215" s="15" t="s">
        <v>101</v>
      </c>
      <c r="E215" s="42" t="s">
        <v>1041</v>
      </c>
      <c r="F215" s="43">
        <v>1</v>
      </c>
      <c r="G215" s="15" t="s">
        <v>110</v>
      </c>
      <c r="H215" s="44">
        <v>2</v>
      </c>
      <c r="I215" s="15" t="s">
        <v>104</v>
      </c>
      <c r="J215" s="15" t="s">
        <v>33</v>
      </c>
      <c r="K215" s="15" t="s">
        <v>35</v>
      </c>
      <c r="L215" s="15"/>
      <c r="M215" s="15" t="s">
        <v>38</v>
      </c>
      <c r="N215" s="15"/>
      <c r="O215" s="15"/>
      <c r="P215" s="45">
        <f>H215+SUMIFS(Movimientos!$F$2:$F$5000,Movimientos!$D$2:$D$5000,$A215,Movimientos!$C$2:$C$5000,"Ingreso inventario")+SUMIFS(Movimientos!$F$2:$F$5000,Movimientos!$D$2:$D$5000,$A215,Movimientos!$C$2:$C$5000,"Ajuste")-SUMIFS(Movimientos!$F$2:$F$5000,Movimientos!$D$2:$D$5000,$A215,Movimientos!$C$2:$C$5000,"Consumido en evento")-SUMIFS(Movimientos!$F$2:$F$5000,Movimientos!$D$2:$D$5000,$A215,Movimientos!$C$2:$C$5000,"Consumo interno")-SUMIFS(Movimientos!$F$2:$F$5000,Movimientos!$D$2:$D$5000,$A215,Movimientos!$C$2:$C$5000,"Baja")-SUMIFS(Movimientos!$F$2:$F$5000,Movimientos!$D$2:$D$5000,$A215,Movimientos!$C$2:$C$5000,"Baja desde reparación")</f>
        <v>2</v>
      </c>
      <c r="Q215" s="45">
        <f>SUMIFS(Movimientos!$F$2:$F$5000,Movimientos!$D$2:$D$5000,$A215,Movimientos!$C$2:$C$5000,"Salida alquiler")-SUMIFS(Movimientos!$F$2:$F$5000,Movimientos!$D$2:$D$5000,$A215,Movimientos!$C$2:$C$5000,"Retorno alquiler")-SUMIFS(Movimientos!$F$2:$F$5000,Movimientos!$D$2:$D$5000,$A215,Movimientos!$C$2:$C$5000,"Consumido en evento")-SUMIFS(Movimientos!$F$2:$F$5000,Movimientos!$D$2:$D$5000,$A215,Movimientos!$C$2:$C$5000,"A reparación")</f>
        <v>0</v>
      </c>
      <c r="R215" s="45">
        <f>SUMIFS(Movimientos!$F$2:$F$5000,Movimientos!$D$2:$D$5000,$A215,Movimientos!$C$2:$C$5000,"A reparación")-SUMIFS(Movimientos!$F$2:$F$5000,Movimientos!$D$2:$D$5000,$A215,Movimientos!$C$2:$C$5000,"Retorno reparación")-SUMIFS(Movimientos!$F$2:$F$5000,Movimientos!$D$2:$D$5000,$A215,Movimientos!$C$2:$C$5000,"Baja desde reparación")</f>
        <v>0</v>
      </c>
      <c r="S215" s="45">
        <f>P215-Q215-R215</f>
        <v>2</v>
      </c>
    </row>
    <row r="216" spans="1:19">
      <c r="A216" s="15" t="s">
        <v>1042</v>
      </c>
      <c r="B216" s="15" t="s">
        <v>1043</v>
      </c>
      <c r="C216" s="42"/>
      <c r="D216" s="15" t="s">
        <v>101</v>
      </c>
      <c r="E216" s="42"/>
      <c r="F216" s="43">
        <v>1</v>
      </c>
      <c r="G216" s="15" t="s">
        <v>226</v>
      </c>
      <c r="H216" s="44">
        <v>1</v>
      </c>
      <c r="I216" s="15" t="s">
        <v>104</v>
      </c>
      <c r="J216" s="15" t="s">
        <v>33</v>
      </c>
      <c r="K216" s="15" t="s">
        <v>35</v>
      </c>
      <c r="L216" s="15"/>
      <c r="M216" s="15" t="s">
        <v>38</v>
      </c>
      <c r="N216" s="15"/>
      <c r="O216" s="15"/>
      <c r="P216" s="45">
        <f>H216+SUMIFS(Movimientos!$F$2:$F$5000,Movimientos!$D$2:$D$5000,$A216,Movimientos!$C$2:$C$5000,"Ingreso inventario")+SUMIFS(Movimientos!$F$2:$F$5000,Movimientos!$D$2:$D$5000,$A216,Movimientos!$C$2:$C$5000,"Ajuste")-SUMIFS(Movimientos!$F$2:$F$5000,Movimientos!$D$2:$D$5000,$A216,Movimientos!$C$2:$C$5000,"Consumido en evento")-SUMIFS(Movimientos!$F$2:$F$5000,Movimientos!$D$2:$D$5000,$A216,Movimientos!$C$2:$C$5000,"Consumo interno")-SUMIFS(Movimientos!$F$2:$F$5000,Movimientos!$D$2:$D$5000,$A216,Movimientos!$C$2:$C$5000,"Baja")-SUMIFS(Movimientos!$F$2:$F$5000,Movimientos!$D$2:$D$5000,$A216,Movimientos!$C$2:$C$5000,"Baja desde reparación")</f>
        <v>1</v>
      </c>
      <c r="Q216" s="45">
        <f>SUMIFS(Movimientos!$F$2:$F$5000,Movimientos!$D$2:$D$5000,$A216,Movimientos!$C$2:$C$5000,"Salida alquiler")-SUMIFS(Movimientos!$F$2:$F$5000,Movimientos!$D$2:$D$5000,$A216,Movimientos!$C$2:$C$5000,"Retorno alquiler")-SUMIFS(Movimientos!$F$2:$F$5000,Movimientos!$D$2:$D$5000,$A216,Movimientos!$C$2:$C$5000,"Consumido en evento")-SUMIFS(Movimientos!$F$2:$F$5000,Movimientos!$D$2:$D$5000,$A216,Movimientos!$C$2:$C$5000,"A reparación")</f>
        <v>0</v>
      </c>
      <c r="R216" s="45">
        <f>SUMIFS(Movimientos!$F$2:$F$5000,Movimientos!$D$2:$D$5000,$A216,Movimientos!$C$2:$C$5000,"A reparación")-SUMIFS(Movimientos!$F$2:$F$5000,Movimientos!$D$2:$D$5000,$A216,Movimientos!$C$2:$C$5000,"Retorno reparación")-SUMIFS(Movimientos!$F$2:$F$5000,Movimientos!$D$2:$D$5000,$A216,Movimientos!$C$2:$C$5000,"Baja desde reparación")</f>
        <v>0</v>
      </c>
      <c r="S216" s="45">
        <f>P216-Q216-R216</f>
        <v>1</v>
      </c>
    </row>
    <row r="217" spans="1:19">
      <c r="A217" s="15" t="s">
        <v>1044</v>
      </c>
      <c r="B217" s="15" t="s">
        <v>1045</v>
      </c>
      <c r="C217" s="42" t="s">
        <v>1046</v>
      </c>
      <c r="D217" s="15" t="s">
        <v>101</v>
      </c>
      <c r="E217" s="42" t="s">
        <v>1047</v>
      </c>
      <c r="F217" s="43">
        <v>1</v>
      </c>
      <c r="G217" s="15" t="s">
        <v>163</v>
      </c>
      <c r="H217" s="44">
        <v>12</v>
      </c>
      <c r="I217" s="15" t="s">
        <v>104</v>
      </c>
      <c r="J217" s="15" t="s">
        <v>33</v>
      </c>
      <c r="K217" s="15" t="s">
        <v>35</v>
      </c>
      <c r="L217" s="15"/>
      <c r="M217" s="15" t="s">
        <v>38</v>
      </c>
      <c r="N217" s="15"/>
      <c r="O217" s="15"/>
      <c r="P217" s="45">
        <f>H217+SUMIFS(Movimientos!$F$2:$F$5000,Movimientos!$D$2:$D$5000,$A217,Movimientos!$C$2:$C$5000,"Ingreso inventario")+SUMIFS(Movimientos!$F$2:$F$5000,Movimientos!$D$2:$D$5000,$A217,Movimientos!$C$2:$C$5000,"Ajuste")-SUMIFS(Movimientos!$F$2:$F$5000,Movimientos!$D$2:$D$5000,$A217,Movimientos!$C$2:$C$5000,"Consumido en evento")-SUMIFS(Movimientos!$F$2:$F$5000,Movimientos!$D$2:$D$5000,$A217,Movimientos!$C$2:$C$5000,"Consumo interno")-SUMIFS(Movimientos!$F$2:$F$5000,Movimientos!$D$2:$D$5000,$A217,Movimientos!$C$2:$C$5000,"Baja")-SUMIFS(Movimientos!$F$2:$F$5000,Movimientos!$D$2:$D$5000,$A217,Movimientos!$C$2:$C$5000,"Baja desde reparación")</f>
        <v>12</v>
      </c>
      <c r="Q217" s="45">
        <f>SUMIFS(Movimientos!$F$2:$F$5000,Movimientos!$D$2:$D$5000,$A217,Movimientos!$C$2:$C$5000,"Salida alquiler")-SUMIFS(Movimientos!$F$2:$F$5000,Movimientos!$D$2:$D$5000,$A217,Movimientos!$C$2:$C$5000,"Retorno alquiler")-SUMIFS(Movimientos!$F$2:$F$5000,Movimientos!$D$2:$D$5000,$A217,Movimientos!$C$2:$C$5000,"Consumido en evento")-SUMIFS(Movimientos!$F$2:$F$5000,Movimientos!$D$2:$D$5000,$A217,Movimientos!$C$2:$C$5000,"A reparación")</f>
        <v>0</v>
      </c>
      <c r="R217" s="45">
        <f>SUMIFS(Movimientos!$F$2:$F$5000,Movimientos!$D$2:$D$5000,$A217,Movimientos!$C$2:$C$5000,"A reparación")-SUMIFS(Movimientos!$F$2:$F$5000,Movimientos!$D$2:$D$5000,$A217,Movimientos!$C$2:$C$5000,"Retorno reparación")-SUMIFS(Movimientos!$F$2:$F$5000,Movimientos!$D$2:$D$5000,$A217,Movimientos!$C$2:$C$5000,"Baja desde reparación")</f>
        <v>0</v>
      </c>
      <c r="S217" s="45">
        <f>P217-Q217-R217</f>
        <v>12</v>
      </c>
    </row>
    <row r="218" spans="1:19">
      <c r="A218" s="15" t="s">
        <v>1048</v>
      </c>
      <c r="B218" s="15" t="s">
        <v>1049</v>
      </c>
      <c r="C218" s="42" t="s">
        <v>1050</v>
      </c>
      <c r="D218" s="15" t="s">
        <v>101</v>
      </c>
      <c r="E218" s="42" t="s">
        <v>1051</v>
      </c>
      <c r="F218" s="43">
        <v>1</v>
      </c>
      <c r="G218" s="15" t="s">
        <v>163</v>
      </c>
      <c r="H218" s="44">
        <v>1</v>
      </c>
      <c r="I218" s="15" t="s">
        <v>104</v>
      </c>
      <c r="J218" s="15" t="s">
        <v>33</v>
      </c>
      <c r="K218" s="15" t="s">
        <v>35</v>
      </c>
      <c r="L218" s="15" t="s">
        <v>1052</v>
      </c>
      <c r="M218" s="15" t="s">
        <v>38</v>
      </c>
      <c r="N218" s="15"/>
      <c r="O218" s="15"/>
      <c r="P218" s="45">
        <f>H218+SUMIFS(Movimientos!$F$2:$F$5000,Movimientos!$D$2:$D$5000,$A218,Movimientos!$C$2:$C$5000,"Ingreso inventario")+SUMIFS(Movimientos!$F$2:$F$5000,Movimientos!$D$2:$D$5000,$A218,Movimientos!$C$2:$C$5000,"Ajuste")-SUMIFS(Movimientos!$F$2:$F$5000,Movimientos!$D$2:$D$5000,$A218,Movimientos!$C$2:$C$5000,"Consumido en evento")-SUMIFS(Movimientos!$F$2:$F$5000,Movimientos!$D$2:$D$5000,$A218,Movimientos!$C$2:$C$5000,"Consumo interno")-SUMIFS(Movimientos!$F$2:$F$5000,Movimientos!$D$2:$D$5000,$A218,Movimientos!$C$2:$C$5000,"Baja")-SUMIFS(Movimientos!$F$2:$F$5000,Movimientos!$D$2:$D$5000,$A218,Movimientos!$C$2:$C$5000,"Baja desde reparación")</f>
        <v>1</v>
      </c>
      <c r="Q218" s="45">
        <f>SUMIFS(Movimientos!$F$2:$F$5000,Movimientos!$D$2:$D$5000,$A218,Movimientos!$C$2:$C$5000,"Salida alquiler")-SUMIFS(Movimientos!$F$2:$F$5000,Movimientos!$D$2:$D$5000,$A218,Movimientos!$C$2:$C$5000,"Retorno alquiler")-SUMIFS(Movimientos!$F$2:$F$5000,Movimientos!$D$2:$D$5000,$A218,Movimientos!$C$2:$C$5000,"Consumido en evento")-SUMIFS(Movimientos!$F$2:$F$5000,Movimientos!$D$2:$D$5000,$A218,Movimientos!$C$2:$C$5000,"A reparación")</f>
        <v>0</v>
      </c>
      <c r="R218" s="45">
        <f>SUMIFS(Movimientos!$F$2:$F$5000,Movimientos!$D$2:$D$5000,$A218,Movimientos!$C$2:$C$5000,"A reparación")-SUMIFS(Movimientos!$F$2:$F$5000,Movimientos!$D$2:$D$5000,$A218,Movimientos!$C$2:$C$5000,"Retorno reparación")-SUMIFS(Movimientos!$F$2:$F$5000,Movimientos!$D$2:$D$5000,$A218,Movimientos!$C$2:$C$5000,"Baja desde reparación")</f>
        <v>0</v>
      </c>
      <c r="S218" s="45">
        <f>P218-Q218-R218</f>
        <v>1</v>
      </c>
    </row>
    <row r="219" spans="1:19">
      <c r="A219" s="15" t="s">
        <v>1053</v>
      </c>
      <c r="B219" s="15" t="s">
        <v>1054</v>
      </c>
      <c r="C219" s="42" t="s">
        <v>1055</v>
      </c>
      <c r="D219" s="15" t="s">
        <v>101</v>
      </c>
      <c r="E219" s="42" t="s">
        <v>1056</v>
      </c>
      <c r="F219" s="43">
        <v>1</v>
      </c>
      <c r="G219" s="15" t="s">
        <v>594</v>
      </c>
      <c r="H219" s="44">
        <v>1</v>
      </c>
      <c r="I219" s="15" t="s">
        <v>104</v>
      </c>
      <c r="J219" s="15" t="s">
        <v>33</v>
      </c>
      <c r="K219" s="15" t="s">
        <v>35</v>
      </c>
      <c r="L219" s="15"/>
      <c r="M219" s="15" t="s">
        <v>38</v>
      </c>
      <c r="N219" s="15"/>
      <c r="O219" s="15"/>
      <c r="P219" s="45">
        <f>H219+SUMIFS(Movimientos!$F$2:$F$5000,Movimientos!$D$2:$D$5000,$A219,Movimientos!$C$2:$C$5000,"Ingreso inventario")+SUMIFS(Movimientos!$F$2:$F$5000,Movimientos!$D$2:$D$5000,$A219,Movimientos!$C$2:$C$5000,"Ajuste")-SUMIFS(Movimientos!$F$2:$F$5000,Movimientos!$D$2:$D$5000,$A219,Movimientos!$C$2:$C$5000,"Consumido en evento")-SUMIFS(Movimientos!$F$2:$F$5000,Movimientos!$D$2:$D$5000,$A219,Movimientos!$C$2:$C$5000,"Consumo interno")-SUMIFS(Movimientos!$F$2:$F$5000,Movimientos!$D$2:$D$5000,$A219,Movimientos!$C$2:$C$5000,"Baja")-SUMIFS(Movimientos!$F$2:$F$5000,Movimientos!$D$2:$D$5000,$A219,Movimientos!$C$2:$C$5000,"Baja desde reparación")</f>
        <v>1</v>
      </c>
      <c r="Q219" s="45">
        <f>SUMIFS(Movimientos!$F$2:$F$5000,Movimientos!$D$2:$D$5000,$A219,Movimientos!$C$2:$C$5000,"Salida alquiler")-SUMIFS(Movimientos!$F$2:$F$5000,Movimientos!$D$2:$D$5000,$A219,Movimientos!$C$2:$C$5000,"Retorno alquiler")-SUMIFS(Movimientos!$F$2:$F$5000,Movimientos!$D$2:$D$5000,$A219,Movimientos!$C$2:$C$5000,"Consumido en evento")-SUMIFS(Movimientos!$F$2:$F$5000,Movimientos!$D$2:$D$5000,$A219,Movimientos!$C$2:$C$5000,"A reparación")</f>
        <v>0</v>
      </c>
      <c r="R219" s="45">
        <f>SUMIFS(Movimientos!$F$2:$F$5000,Movimientos!$D$2:$D$5000,$A219,Movimientos!$C$2:$C$5000,"A reparación")-SUMIFS(Movimientos!$F$2:$F$5000,Movimientos!$D$2:$D$5000,$A219,Movimientos!$C$2:$C$5000,"Retorno reparación")-SUMIFS(Movimientos!$F$2:$F$5000,Movimientos!$D$2:$D$5000,$A219,Movimientos!$C$2:$C$5000,"Baja desde reparación")</f>
        <v>0</v>
      </c>
      <c r="S219" s="45">
        <f>P219-Q219-R219</f>
        <v>1</v>
      </c>
    </row>
    <row r="220" spans="1:19">
      <c r="A220" s="15" t="s">
        <v>1057</v>
      </c>
      <c r="B220" s="15" t="s">
        <v>1058</v>
      </c>
      <c r="C220" s="42" t="s">
        <v>1059</v>
      </c>
      <c r="D220" s="15" t="s">
        <v>101</v>
      </c>
      <c r="E220" s="42" t="s">
        <v>1060</v>
      </c>
      <c r="F220" s="43">
        <v>1</v>
      </c>
      <c r="G220" s="15" t="s">
        <v>1061</v>
      </c>
      <c r="H220" s="44">
        <v>2</v>
      </c>
      <c r="I220" s="15" t="s">
        <v>104</v>
      </c>
      <c r="J220" s="15" t="s">
        <v>33</v>
      </c>
      <c r="K220" s="15" t="s">
        <v>35</v>
      </c>
      <c r="L220" s="15"/>
      <c r="M220" s="15" t="s">
        <v>38</v>
      </c>
      <c r="N220" s="15"/>
      <c r="O220" s="15"/>
      <c r="P220" s="45">
        <f>H220+SUMIFS(Movimientos!$F$2:$F$5000,Movimientos!$D$2:$D$5000,$A220,Movimientos!$C$2:$C$5000,"Ingreso inventario")+SUMIFS(Movimientos!$F$2:$F$5000,Movimientos!$D$2:$D$5000,$A220,Movimientos!$C$2:$C$5000,"Ajuste")-SUMIFS(Movimientos!$F$2:$F$5000,Movimientos!$D$2:$D$5000,$A220,Movimientos!$C$2:$C$5000,"Consumido en evento")-SUMIFS(Movimientos!$F$2:$F$5000,Movimientos!$D$2:$D$5000,$A220,Movimientos!$C$2:$C$5000,"Consumo interno")-SUMIFS(Movimientos!$F$2:$F$5000,Movimientos!$D$2:$D$5000,$A220,Movimientos!$C$2:$C$5000,"Baja")-SUMIFS(Movimientos!$F$2:$F$5000,Movimientos!$D$2:$D$5000,$A220,Movimientos!$C$2:$C$5000,"Baja desde reparación")</f>
        <v>2</v>
      </c>
      <c r="Q220" s="45">
        <f>SUMIFS(Movimientos!$F$2:$F$5000,Movimientos!$D$2:$D$5000,$A220,Movimientos!$C$2:$C$5000,"Salida alquiler")-SUMIFS(Movimientos!$F$2:$F$5000,Movimientos!$D$2:$D$5000,$A220,Movimientos!$C$2:$C$5000,"Retorno alquiler")-SUMIFS(Movimientos!$F$2:$F$5000,Movimientos!$D$2:$D$5000,$A220,Movimientos!$C$2:$C$5000,"Consumido en evento")-SUMIFS(Movimientos!$F$2:$F$5000,Movimientos!$D$2:$D$5000,$A220,Movimientos!$C$2:$C$5000,"A reparación")</f>
        <v>0</v>
      </c>
      <c r="R220" s="45">
        <f>SUMIFS(Movimientos!$F$2:$F$5000,Movimientos!$D$2:$D$5000,$A220,Movimientos!$C$2:$C$5000,"A reparación")-SUMIFS(Movimientos!$F$2:$F$5000,Movimientos!$D$2:$D$5000,$A220,Movimientos!$C$2:$C$5000,"Retorno reparación")-SUMIFS(Movimientos!$F$2:$F$5000,Movimientos!$D$2:$D$5000,$A220,Movimientos!$C$2:$C$5000,"Baja desde reparación")</f>
        <v>0</v>
      </c>
      <c r="S220" s="45">
        <f>P220-Q220-R220</f>
        <v>2</v>
      </c>
    </row>
    <row r="221" spans="1:19">
      <c r="A221" s="15" t="s">
        <v>1062</v>
      </c>
      <c r="B221" s="15" t="s">
        <v>1063</v>
      </c>
      <c r="C221" s="42" t="s">
        <v>1064</v>
      </c>
      <c r="D221" s="15" t="s">
        <v>101</v>
      </c>
      <c r="E221" s="42" t="s">
        <v>1065</v>
      </c>
      <c r="F221" s="43">
        <v>1</v>
      </c>
      <c r="G221" s="15" t="s">
        <v>241</v>
      </c>
      <c r="H221" s="44">
        <v>1</v>
      </c>
      <c r="I221" s="15" t="s">
        <v>104</v>
      </c>
      <c r="J221" s="15" t="s">
        <v>33</v>
      </c>
      <c r="K221" s="15" t="s">
        <v>35</v>
      </c>
      <c r="L221" s="15"/>
      <c r="M221" s="15" t="s">
        <v>38</v>
      </c>
      <c r="N221" s="15"/>
      <c r="O221" s="15"/>
      <c r="P221" s="45">
        <f>H221+SUMIFS(Movimientos!$F$2:$F$5000,Movimientos!$D$2:$D$5000,$A221,Movimientos!$C$2:$C$5000,"Ingreso inventario")+SUMIFS(Movimientos!$F$2:$F$5000,Movimientos!$D$2:$D$5000,$A221,Movimientos!$C$2:$C$5000,"Ajuste")-SUMIFS(Movimientos!$F$2:$F$5000,Movimientos!$D$2:$D$5000,$A221,Movimientos!$C$2:$C$5000,"Consumido en evento")-SUMIFS(Movimientos!$F$2:$F$5000,Movimientos!$D$2:$D$5000,$A221,Movimientos!$C$2:$C$5000,"Consumo interno")-SUMIFS(Movimientos!$F$2:$F$5000,Movimientos!$D$2:$D$5000,$A221,Movimientos!$C$2:$C$5000,"Baja")-SUMIFS(Movimientos!$F$2:$F$5000,Movimientos!$D$2:$D$5000,$A221,Movimientos!$C$2:$C$5000,"Baja desde reparación")</f>
        <v>1</v>
      </c>
      <c r="Q221" s="45">
        <f>SUMIFS(Movimientos!$F$2:$F$5000,Movimientos!$D$2:$D$5000,$A221,Movimientos!$C$2:$C$5000,"Salida alquiler")-SUMIFS(Movimientos!$F$2:$F$5000,Movimientos!$D$2:$D$5000,$A221,Movimientos!$C$2:$C$5000,"Retorno alquiler")-SUMIFS(Movimientos!$F$2:$F$5000,Movimientos!$D$2:$D$5000,$A221,Movimientos!$C$2:$C$5000,"Consumido en evento")-SUMIFS(Movimientos!$F$2:$F$5000,Movimientos!$D$2:$D$5000,$A221,Movimientos!$C$2:$C$5000,"A reparación")</f>
        <v>0</v>
      </c>
      <c r="R221" s="45">
        <f>SUMIFS(Movimientos!$F$2:$F$5000,Movimientos!$D$2:$D$5000,$A221,Movimientos!$C$2:$C$5000,"A reparación")-SUMIFS(Movimientos!$F$2:$F$5000,Movimientos!$D$2:$D$5000,$A221,Movimientos!$C$2:$C$5000,"Retorno reparación")-SUMIFS(Movimientos!$F$2:$F$5000,Movimientos!$D$2:$D$5000,$A221,Movimientos!$C$2:$C$5000,"Baja desde reparación")</f>
        <v>0</v>
      </c>
      <c r="S221" s="45">
        <f>P221-Q221-R221</f>
        <v>1</v>
      </c>
    </row>
    <row r="222" spans="1:19">
      <c r="A222" s="15" t="s">
        <v>1066</v>
      </c>
      <c r="B222" s="15" t="s">
        <v>1067</v>
      </c>
      <c r="C222" s="42" t="s">
        <v>1068</v>
      </c>
      <c r="D222" s="15" t="s">
        <v>101</v>
      </c>
      <c r="E222" s="42" t="s">
        <v>1069</v>
      </c>
      <c r="F222" s="43">
        <v>1</v>
      </c>
      <c r="G222" s="15" t="s">
        <v>1070</v>
      </c>
      <c r="H222" s="44">
        <v>8</v>
      </c>
      <c r="I222" s="15" t="s">
        <v>104</v>
      </c>
      <c r="J222" s="15" t="s">
        <v>33</v>
      </c>
      <c r="K222" s="15" t="s">
        <v>35</v>
      </c>
      <c r="L222" s="15"/>
      <c r="M222" s="15" t="s">
        <v>38</v>
      </c>
      <c r="N222" s="15"/>
      <c r="O222" s="15"/>
      <c r="P222" s="45">
        <f>H222+SUMIFS(Movimientos!$F$2:$F$5000,Movimientos!$D$2:$D$5000,$A222,Movimientos!$C$2:$C$5000,"Ingreso inventario")+SUMIFS(Movimientos!$F$2:$F$5000,Movimientos!$D$2:$D$5000,$A222,Movimientos!$C$2:$C$5000,"Ajuste")-SUMIFS(Movimientos!$F$2:$F$5000,Movimientos!$D$2:$D$5000,$A222,Movimientos!$C$2:$C$5000,"Consumido en evento")-SUMIFS(Movimientos!$F$2:$F$5000,Movimientos!$D$2:$D$5000,$A222,Movimientos!$C$2:$C$5000,"Consumo interno")-SUMIFS(Movimientos!$F$2:$F$5000,Movimientos!$D$2:$D$5000,$A222,Movimientos!$C$2:$C$5000,"Baja")-SUMIFS(Movimientos!$F$2:$F$5000,Movimientos!$D$2:$D$5000,$A222,Movimientos!$C$2:$C$5000,"Baja desde reparación")</f>
        <v>8</v>
      </c>
      <c r="Q222" s="45">
        <f>SUMIFS(Movimientos!$F$2:$F$5000,Movimientos!$D$2:$D$5000,$A222,Movimientos!$C$2:$C$5000,"Salida alquiler")-SUMIFS(Movimientos!$F$2:$F$5000,Movimientos!$D$2:$D$5000,$A222,Movimientos!$C$2:$C$5000,"Retorno alquiler")-SUMIFS(Movimientos!$F$2:$F$5000,Movimientos!$D$2:$D$5000,$A222,Movimientos!$C$2:$C$5000,"Consumido en evento")-SUMIFS(Movimientos!$F$2:$F$5000,Movimientos!$D$2:$D$5000,$A222,Movimientos!$C$2:$C$5000,"A reparación")</f>
        <v>0</v>
      </c>
      <c r="R222" s="45">
        <f>SUMIFS(Movimientos!$F$2:$F$5000,Movimientos!$D$2:$D$5000,$A222,Movimientos!$C$2:$C$5000,"A reparación")-SUMIFS(Movimientos!$F$2:$F$5000,Movimientos!$D$2:$D$5000,$A222,Movimientos!$C$2:$C$5000,"Retorno reparación")-SUMIFS(Movimientos!$F$2:$F$5000,Movimientos!$D$2:$D$5000,$A222,Movimientos!$C$2:$C$5000,"Baja desde reparación")</f>
        <v>0</v>
      </c>
      <c r="S222" s="45">
        <f>P222-Q222-R222</f>
        <v>8</v>
      </c>
    </row>
    <row r="223" spans="1:19">
      <c r="A223" s="15" t="s">
        <v>1071</v>
      </c>
      <c r="B223" s="15" t="s">
        <v>1072</v>
      </c>
      <c r="C223" s="42" t="s">
        <v>1073</v>
      </c>
      <c r="D223" s="15" t="s">
        <v>101</v>
      </c>
      <c r="E223" s="42" t="s">
        <v>1074</v>
      </c>
      <c r="F223" s="43">
        <v>1</v>
      </c>
      <c r="G223" s="15" t="s">
        <v>1070</v>
      </c>
      <c r="H223" s="44">
        <v>8</v>
      </c>
      <c r="I223" s="15" t="s">
        <v>104</v>
      </c>
      <c r="J223" s="15" t="s">
        <v>33</v>
      </c>
      <c r="K223" s="15" t="s">
        <v>35</v>
      </c>
      <c r="L223" s="15"/>
      <c r="M223" s="15" t="s">
        <v>38</v>
      </c>
      <c r="N223" s="15"/>
      <c r="O223" s="15"/>
      <c r="P223" s="45">
        <f>H223+SUMIFS(Movimientos!$F$2:$F$5000,Movimientos!$D$2:$D$5000,$A223,Movimientos!$C$2:$C$5000,"Ingreso inventario")+SUMIFS(Movimientos!$F$2:$F$5000,Movimientos!$D$2:$D$5000,$A223,Movimientos!$C$2:$C$5000,"Ajuste")-SUMIFS(Movimientos!$F$2:$F$5000,Movimientos!$D$2:$D$5000,$A223,Movimientos!$C$2:$C$5000,"Consumido en evento")-SUMIFS(Movimientos!$F$2:$F$5000,Movimientos!$D$2:$D$5000,$A223,Movimientos!$C$2:$C$5000,"Consumo interno")-SUMIFS(Movimientos!$F$2:$F$5000,Movimientos!$D$2:$D$5000,$A223,Movimientos!$C$2:$C$5000,"Baja")-SUMIFS(Movimientos!$F$2:$F$5000,Movimientos!$D$2:$D$5000,$A223,Movimientos!$C$2:$C$5000,"Baja desde reparación")</f>
        <v>8</v>
      </c>
      <c r="Q223" s="45">
        <f>SUMIFS(Movimientos!$F$2:$F$5000,Movimientos!$D$2:$D$5000,$A223,Movimientos!$C$2:$C$5000,"Salida alquiler")-SUMIFS(Movimientos!$F$2:$F$5000,Movimientos!$D$2:$D$5000,$A223,Movimientos!$C$2:$C$5000,"Retorno alquiler")-SUMIFS(Movimientos!$F$2:$F$5000,Movimientos!$D$2:$D$5000,$A223,Movimientos!$C$2:$C$5000,"Consumido en evento")-SUMIFS(Movimientos!$F$2:$F$5000,Movimientos!$D$2:$D$5000,$A223,Movimientos!$C$2:$C$5000,"A reparación")</f>
        <v>0</v>
      </c>
      <c r="R223" s="45">
        <f>SUMIFS(Movimientos!$F$2:$F$5000,Movimientos!$D$2:$D$5000,$A223,Movimientos!$C$2:$C$5000,"A reparación")-SUMIFS(Movimientos!$F$2:$F$5000,Movimientos!$D$2:$D$5000,$A223,Movimientos!$C$2:$C$5000,"Retorno reparación")-SUMIFS(Movimientos!$F$2:$F$5000,Movimientos!$D$2:$D$5000,$A223,Movimientos!$C$2:$C$5000,"Baja desde reparación")</f>
        <v>0</v>
      </c>
      <c r="S223" s="45">
        <f>P223-Q223-R223</f>
        <v>8</v>
      </c>
    </row>
    <row r="224" spans="1:19">
      <c r="A224" s="15" t="s">
        <v>1075</v>
      </c>
      <c r="B224" s="15" t="s">
        <v>1076</v>
      </c>
      <c r="C224" s="42" t="s">
        <v>1077</v>
      </c>
      <c r="D224" s="15" t="s">
        <v>101</v>
      </c>
      <c r="E224" s="42" t="s">
        <v>1078</v>
      </c>
      <c r="F224" s="43">
        <v>1</v>
      </c>
      <c r="G224" s="15" t="s">
        <v>241</v>
      </c>
      <c r="H224" s="44">
        <v>4</v>
      </c>
      <c r="I224" s="15" t="s">
        <v>104</v>
      </c>
      <c r="J224" s="15" t="s">
        <v>33</v>
      </c>
      <c r="K224" s="15" t="s">
        <v>35</v>
      </c>
      <c r="L224" s="15"/>
      <c r="M224" s="15" t="s">
        <v>38</v>
      </c>
      <c r="N224" s="15"/>
      <c r="O224" s="15"/>
      <c r="P224" s="45">
        <f>H224+SUMIFS(Movimientos!$F$2:$F$5000,Movimientos!$D$2:$D$5000,$A224,Movimientos!$C$2:$C$5000,"Ingreso inventario")+SUMIFS(Movimientos!$F$2:$F$5000,Movimientos!$D$2:$D$5000,$A224,Movimientos!$C$2:$C$5000,"Ajuste")-SUMIFS(Movimientos!$F$2:$F$5000,Movimientos!$D$2:$D$5000,$A224,Movimientos!$C$2:$C$5000,"Consumido en evento")-SUMIFS(Movimientos!$F$2:$F$5000,Movimientos!$D$2:$D$5000,$A224,Movimientos!$C$2:$C$5000,"Consumo interno")-SUMIFS(Movimientos!$F$2:$F$5000,Movimientos!$D$2:$D$5000,$A224,Movimientos!$C$2:$C$5000,"Baja")-SUMIFS(Movimientos!$F$2:$F$5000,Movimientos!$D$2:$D$5000,$A224,Movimientos!$C$2:$C$5000,"Baja desde reparación")</f>
        <v>4</v>
      </c>
      <c r="Q224" s="45">
        <f>SUMIFS(Movimientos!$F$2:$F$5000,Movimientos!$D$2:$D$5000,$A224,Movimientos!$C$2:$C$5000,"Salida alquiler")-SUMIFS(Movimientos!$F$2:$F$5000,Movimientos!$D$2:$D$5000,$A224,Movimientos!$C$2:$C$5000,"Retorno alquiler")-SUMIFS(Movimientos!$F$2:$F$5000,Movimientos!$D$2:$D$5000,$A224,Movimientos!$C$2:$C$5000,"Consumido en evento")-SUMIFS(Movimientos!$F$2:$F$5000,Movimientos!$D$2:$D$5000,$A224,Movimientos!$C$2:$C$5000,"A reparación")</f>
        <v>0</v>
      </c>
      <c r="R224" s="45">
        <f>SUMIFS(Movimientos!$F$2:$F$5000,Movimientos!$D$2:$D$5000,$A224,Movimientos!$C$2:$C$5000,"A reparación")-SUMIFS(Movimientos!$F$2:$F$5000,Movimientos!$D$2:$D$5000,$A224,Movimientos!$C$2:$C$5000,"Retorno reparación")-SUMIFS(Movimientos!$F$2:$F$5000,Movimientos!$D$2:$D$5000,$A224,Movimientos!$C$2:$C$5000,"Baja desde reparación")</f>
        <v>0</v>
      </c>
      <c r="S224" s="45">
        <f>P224-Q224-R224</f>
        <v>4</v>
      </c>
    </row>
    <row r="225" spans="1:19">
      <c r="A225" s="15" t="s">
        <v>1079</v>
      </c>
      <c r="B225" s="15" t="s">
        <v>1080</v>
      </c>
      <c r="C225" s="42" t="s">
        <v>1081</v>
      </c>
      <c r="D225" s="15" t="s">
        <v>101</v>
      </c>
      <c r="E225" s="42" t="s">
        <v>1082</v>
      </c>
      <c r="F225" s="43">
        <v>1</v>
      </c>
      <c r="G225" s="15" t="s">
        <v>241</v>
      </c>
      <c r="H225" s="44">
        <v>2</v>
      </c>
      <c r="I225" s="15" t="s">
        <v>104</v>
      </c>
      <c r="J225" s="15" t="s">
        <v>33</v>
      </c>
      <c r="K225" s="15" t="s">
        <v>35</v>
      </c>
      <c r="L225" s="15"/>
      <c r="M225" s="15" t="s">
        <v>38</v>
      </c>
      <c r="N225" s="15"/>
      <c r="O225" s="15"/>
      <c r="P225" s="45">
        <f>H225+SUMIFS(Movimientos!$F$2:$F$5000,Movimientos!$D$2:$D$5000,$A225,Movimientos!$C$2:$C$5000,"Ingreso inventario")+SUMIFS(Movimientos!$F$2:$F$5000,Movimientos!$D$2:$D$5000,$A225,Movimientos!$C$2:$C$5000,"Ajuste")-SUMIFS(Movimientos!$F$2:$F$5000,Movimientos!$D$2:$D$5000,$A225,Movimientos!$C$2:$C$5000,"Consumido en evento")-SUMIFS(Movimientos!$F$2:$F$5000,Movimientos!$D$2:$D$5000,$A225,Movimientos!$C$2:$C$5000,"Consumo interno")-SUMIFS(Movimientos!$F$2:$F$5000,Movimientos!$D$2:$D$5000,$A225,Movimientos!$C$2:$C$5000,"Baja")-SUMIFS(Movimientos!$F$2:$F$5000,Movimientos!$D$2:$D$5000,$A225,Movimientos!$C$2:$C$5000,"Baja desde reparación")</f>
        <v>2</v>
      </c>
      <c r="Q225" s="45">
        <f>SUMIFS(Movimientos!$F$2:$F$5000,Movimientos!$D$2:$D$5000,$A225,Movimientos!$C$2:$C$5000,"Salida alquiler")-SUMIFS(Movimientos!$F$2:$F$5000,Movimientos!$D$2:$D$5000,$A225,Movimientos!$C$2:$C$5000,"Retorno alquiler")-SUMIFS(Movimientos!$F$2:$F$5000,Movimientos!$D$2:$D$5000,$A225,Movimientos!$C$2:$C$5000,"Consumido en evento")-SUMIFS(Movimientos!$F$2:$F$5000,Movimientos!$D$2:$D$5000,$A225,Movimientos!$C$2:$C$5000,"A reparación")</f>
        <v>0</v>
      </c>
      <c r="R225" s="45">
        <f>SUMIFS(Movimientos!$F$2:$F$5000,Movimientos!$D$2:$D$5000,$A225,Movimientos!$C$2:$C$5000,"A reparación")-SUMIFS(Movimientos!$F$2:$F$5000,Movimientos!$D$2:$D$5000,$A225,Movimientos!$C$2:$C$5000,"Retorno reparación")-SUMIFS(Movimientos!$F$2:$F$5000,Movimientos!$D$2:$D$5000,$A225,Movimientos!$C$2:$C$5000,"Baja desde reparación")</f>
        <v>0</v>
      </c>
      <c r="S225" s="45">
        <f>P225-Q225-R225</f>
        <v>2</v>
      </c>
    </row>
    <row r="226" spans="1:19">
      <c r="A226" s="15" t="s">
        <v>1083</v>
      </c>
      <c r="B226" s="15" t="s">
        <v>1084</v>
      </c>
      <c r="C226" s="42" t="s">
        <v>1085</v>
      </c>
      <c r="D226" s="15" t="s">
        <v>101</v>
      </c>
      <c r="E226" s="42" t="s">
        <v>1086</v>
      </c>
      <c r="F226" s="43">
        <v>1</v>
      </c>
      <c r="G226" s="15" t="s">
        <v>241</v>
      </c>
      <c r="H226" s="44">
        <v>1</v>
      </c>
      <c r="I226" s="15" t="s">
        <v>104</v>
      </c>
      <c r="J226" s="15" t="s">
        <v>33</v>
      </c>
      <c r="K226" s="15" t="s">
        <v>35</v>
      </c>
      <c r="L226" s="15"/>
      <c r="M226" s="15" t="s">
        <v>38</v>
      </c>
      <c r="N226" s="15"/>
      <c r="O226" s="15"/>
      <c r="P226" s="45">
        <f>H226+SUMIFS(Movimientos!$F$2:$F$5000,Movimientos!$D$2:$D$5000,$A226,Movimientos!$C$2:$C$5000,"Ingreso inventario")+SUMIFS(Movimientos!$F$2:$F$5000,Movimientos!$D$2:$D$5000,$A226,Movimientos!$C$2:$C$5000,"Ajuste")-SUMIFS(Movimientos!$F$2:$F$5000,Movimientos!$D$2:$D$5000,$A226,Movimientos!$C$2:$C$5000,"Consumido en evento")-SUMIFS(Movimientos!$F$2:$F$5000,Movimientos!$D$2:$D$5000,$A226,Movimientos!$C$2:$C$5000,"Consumo interno")-SUMIFS(Movimientos!$F$2:$F$5000,Movimientos!$D$2:$D$5000,$A226,Movimientos!$C$2:$C$5000,"Baja")-SUMIFS(Movimientos!$F$2:$F$5000,Movimientos!$D$2:$D$5000,$A226,Movimientos!$C$2:$C$5000,"Baja desde reparación")</f>
        <v>1</v>
      </c>
      <c r="Q226" s="45">
        <f>SUMIFS(Movimientos!$F$2:$F$5000,Movimientos!$D$2:$D$5000,$A226,Movimientos!$C$2:$C$5000,"Salida alquiler")-SUMIFS(Movimientos!$F$2:$F$5000,Movimientos!$D$2:$D$5000,$A226,Movimientos!$C$2:$C$5000,"Retorno alquiler")-SUMIFS(Movimientos!$F$2:$F$5000,Movimientos!$D$2:$D$5000,$A226,Movimientos!$C$2:$C$5000,"Consumido en evento")-SUMIFS(Movimientos!$F$2:$F$5000,Movimientos!$D$2:$D$5000,$A226,Movimientos!$C$2:$C$5000,"A reparación")</f>
        <v>0</v>
      </c>
      <c r="R226" s="45">
        <f>SUMIFS(Movimientos!$F$2:$F$5000,Movimientos!$D$2:$D$5000,$A226,Movimientos!$C$2:$C$5000,"A reparación")-SUMIFS(Movimientos!$F$2:$F$5000,Movimientos!$D$2:$D$5000,$A226,Movimientos!$C$2:$C$5000,"Retorno reparación")-SUMIFS(Movimientos!$F$2:$F$5000,Movimientos!$D$2:$D$5000,$A226,Movimientos!$C$2:$C$5000,"Baja desde reparación")</f>
        <v>0</v>
      </c>
      <c r="S226" s="45">
        <f>P226-Q226-R226</f>
        <v>1</v>
      </c>
    </row>
    <row r="227" spans="1:19">
      <c r="A227" s="15" t="s">
        <v>1087</v>
      </c>
      <c r="B227" s="15" t="s">
        <v>1088</v>
      </c>
      <c r="C227" s="42" t="s">
        <v>1089</v>
      </c>
      <c r="D227" s="15" t="s">
        <v>101</v>
      </c>
      <c r="E227" s="42" t="s">
        <v>1090</v>
      </c>
      <c r="F227" s="43">
        <v>1</v>
      </c>
      <c r="G227" s="15" t="s">
        <v>241</v>
      </c>
      <c r="H227" s="44">
        <v>3</v>
      </c>
      <c r="I227" s="15" t="s">
        <v>104</v>
      </c>
      <c r="J227" s="15" t="s">
        <v>33</v>
      </c>
      <c r="K227" s="15" t="s">
        <v>35</v>
      </c>
      <c r="L227" s="15"/>
      <c r="M227" s="15" t="s">
        <v>38</v>
      </c>
      <c r="N227" s="15"/>
      <c r="O227" s="15"/>
      <c r="P227" s="45">
        <f>H227+SUMIFS(Movimientos!$F$2:$F$5000,Movimientos!$D$2:$D$5000,$A227,Movimientos!$C$2:$C$5000,"Ingreso inventario")+SUMIFS(Movimientos!$F$2:$F$5000,Movimientos!$D$2:$D$5000,$A227,Movimientos!$C$2:$C$5000,"Ajuste")-SUMIFS(Movimientos!$F$2:$F$5000,Movimientos!$D$2:$D$5000,$A227,Movimientos!$C$2:$C$5000,"Consumido en evento")-SUMIFS(Movimientos!$F$2:$F$5000,Movimientos!$D$2:$D$5000,$A227,Movimientos!$C$2:$C$5000,"Consumo interno")-SUMIFS(Movimientos!$F$2:$F$5000,Movimientos!$D$2:$D$5000,$A227,Movimientos!$C$2:$C$5000,"Baja")-SUMIFS(Movimientos!$F$2:$F$5000,Movimientos!$D$2:$D$5000,$A227,Movimientos!$C$2:$C$5000,"Baja desde reparación")</f>
        <v>3</v>
      </c>
      <c r="Q227" s="45">
        <f>SUMIFS(Movimientos!$F$2:$F$5000,Movimientos!$D$2:$D$5000,$A227,Movimientos!$C$2:$C$5000,"Salida alquiler")-SUMIFS(Movimientos!$F$2:$F$5000,Movimientos!$D$2:$D$5000,$A227,Movimientos!$C$2:$C$5000,"Retorno alquiler")-SUMIFS(Movimientos!$F$2:$F$5000,Movimientos!$D$2:$D$5000,$A227,Movimientos!$C$2:$C$5000,"Consumido en evento")-SUMIFS(Movimientos!$F$2:$F$5000,Movimientos!$D$2:$D$5000,$A227,Movimientos!$C$2:$C$5000,"A reparación")</f>
        <v>0</v>
      </c>
      <c r="R227" s="45">
        <f>SUMIFS(Movimientos!$F$2:$F$5000,Movimientos!$D$2:$D$5000,$A227,Movimientos!$C$2:$C$5000,"A reparación")-SUMIFS(Movimientos!$F$2:$F$5000,Movimientos!$D$2:$D$5000,$A227,Movimientos!$C$2:$C$5000,"Retorno reparación")-SUMIFS(Movimientos!$F$2:$F$5000,Movimientos!$D$2:$D$5000,$A227,Movimientos!$C$2:$C$5000,"Baja desde reparación")</f>
        <v>0</v>
      </c>
      <c r="S227" s="45">
        <f>P227-Q227-R227</f>
        <v>3</v>
      </c>
    </row>
    <row r="228" spans="1:19">
      <c r="A228" s="15" t="s">
        <v>1091</v>
      </c>
      <c r="B228" s="15" t="s">
        <v>1092</v>
      </c>
      <c r="C228" s="42" t="s">
        <v>1093</v>
      </c>
      <c r="D228" s="15" t="s">
        <v>101</v>
      </c>
      <c r="E228" s="42" t="s">
        <v>1094</v>
      </c>
      <c r="F228" s="43">
        <v>1</v>
      </c>
      <c r="G228" s="15" t="s">
        <v>484</v>
      </c>
      <c r="H228" s="44">
        <v>8</v>
      </c>
      <c r="I228" s="15" t="s">
        <v>104</v>
      </c>
      <c r="J228" s="15" t="s">
        <v>33</v>
      </c>
      <c r="K228" s="15" t="s">
        <v>35</v>
      </c>
      <c r="L228" s="15"/>
      <c r="M228" s="15" t="s">
        <v>38</v>
      </c>
      <c r="N228" s="15"/>
      <c r="O228" s="15"/>
      <c r="P228" s="45">
        <f>H228+SUMIFS(Movimientos!$F$2:$F$5000,Movimientos!$D$2:$D$5000,$A228,Movimientos!$C$2:$C$5000,"Ingreso inventario")+SUMIFS(Movimientos!$F$2:$F$5000,Movimientos!$D$2:$D$5000,$A228,Movimientos!$C$2:$C$5000,"Ajuste")-SUMIFS(Movimientos!$F$2:$F$5000,Movimientos!$D$2:$D$5000,$A228,Movimientos!$C$2:$C$5000,"Consumido en evento")-SUMIFS(Movimientos!$F$2:$F$5000,Movimientos!$D$2:$D$5000,$A228,Movimientos!$C$2:$C$5000,"Consumo interno")-SUMIFS(Movimientos!$F$2:$F$5000,Movimientos!$D$2:$D$5000,$A228,Movimientos!$C$2:$C$5000,"Baja")-SUMIFS(Movimientos!$F$2:$F$5000,Movimientos!$D$2:$D$5000,$A228,Movimientos!$C$2:$C$5000,"Baja desde reparación")</f>
        <v>8</v>
      </c>
      <c r="Q228" s="45">
        <f>SUMIFS(Movimientos!$F$2:$F$5000,Movimientos!$D$2:$D$5000,$A228,Movimientos!$C$2:$C$5000,"Salida alquiler")-SUMIFS(Movimientos!$F$2:$F$5000,Movimientos!$D$2:$D$5000,$A228,Movimientos!$C$2:$C$5000,"Retorno alquiler")-SUMIFS(Movimientos!$F$2:$F$5000,Movimientos!$D$2:$D$5000,$A228,Movimientos!$C$2:$C$5000,"Consumido en evento")-SUMIFS(Movimientos!$F$2:$F$5000,Movimientos!$D$2:$D$5000,$A228,Movimientos!$C$2:$C$5000,"A reparación")</f>
        <v>0</v>
      </c>
      <c r="R228" s="45">
        <f>SUMIFS(Movimientos!$F$2:$F$5000,Movimientos!$D$2:$D$5000,$A228,Movimientos!$C$2:$C$5000,"A reparación")-SUMIFS(Movimientos!$F$2:$F$5000,Movimientos!$D$2:$D$5000,$A228,Movimientos!$C$2:$C$5000,"Retorno reparación")-SUMIFS(Movimientos!$F$2:$F$5000,Movimientos!$D$2:$D$5000,$A228,Movimientos!$C$2:$C$5000,"Baja desde reparación")</f>
        <v>0</v>
      </c>
      <c r="S228" s="45">
        <f>P228-Q228-R228</f>
        <v>8</v>
      </c>
    </row>
    <row r="229" spans="1:19">
      <c r="A229" s="15" t="s">
        <v>1095</v>
      </c>
      <c r="B229" s="15" t="s">
        <v>1096</v>
      </c>
      <c r="C229" s="42" t="s">
        <v>1097</v>
      </c>
      <c r="D229" s="15" t="s">
        <v>101</v>
      </c>
      <c r="E229" s="42" t="s">
        <v>1098</v>
      </c>
      <c r="F229" s="43">
        <v>1</v>
      </c>
      <c r="G229" s="15" t="s">
        <v>484</v>
      </c>
      <c r="H229" s="44">
        <v>8</v>
      </c>
      <c r="I229" s="15" t="s">
        <v>104</v>
      </c>
      <c r="J229" s="15" t="s">
        <v>33</v>
      </c>
      <c r="K229" s="15" t="s">
        <v>35</v>
      </c>
      <c r="L229" s="15"/>
      <c r="M229" s="15" t="s">
        <v>38</v>
      </c>
      <c r="N229" s="15"/>
      <c r="O229" s="15"/>
      <c r="P229" s="45">
        <f>H229+SUMIFS(Movimientos!$F$2:$F$5000,Movimientos!$D$2:$D$5000,$A229,Movimientos!$C$2:$C$5000,"Ingreso inventario")+SUMIFS(Movimientos!$F$2:$F$5000,Movimientos!$D$2:$D$5000,$A229,Movimientos!$C$2:$C$5000,"Ajuste")-SUMIFS(Movimientos!$F$2:$F$5000,Movimientos!$D$2:$D$5000,$A229,Movimientos!$C$2:$C$5000,"Consumido en evento")-SUMIFS(Movimientos!$F$2:$F$5000,Movimientos!$D$2:$D$5000,$A229,Movimientos!$C$2:$C$5000,"Consumo interno")-SUMIFS(Movimientos!$F$2:$F$5000,Movimientos!$D$2:$D$5000,$A229,Movimientos!$C$2:$C$5000,"Baja")-SUMIFS(Movimientos!$F$2:$F$5000,Movimientos!$D$2:$D$5000,$A229,Movimientos!$C$2:$C$5000,"Baja desde reparación")</f>
        <v>8</v>
      </c>
      <c r="Q229" s="45">
        <f>SUMIFS(Movimientos!$F$2:$F$5000,Movimientos!$D$2:$D$5000,$A229,Movimientos!$C$2:$C$5000,"Salida alquiler")-SUMIFS(Movimientos!$F$2:$F$5000,Movimientos!$D$2:$D$5000,$A229,Movimientos!$C$2:$C$5000,"Retorno alquiler")-SUMIFS(Movimientos!$F$2:$F$5000,Movimientos!$D$2:$D$5000,$A229,Movimientos!$C$2:$C$5000,"Consumido en evento")-SUMIFS(Movimientos!$F$2:$F$5000,Movimientos!$D$2:$D$5000,$A229,Movimientos!$C$2:$C$5000,"A reparación")</f>
        <v>0</v>
      </c>
      <c r="R229" s="45">
        <f>SUMIFS(Movimientos!$F$2:$F$5000,Movimientos!$D$2:$D$5000,$A229,Movimientos!$C$2:$C$5000,"A reparación")-SUMIFS(Movimientos!$F$2:$F$5000,Movimientos!$D$2:$D$5000,$A229,Movimientos!$C$2:$C$5000,"Retorno reparación")-SUMIFS(Movimientos!$F$2:$F$5000,Movimientos!$D$2:$D$5000,$A229,Movimientos!$C$2:$C$5000,"Baja desde reparación")</f>
        <v>0</v>
      </c>
      <c r="S229" s="45">
        <f>P229-Q229-R229</f>
        <v>8</v>
      </c>
    </row>
    <row r="230" spans="1:19">
      <c r="A230" s="15" t="s">
        <v>1099</v>
      </c>
      <c r="B230" s="15" t="s">
        <v>1100</v>
      </c>
      <c r="C230" s="42" t="s">
        <v>1101</v>
      </c>
      <c r="D230" s="15" t="s">
        <v>101</v>
      </c>
      <c r="E230" s="42" t="s">
        <v>1102</v>
      </c>
      <c r="F230" s="43">
        <v>1</v>
      </c>
      <c r="G230" s="15" t="s">
        <v>484</v>
      </c>
      <c r="H230" s="44">
        <v>24</v>
      </c>
      <c r="I230" s="15" t="s">
        <v>104</v>
      </c>
      <c r="J230" s="15" t="s">
        <v>33</v>
      </c>
      <c r="K230" s="15" t="s">
        <v>35</v>
      </c>
      <c r="L230" s="15"/>
      <c r="M230" s="15" t="s">
        <v>38</v>
      </c>
      <c r="N230" s="15"/>
      <c r="O230" s="15"/>
      <c r="P230" s="45">
        <f>H230+SUMIFS(Movimientos!$F$2:$F$5000,Movimientos!$D$2:$D$5000,$A230,Movimientos!$C$2:$C$5000,"Ingreso inventario")+SUMIFS(Movimientos!$F$2:$F$5000,Movimientos!$D$2:$D$5000,$A230,Movimientos!$C$2:$C$5000,"Ajuste")-SUMIFS(Movimientos!$F$2:$F$5000,Movimientos!$D$2:$D$5000,$A230,Movimientos!$C$2:$C$5000,"Consumido en evento")-SUMIFS(Movimientos!$F$2:$F$5000,Movimientos!$D$2:$D$5000,$A230,Movimientos!$C$2:$C$5000,"Consumo interno")-SUMIFS(Movimientos!$F$2:$F$5000,Movimientos!$D$2:$D$5000,$A230,Movimientos!$C$2:$C$5000,"Baja")-SUMIFS(Movimientos!$F$2:$F$5000,Movimientos!$D$2:$D$5000,$A230,Movimientos!$C$2:$C$5000,"Baja desde reparación")</f>
        <v>24</v>
      </c>
      <c r="Q230" s="45">
        <f>SUMIFS(Movimientos!$F$2:$F$5000,Movimientos!$D$2:$D$5000,$A230,Movimientos!$C$2:$C$5000,"Salida alquiler")-SUMIFS(Movimientos!$F$2:$F$5000,Movimientos!$D$2:$D$5000,$A230,Movimientos!$C$2:$C$5000,"Retorno alquiler")-SUMIFS(Movimientos!$F$2:$F$5000,Movimientos!$D$2:$D$5000,$A230,Movimientos!$C$2:$C$5000,"Consumido en evento")-SUMIFS(Movimientos!$F$2:$F$5000,Movimientos!$D$2:$D$5000,$A230,Movimientos!$C$2:$C$5000,"A reparación")</f>
        <v>0</v>
      </c>
      <c r="R230" s="45">
        <f>SUMIFS(Movimientos!$F$2:$F$5000,Movimientos!$D$2:$D$5000,$A230,Movimientos!$C$2:$C$5000,"A reparación")-SUMIFS(Movimientos!$F$2:$F$5000,Movimientos!$D$2:$D$5000,$A230,Movimientos!$C$2:$C$5000,"Retorno reparación")-SUMIFS(Movimientos!$F$2:$F$5000,Movimientos!$D$2:$D$5000,$A230,Movimientos!$C$2:$C$5000,"Baja desde reparación")</f>
        <v>0</v>
      </c>
      <c r="S230" s="45">
        <f>P230-Q230-R230</f>
        <v>24</v>
      </c>
    </row>
    <row r="231" spans="1:19">
      <c r="A231" s="15" t="s">
        <v>1103</v>
      </c>
      <c r="B231" s="15" t="s">
        <v>1104</v>
      </c>
      <c r="C231" s="42" t="s">
        <v>1105</v>
      </c>
      <c r="D231" s="15" t="s">
        <v>101</v>
      </c>
      <c r="E231" s="42" t="s">
        <v>1106</v>
      </c>
      <c r="F231" s="43">
        <v>1</v>
      </c>
      <c r="G231" s="15" t="s">
        <v>484</v>
      </c>
      <c r="H231" s="44">
        <v>8</v>
      </c>
      <c r="I231" s="15" t="s">
        <v>104</v>
      </c>
      <c r="J231" s="15" t="s">
        <v>33</v>
      </c>
      <c r="K231" s="15" t="s">
        <v>35</v>
      </c>
      <c r="L231" s="15"/>
      <c r="M231" s="15" t="s">
        <v>38</v>
      </c>
      <c r="N231" s="15"/>
      <c r="O231" s="15"/>
      <c r="P231" s="45">
        <f>H231+SUMIFS(Movimientos!$F$2:$F$5000,Movimientos!$D$2:$D$5000,$A231,Movimientos!$C$2:$C$5000,"Ingreso inventario")+SUMIFS(Movimientos!$F$2:$F$5000,Movimientos!$D$2:$D$5000,$A231,Movimientos!$C$2:$C$5000,"Ajuste")-SUMIFS(Movimientos!$F$2:$F$5000,Movimientos!$D$2:$D$5000,$A231,Movimientos!$C$2:$C$5000,"Consumido en evento")-SUMIFS(Movimientos!$F$2:$F$5000,Movimientos!$D$2:$D$5000,$A231,Movimientos!$C$2:$C$5000,"Consumo interno")-SUMIFS(Movimientos!$F$2:$F$5000,Movimientos!$D$2:$D$5000,$A231,Movimientos!$C$2:$C$5000,"Baja")-SUMIFS(Movimientos!$F$2:$F$5000,Movimientos!$D$2:$D$5000,$A231,Movimientos!$C$2:$C$5000,"Baja desde reparación")</f>
        <v>8</v>
      </c>
      <c r="Q231" s="45">
        <f>SUMIFS(Movimientos!$F$2:$F$5000,Movimientos!$D$2:$D$5000,$A231,Movimientos!$C$2:$C$5000,"Salida alquiler")-SUMIFS(Movimientos!$F$2:$F$5000,Movimientos!$D$2:$D$5000,$A231,Movimientos!$C$2:$C$5000,"Retorno alquiler")-SUMIFS(Movimientos!$F$2:$F$5000,Movimientos!$D$2:$D$5000,$A231,Movimientos!$C$2:$C$5000,"Consumido en evento")-SUMIFS(Movimientos!$F$2:$F$5000,Movimientos!$D$2:$D$5000,$A231,Movimientos!$C$2:$C$5000,"A reparación")</f>
        <v>0</v>
      </c>
      <c r="R231" s="45">
        <f>SUMIFS(Movimientos!$F$2:$F$5000,Movimientos!$D$2:$D$5000,$A231,Movimientos!$C$2:$C$5000,"A reparación")-SUMIFS(Movimientos!$F$2:$F$5000,Movimientos!$D$2:$D$5000,$A231,Movimientos!$C$2:$C$5000,"Retorno reparación")-SUMIFS(Movimientos!$F$2:$F$5000,Movimientos!$D$2:$D$5000,$A231,Movimientos!$C$2:$C$5000,"Baja desde reparación")</f>
        <v>0</v>
      </c>
      <c r="S231" s="45">
        <f>P231-Q231-R231</f>
        <v>8</v>
      </c>
    </row>
    <row r="232" spans="1:19">
      <c r="A232" s="15" t="s">
        <v>1107</v>
      </c>
      <c r="B232" s="15" t="s">
        <v>1108</v>
      </c>
      <c r="C232" s="42" t="s">
        <v>1109</v>
      </c>
      <c r="D232" s="15" t="s">
        <v>101</v>
      </c>
      <c r="E232" s="42" t="s">
        <v>1110</v>
      </c>
      <c r="F232" s="43">
        <v>1</v>
      </c>
      <c r="G232" s="15" t="s">
        <v>241</v>
      </c>
      <c r="H232" s="44">
        <v>1</v>
      </c>
      <c r="I232" s="15" t="s">
        <v>104</v>
      </c>
      <c r="J232" s="15" t="s">
        <v>33</v>
      </c>
      <c r="K232" s="15" t="s">
        <v>35</v>
      </c>
      <c r="L232" s="15"/>
      <c r="M232" s="15" t="s">
        <v>38</v>
      </c>
      <c r="N232" s="15"/>
      <c r="O232" s="15"/>
      <c r="P232" s="45">
        <f>H232+SUMIFS(Movimientos!$F$2:$F$5000,Movimientos!$D$2:$D$5000,$A232,Movimientos!$C$2:$C$5000,"Ingreso inventario")+SUMIFS(Movimientos!$F$2:$F$5000,Movimientos!$D$2:$D$5000,$A232,Movimientos!$C$2:$C$5000,"Ajuste")-SUMIFS(Movimientos!$F$2:$F$5000,Movimientos!$D$2:$D$5000,$A232,Movimientos!$C$2:$C$5000,"Consumido en evento")-SUMIFS(Movimientos!$F$2:$F$5000,Movimientos!$D$2:$D$5000,$A232,Movimientos!$C$2:$C$5000,"Consumo interno")-SUMIFS(Movimientos!$F$2:$F$5000,Movimientos!$D$2:$D$5000,$A232,Movimientos!$C$2:$C$5000,"Baja")-SUMIFS(Movimientos!$F$2:$F$5000,Movimientos!$D$2:$D$5000,$A232,Movimientos!$C$2:$C$5000,"Baja desde reparación")</f>
        <v>1</v>
      </c>
      <c r="Q232" s="45">
        <f>SUMIFS(Movimientos!$F$2:$F$5000,Movimientos!$D$2:$D$5000,$A232,Movimientos!$C$2:$C$5000,"Salida alquiler")-SUMIFS(Movimientos!$F$2:$F$5000,Movimientos!$D$2:$D$5000,$A232,Movimientos!$C$2:$C$5000,"Retorno alquiler")-SUMIFS(Movimientos!$F$2:$F$5000,Movimientos!$D$2:$D$5000,$A232,Movimientos!$C$2:$C$5000,"Consumido en evento")-SUMIFS(Movimientos!$F$2:$F$5000,Movimientos!$D$2:$D$5000,$A232,Movimientos!$C$2:$C$5000,"A reparación")</f>
        <v>0</v>
      </c>
      <c r="R232" s="45">
        <f>SUMIFS(Movimientos!$F$2:$F$5000,Movimientos!$D$2:$D$5000,$A232,Movimientos!$C$2:$C$5000,"A reparación")-SUMIFS(Movimientos!$F$2:$F$5000,Movimientos!$D$2:$D$5000,$A232,Movimientos!$C$2:$C$5000,"Retorno reparación")-SUMIFS(Movimientos!$F$2:$F$5000,Movimientos!$D$2:$D$5000,$A232,Movimientos!$C$2:$C$5000,"Baja desde reparación")</f>
        <v>0</v>
      </c>
      <c r="S232" s="45">
        <f>P232-Q232-R232</f>
        <v>1</v>
      </c>
    </row>
    <row r="233" spans="1:19">
      <c r="A233" s="15" t="s">
        <v>1111</v>
      </c>
      <c r="B233" s="15" t="s">
        <v>1112</v>
      </c>
      <c r="C233" s="42"/>
      <c r="D233" s="15" t="s">
        <v>101</v>
      </c>
      <c r="E233" s="42"/>
      <c r="F233" s="43">
        <v>1</v>
      </c>
      <c r="G233" s="15" t="s">
        <v>558</v>
      </c>
      <c r="H233" s="44">
        <v>1000</v>
      </c>
      <c r="I233" s="15" t="s">
        <v>559</v>
      </c>
      <c r="J233" s="15" t="s">
        <v>33</v>
      </c>
      <c r="K233" s="15" t="s">
        <v>35</v>
      </c>
      <c r="L233" s="15"/>
      <c r="M233" s="15" t="s">
        <v>38</v>
      </c>
      <c r="N233" s="15"/>
      <c r="O233" s="15"/>
      <c r="P233" s="45">
        <f>H233+SUMIFS(Movimientos!$F$2:$F$5000,Movimientos!$D$2:$D$5000,$A233,Movimientos!$C$2:$C$5000,"Ingreso inventario")+SUMIFS(Movimientos!$F$2:$F$5000,Movimientos!$D$2:$D$5000,$A233,Movimientos!$C$2:$C$5000,"Ajuste")-SUMIFS(Movimientos!$F$2:$F$5000,Movimientos!$D$2:$D$5000,$A233,Movimientos!$C$2:$C$5000,"Consumido en evento")-SUMIFS(Movimientos!$F$2:$F$5000,Movimientos!$D$2:$D$5000,$A233,Movimientos!$C$2:$C$5000,"Consumo interno")-SUMIFS(Movimientos!$F$2:$F$5000,Movimientos!$D$2:$D$5000,$A233,Movimientos!$C$2:$C$5000,"Baja")-SUMIFS(Movimientos!$F$2:$F$5000,Movimientos!$D$2:$D$5000,$A233,Movimientos!$C$2:$C$5000,"Baja desde reparación")</f>
        <v>1000</v>
      </c>
      <c r="Q233" s="45">
        <f>SUMIFS(Movimientos!$F$2:$F$5000,Movimientos!$D$2:$D$5000,$A233,Movimientos!$C$2:$C$5000,"Salida alquiler")-SUMIFS(Movimientos!$F$2:$F$5000,Movimientos!$D$2:$D$5000,$A233,Movimientos!$C$2:$C$5000,"Retorno alquiler")-SUMIFS(Movimientos!$F$2:$F$5000,Movimientos!$D$2:$D$5000,$A233,Movimientos!$C$2:$C$5000,"Consumido en evento")-SUMIFS(Movimientos!$F$2:$F$5000,Movimientos!$D$2:$D$5000,$A233,Movimientos!$C$2:$C$5000,"A reparación")</f>
        <v>0</v>
      </c>
      <c r="R233" s="45">
        <f>SUMIFS(Movimientos!$F$2:$F$5000,Movimientos!$D$2:$D$5000,$A233,Movimientos!$C$2:$C$5000,"A reparación")-SUMIFS(Movimientos!$F$2:$F$5000,Movimientos!$D$2:$D$5000,$A233,Movimientos!$C$2:$C$5000,"Retorno reparación")-SUMIFS(Movimientos!$F$2:$F$5000,Movimientos!$D$2:$D$5000,$A233,Movimientos!$C$2:$C$5000,"Baja desde reparación")</f>
        <v>0</v>
      </c>
      <c r="S233" s="45">
        <f>P233-Q233-R233</f>
        <v>1000</v>
      </c>
    </row>
    <row r="234" spans="1:19">
      <c r="A234" s="15" t="s">
        <v>1113</v>
      </c>
      <c r="B234" s="15" t="s">
        <v>1114</v>
      </c>
      <c r="C234" s="42"/>
      <c r="D234" s="15" t="s">
        <v>101</v>
      </c>
      <c r="E234" s="42"/>
      <c r="F234" s="43">
        <v>1</v>
      </c>
      <c r="G234" s="15" t="s">
        <v>558</v>
      </c>
      <c r="H234" s="44">
        <v>15</v>
      </c>
      <c r="I234" s="15" t="s">
        <v>559</v>
      </c>
      <c r="J234" s="15" t="s">
        <v>33</v>
      </c>
      <c r="K234" s="15" t="s">
        <v>35</v>
      </c>
      <c r="L234" s="15"/>
      <c r="M234" s="15" t="s">
        <v>38</v>
      </c>
      <c r="N234" s="15"/>
      <c r="O234" s="15"/>
      <c r="P234" s="45">
        <f>H234+SUMIFS(Movimientos!$F$2:$F$5000,Movimientos!$D$2:$D$5000,$A234,Movimientos!$C$2:$C$5000,"Ingreso inventario")+SUMIFS(Movimientos!$F$2:$F$5000,Movimientos!$D$2:$D$5000,$A234,Movimientos!$C$2:$C$5000,"Ajuste")-SUMIFS(Movimientos!$F$2:$F$5000,Movimientos!$D$2:$D$5000,$A234,Movimientos!$C$2:$C$5000,"Consumido en evento")-SUMIFS(Movimientos!$F$2:$F$5000,Movimientos!$D$2:$D$5000,$A234,Movimientos!$C$2:$C$5000,"Consumo interno")-SUMIFS(Movimientos!$F$2:$F$5000,Movimientos!$D$2:$D$5000,$A234,Movimientos!$C$2:$C$5000,"Baja")-SUMIFS(Movimientos!$F$2:$F$5000,Movimientos!$D$2:$D$5000,$A234,Movimientos!$C$2:$C$5000,"Baja desde reparación")</f>
        <v>15</v>
      </c>
      <c r="Q234" s="45">
        <f>SUMIFS(Movimientos!$F$2:$F$5000,Movimientos!$D$2:$D$5000,$A234,Movimientos!$C$2:$C$5000,"Salida alquiler")-SUMIFS(Movimientos!$F$2:$F$5000,Movimientos!$D$2:$D$5000,$A234,Movimientos!$C$2:$C$5000,"Retorno alquiler")-SUMIFS(Movimientos!$F$2:$F$5000,Movimientos!$D$2:$D$5000,$A234,Movimientos!$C$2:$C$5000,"Consumido en evento")-SUMIFS(Movimientos!$F$2:$F$5000,Movimientos!$D$2:$D$5000,$A234,Movimientos!$C$2:$C$5000,"A reparación")</f>
        <v>0</v>
      </c>
      <c r="R234" s="45">
        <f>SUMIFS(Movimientos!$F$2:$F$5000,Movimientos!$D$2:$D$5000,$A234,Movimientos!$C$2:$C$5000,"A reparación")-SUMIFS(Movimientos!$F$2:$F$5000,Movimientos!$D$2:$D$5000,$A234,Movimientos!$C$2:$C$5000,"Retorno reparación")-SUMIFS(Movimientos!$F$2:$F$5000,Movimientos!$D$2:$D$5000,$A234,Movimientos!$C$2:$C$5000,"Baja desde reparación")</f>
        <v>0</v>
      </c>
      <c r="S234" s="45">
        <f>P234-Q234-R234</f>
        <v>15</v>
      </c>
    </row>
    <row r="235" spans="1:19">
      <c r="A235" s="15" t="s">
        <v>1115</v>
      </c>
      <c r="B235" s="15" t="s">
        <v>1116</v>
      </c>
      <c r="C235" s="42"/>
      <c r="D235" s="15" t="s">
        <v>101</v>
      </c>
      <c r="E235" s="42"/>
      <c r="F235" s="43">
        <v>1</v>
      </c>
      <c r="G235" s="15" t="s">
        <v>558</v>
      </c>
      <c r="H235" s="44">
        <v>50</v>
      </c>
      <c r="I235" s="15" t="s">
        <v>559</v>
      </c>
      <c r="J235" s="15" t="s">
        <v>33</v>
      </c>
      <c r="K235" s="15" t="s">
        <v>35</v>
      </c>
      <c r="L235" s="15"/>
      <c r="M235" s="15" t="s">
        <v>38</v>
      </c>
      <c r="N235" s="15"/>
      <c r="O235" s="15"/>
      <c r="P235" s="45">
        <f>H235+SUMIFS(Movimientos!$F$2:$F$5000,Movimientos!$D$2:$D$5000,$A235,Movimientos!$C$2:$C$5000,"Ingreso inventario")+SUMIFS(Movimientos!$F$2:$F$5000,Movimientos!$D$2:$D$5000,$A235,Movimientos!$C$2:$C$5000,"Ajuste")-SUMIFS(Movimientos!$F$2:$F$5000,Movimientos!$D$2:$D$5000,$A235,Movimientos!$C$2:$C$5000,"Consumido en evento")-SUMIFS(Movimientos!$F$2:$F$5000,Movimientos!$D$2:$D$5000,$A235,Movimientos!$C$2:$C$5000,"Consumo interno")-SUMIFS(Movimientos!$F$2:$F$5000,Movimientos!$D$2:$D$5000,$A235,Movimientos!$C$2:$C$5000,"Baja")-SUMIFS(Movimientos!$F$2:$F$5000,Movimientos!$D$2:$D$5000,$A235,Movimientos!$C$2:$C$5000,"Baja desde reparación")</f>
        <v>50</v>
      </c>
      <c r="Q235" s="45">
        <f>SUMIFS(Movimientos!$F$2:$F$5000,Movimientos!$D$2:$D$5000,$A235,Movimientos!$C$2:$C$5000,"Salida alquiler")-SUMIFS(Movimientos!$F$2:$F$5000,Movimientos!$D$2:$D$5000,$A235,Movimientos!$C$2:$C$5000,"Retorno alquiler")-SUMIFS(Movimientos!$F$2:$F$5000,Movimientos!$D$2:$D$5000,$A235,Movimientos!$C$2:$C$5000,"Consumido en evento")-SUMIFS(Movimientos!$F$2:$F$5000,Movimientos!$D$2:$D$5000,$A235,Movimientos!$C$2:$C$5000,"A reparación")</f>
        <v>0</v>
      </c>
      <c r="R235" s="45">
        <f>SUMIFS(Movimientos!$F$2:$F$5000,Movimientos!$D$2:$D$5000,$A235,Movimientos!$C$2:$C$5000,"A reparación")-SUMIFS(Movimientos!$F$2:$F$5000,Movimientos!$D$2:$D$5000,$A235,Movimientos!$C$2:$C$5000,"Retorno reparación")-SUMIFS(Movimientos!$F$2:$F$5000,Movimientos!$D$2:$D$5000,$A235,Movimientos!$C$2:$C$5000,"Baja desde reparación")</f>
        <v>0</v>
      </c>
      <c r="S235" s="45">
        <f>P235-Q235-R235</f>
        <v>50</v>
      </c>
    </row>
    <row r="236" spans="1:19">
      <c r="A236" s="15" t="s">
        <v>1117</v>
      </c>
      <c r="B236" s="15" t="s">
        <v>1118</v>
      </c>
      <c r="C236" s="42"/>
      <c r="D236" s="15" t="s">
        <v>101</v>
      </c>
      <c r="E236" s="42"/>
      <c r="F236" s="43">
        <v>1</v>
      </c>
      <c r="G236" s="15" t="s">
        <v>558</v>
      </c>
      <c r="H236" s="44">
        <v>6</v>
      </c>
      <c r="I236" s="15" t="s">
        <v>559</v>
      </c>
      <c r="J236" s="15" t="s">
        <v>33</v>
      </c>
      <c r="K236" s="15" t="s">
        <v>35</v>
      </c>
      <c r="L236" s="15"/>
      <c r="M236" s="15" t="s">
        <v>38</v>
      </c>
      <c r="N236" s="15"/>
      <c r="O236" s="15"/>
      <c r="P236" s="45">
        <f>H236+SUMIFS(Movimientos!$F$2:$F$5000,Movimientos!$D$2:$D$5000,$A236,Movimientos!$C$2:$C$5000,"Ingreso inventario")+SUMIFS(Movimientos!$F$2:$F$5000,Movimientos!$D$2:$D$5000,$A236,Movimientos!$C$2:$C$5000,"Ajuste")-SUMIFS(Movimientos!$F$2:$F$5000,Movimientos!$D$2:$D$5000,$A236,Movimientos!$C$2:$C$5000,"Consumido en evento")-SUMIFS(Movimientos!$F$2:$F$5000,Movimientos!$D$2:$D$5000,$A236,Movimientos!$C$2:$C$5000,"Consumo interno")-SUMIFS(Movimientos!$F$2:$F$5000,Movimientos!$D$2:$D$5000,$A236,Movimientos!$C$2:$C$5000,"Baja")-SUMIFS(Movimientos!$F$2:$F$5000,Movimientos!$D$2:$D$5000,$A236,Movimientos!$C$2:$C$5000,"Baja desde reparación")</f>
        <v>6</v>
      </c>
      <c r="Q236" s="45">
        <f>SUMIFS(Movimientos!$F$2:$F$5000,Movimientos!$D$2:$D$5000,$A236,Movimientos!$C$2:$C$5000,"Salida alquiler")-SUMIFS(Movimientos!$F$2:$F$5000,Movimientos!$D$2:$D$5000,$A236,Movimientos!$C$2:$C$5000,"Retorno alquiler")-SUMIFS(Movimientos!$F$2:$F$5000,Movimientos!$D$2:$D$5000,$A236,Movimientos!$C$2:$C$5000,"Consumido en evento")-SUMIFS(Movimientos!$F$2:$F$5000,Movimientos!$D$2:$D$5000,$A236,Movimientos!$C$2:$C$5000,"A reparación")</f>
        <v>0</v>
      </c>
      <c r="R236" s="45">
        <f>SUMIFS(Movimientos!$F$2:$F$5000,Movimientos!$D$2:$D$5000,$A236,Movimientos!$C$2:$C$5000,"A reparación")-SUMIFS(Movimientos!$F$2:$F$5000,Movimientos!$D$2:$D$5000,$A236,Movimientos!$C$2:$C$5000,"Retorno reparación")-SUMIFS(Movimientos!$F$2:$F$5000,Movimientos!$D$2:$D$5000,$A236,Movimientos!$C$2:$C$5000,"Baja desde reparación")</f>
        <v>0</v>
      </c>
      <c r="S236" s="45">
        <f>P236-Q236-R236</f>
        <v>6</v>
      </c>
    </row>
    <row r="237" spans="1:19">
      <c r="A237" s="15" t="s">
        <v>1119</v>
      </c>
      <c r="B237" s="15" t="s">
        <v>1120</v>
      </c>
      <c r="C237" s="42" t="s">
        <v>1121</v>
      </c>
      <c r="D237" s="15" t="s">
        <v>101</v>
      </c>
      <c r="E237" s="42" t="s">
        <v>1122</v>
      </c>
      <c r="F237" s="43">
        <v>1</v>
      </c>
      <c r="G237" s="15" t="s">
        <v>1123</v>
      </c>
      <c r="H237" s="44">
        <v>300</v>
      </c>
      <c r="I237" s="15" t="s">
        <v>104</v>
      </c>
      <c r="J237" s="15" t="s">
        <v>33</v>
      </c>
      <c r="K237" s="15" t="s">
        <v>35</v>
      </c>
      <c r="L237" s="15" t="s">
        <v>1124</v>
      </c>
      <c r="M237" s="15" t="s">
        <v>38</v>
      </c>
      <c r="N237" s="15"/>
      <c r="O237" s="15"/>
      <c r="P237" s="45">
        <f>H237+SUMIFS(Movimientos!$F$2:$F$5000,Movimientos!$D$2:$D$5000,$A237,Movimientos!$C$2:$C$5000,"Ingreso inventario")+SUMIFS(Movimientos!$F$2:$F$5000,Movimientos!$D$2:$D$5000,$A237,Movimientos!$C$2:$C$5000,"Ajuste")-SUMIFS(Movimientos!$F$2:$F$5000,Movimientos!$D$2:$D$5000,$A237,Movimientos!$C$2:$C$5000,"Consumido en evento")-SUMIFS(Movimientos!$F$2:$F$5000,Movimientos!$D$2:$D$5000,$A237,Movimientos!$C$2:$C$5000,"Consumo interno")-SUMIFS(Movimientos!$F$2:$F$5000,Movimientos!$D$2:$D$5000,$A237,Movimientos!$C$2:$C$5000,"Baja")-SUMIFS(Movimientos!$F$2:$F$5000,Movimientos!$D$2:$D$5000,$A237,Movimientos!$C$2:$C$5000,"Baja desde reparación")</f>
        <v>300</v>
      </c>
      <c r="Q237" s="45">
        <f>SUMIFS(Movimientos!$F$2:$F$5000,Movimientos!$D$2:$D$5000,$A237,Movimientos!$C$2:$C$5000,"Salida alquiler")-SUMIFS(Movimientos!$F$2:$F$5000,Movimientos!$D$2:$D$5000,$A237,Movimientos!$C$2:$C$5000,"Retorno alquiler")-SUMIFS(Movimientos!$F$2:$F$5000,Movimientos!$D$2:$D$5000,$A237,Movimientos!$C$2:$C$5000,"Consumido en evento")-SUMIFS(Movimientos!$F$2:$F$5000,Movimientos!$D$2:$D$5000,$A237,Movimientos!$C$2:$C$5000,"A reparación")</f>
        <v>0</v>
      </c>
      <c r="R237" s="45">
        <f>SUMIFS(Movimientos!$F$2:$F$5000,Movimientos!$D$2:$D$5000,$A237,Movimientos!$C$2:$C$5000,"A reparación")-SUMIFS(Movimientos!$F$2:$F$5000,Movimientos!$D$2:$D$5000,$A237,Movimientos!$C$2:$C$5000,"Retorno reparación")-SUMIFS(Movimientos!$F$2:$F$5000,Movimientos!$D$2:$D$5000,$A237,Movimientos!$C$2:$C$5000,"Baja desde reparación")</f>
        <v>0</v>
      </c>
      <c r="S237" s="45">
        <f>P237-Q237-R237</f>
        <v>300</v>
      </c>
    </row>
    <row r="238" spans="1:19">
      <c r="A238" s="15" t="s">
        <v>1125</v>
      </c>
      <c r="B238" s="15" t="s">
        <v>1126</v>
      </c>
      <c r="C238" s="42" t="s">
        <v>1127</v>
      </c>
      <c r="D238" s="15" t="s">
        <v>101</v>
      </c>
      <c r="E238" s="42" t="s">
        <v>1128</v>
      </c>
      <c r="F238" s="43">
        <v>1</v>
      </c>
      <c r="G238" s="15" t="s">
        <v>594</v>
      </c>
      <c r="H238" s="44">
        <v>1</v>
      </c>
      <c r="I238" s="15" t="s">
        <v>104</v>
      </c>
      <c r="J238" s="15" t="s">
        <v>33</v>
      </c>
      <c r="K238" s="15" t="s">
        <v>35</v>
      </c>
      <c r="L238" s="15"/>
      <c r="M238" s="15" t="s">
        <v>38</v>
      </c>
      <c r="N238" s="15"/>
      <c r="O238" s="15"/>
      <c r="P238" s="45">
        <f>H238+SUMIFS(Movimientos!$F$2:$F$5000,Movimientos!$D$2:$D$5000,$A238,Movimientos!$C$2:$C$5000,"Ingreso inventario")+SUMIFS(Movimientos!$F$2:$F$5000,Movimientos!$D$2:$D$5000,$A238,Movimientos!$C$2:$C$5000,"Ajuste")-SUMIFS(Movimientos!$F$2:$F$5000,Movimientos!$D$2:$D$5000,$A238,Movimientos!$C$2:$C$5000,"Consumido en evento")-SUMIFS(Movimientos!$F$2:$F$5000,Movimientos!$D$2:$D$5000,$A238,Movimientos!$C$2:$C$5000,"Consumo interno")-SUMIFS(Movimientos!$F$2:$F$5000,Movimientos!$D$2:$D$5000,$A238,Movimientos!$C$2:$C$5000,"Baja")-SUMIFS(Movimientos!$F$2:$F$5000,Movimientos!$D$2:$D$5000,$A238,Movimientos!$C$2:$C$5000,"Baja desde reparación")</f>
        <v>1</v>
      </c>
      <c r="Q238" s="45">
        <f>SUMIFS(Movimientos!$F$2:$F$5000,Movimientos!$D$2:$D$5000,$A238,Movimientos!$C$2:$C$5000,"Salida alquiler")-SUMIFS(Movimientos!$F$2:$F$5000,Movimientos!$D$2:$D$5000,$A238,Movimientos!$C$2:$C$5000,"Retorno alquiler")-SUMIFS(Movimientos!$F$2:$F$5000,Movimientos!$D$2:$D$5000,$A238,Movimientos!$C$2:$C$5000,"Consumido en evento")-SUMIFS(Movimientos!$F$2:$F$5000,Movimientos!$D$2:$D$5000,$A238,Movimientos!$C$2:$C$5000,"A reparación")</f>
        <v>0</v>
      </c>
      <c r="R238" s="45">
        <f>SUMIFS(Movimientos!$F$2:$F$5000,Movimientos!$D$2:$D$5000,$A238,Movimientos!$C$2:$C$5000,"A reparación")-SUMIFS(Movimientos!$F$2:$F$5000,Movimientos!$D$2:$D$5000,$A238,Movimientos!$C$2:$C$5000,"Retorno reparación")-SUMIFS(Movimientos!$F$2:$F$5000,Movimientos!$D$2:$D$5000,$A238,Movimientos!$C$2:$C$5000,"Baja desde reparación")</f>
        <v>0</v>
      </c>
      <c r="S238" s="45">
        <f>P238-Q238-R238</f>
        <v>1</v>
      </c>
    </row>
    <row r="239" spans="1:19">
      <c r="A239" s="15" t="s">
        <v>1129</v>
      </c>
      <c r="B239" s="15" t="s">
        <v>1130</v>
      </c>
      <c r="C239" s="42" t="s">
        <v>1131</v>
      </c>
      <c r="D239" s="15" t="s">
        <v>101</v>
      </c>
      <c r="E239" s="42" t="s">
        <v>1132</v>
      </c>
      <c r="F239" s="43">
        <v>1</v>
      </c>
      <c r="G239" s="15" t="s">
        <v>380</v>
      </c>
      <c r="H239" s="44">
        <v>6</v>
      </c>
      <c r="I239" s="15" t="s">
        <v>104</v>
      </c>
      <c r="J239" s="15" t="s">
        <v>33</v>
      </c>
      <c r="K239" s="15" t="s">
        <v>35</v>
      </c>
      <c r="L239" s="15"/>
      <c r="M239" s="15" t="s">
        <v>38</v>
      </c>
      <c r="N239" s="15"/>
      <c r="O239" s="15"/>
      <c r="P239" s="45">
        <f>H239+SUMIFS(Movimientos!$F$2:$F$5000,Movimientos!$D$2:$D$5000,$A239,Movimientos!$C$2:$C$5000,"Ingreso inventario")+SUMIFS(Movimientos!$F$2:$F$5000,Movimientos!$D$2:$D$5000,$A239,Movimientos!$C$2:$C$5000,"Ajuste")-SUMIFS(Movimientos!$F$2:$F$5000,Movimientos!$D$2:$D$5000,$A239,Movimientos!$C$2:$C$5000,"Consumido en evento")-SUMIFS(Movimientos!$F$2:$F$5000,Movimientos!$D$2:$D$5000,$A239,Movimientos!$C$2:$C$5000,"Consumo interno")-SUMIFS(Movimientos!$F$2:$F$5000,Movimientos!$D$2:$D$5000,$A239,Movimientos!$C$2:$C$5000,"Baja")-SUMIFS(Movimientos!$F$2:$F$5000,Movimientos!$D$2:$D$5000,$A239,Movimientos!$C$2:$C$5000,"Baja desde reparación")</f>
        <v>6</v>
      </c>
      <c r="Q239" s="45">
        <f>SUMIFS(Movimientos!$F$2:$F$5000,Movimientos!$D$2:$D$5000,$A239,Movimientos!$C$2:$C$5000,"Salida alquiler")-SUMIFS(Movimientos!$F$2:$F$5000,Movimientos!$D$2:$D$5000,$A239,Movimientos!$C$2:$C$5000,"Retorno alquiler")-SUMIFS(Movimientos!$F$2:$F$5000,Movimientos!$D$2:$D$5000,$A239,Movimientos!$C$2:$C$5000,"Consumido en evento")-SUMIFS(Movimientos!$F$2:$F$5000,Movimientos!$D$2:$D$5000,$A239,Movimientos!$C$2:$C$5000,"A reparación")</f>
        <v>0</v>
      </c>
      <c r="R239" s="45">
        <f>SUMIFS(Movimientos!$F$2:$F$5000,Movimientos!$D$2:$D$5000,$A239,Movimientos!$C$2:$C$5000,"A reparación")-SUMIFS(Movimientos!$F$2:$F$5000,Movimientos!$D$2:$D$5000,$A239,Movimientos!$C$2:$C$5000,"Retorno reparación")-SUMIFS(Movimientos!$F$2:$F$5000,Movimientos!$D$2:$D$5000,$A239,Movimientos!$C$2:$C$5000,"Baja desde reparación")</f>
        <v>0</v>
      </c>
      <c r="S239" s="45">
        <f>P239-Q239-R239</f>
        <v>6</v>
      </c>
    </row>
    <row r="240" spans="1:19">
      <c r="A240" s="15" t="s">
        <v>1133</v>
      </c>
      <c r="B240" s="15" t="s">
        <v>1134</v>
      </c>
      <c r="C240" s="42"/>
      <c r="D240" s="15" t="s">
        <v>101</v>
      </c>
      <c r="E240" s="42"/>
      <c r="F240" s="43">
        <v>1</v>
      </c>
      <c r="G240" s="15" t="s">
        <v>558</v>
      </c>
      <c r="H240" s="44">
        <v>1</v>
      </c>
      <c r="I240" s="15" t="s">
        <v>559</v>
      </c>
      <c r="J240" s="15" t="s">
        <v>33</v>
      </c>
      <c r="K240" s="15" t="s">
        <v>35</v>
      </c>
      <c r="L240" s="15"/>
      <c r="M240" s="15" t="s">
        <v>38</v>
      </c>
      <c r="N240" s="15"/>
      <c r="O240" s="15"/>
      <c r="P240" s="45">
        <f>H240+SUMIFS(Movimientos!$F$2:$F$5000,Movimientos!$D$2:$D$5000,$A240,Movimientos!$C$2:$C$5000,"Ingreso inventario")+SUMIFS(Movimientos!$F$2:$F$5000,Movimientos!$D$2:$D$5000,$A240,Movimientos!$C$2:$C$5000,"Ajuste")-SUMIFS(Movimientos!$F$2:$F$5000,Movimientos!$D$2:$D$5000,$A240,Movimientos!$C$2:$C$5000,"Consumido en evento")-SUMIFS(Movimientos!$F$2:$F$5000,Movimientos!$D$2:$D$5000,$A240,Movimientos!$C$2:$C$5000,"Consumo interno")-SUMIFS(Movimientos!$F$2:$F$5000,Movimientos!$D$2:$D$5000,$A240,Movimientos!$C$2:$C$5000,"Baja")-SUMIFS(Movimientos!$F$2:$F$5000,Movimientos!$D$2:$D$5000,$A240,Movimientos!$C$2:$C$5000,"Baja desde reparación")</f>
        <v>1</v>
      </c>
      <c r="Q240" s="45">
        <f>SUMIFS(Movimientos!$F$2:$F$5000,Movimientos!$D$2:$D$5000,$A240,Movimientos!$C$2:$C$5000,"Salida alquiler")-SUMIFS(Movimientos!$F$2:$F$5000,Movimientos!$D$2:$D$5000,$A240,Movimientos!$C$2:$C$5000,"Retorno alquiler")-SUMIFS(Movimientos!$F$2:$F$5000,Movimientos!$D$2:$D$5000,$A240,Movimientos!$C$2:$C$5000,"Consumido en evento")-SUMIFS(Movimientos!$F$2:$F$5000,Movimientos!$D$2:$D$5000,$A240,Movimientos!$C$2:$C$5000,"A reparación")</f>
        <v>0</v>
      </c>
      <c r="R240" s="45">
        <f>SUMIFS(Movimientos!$F$2:$F$5000,Movimientos!$D$2:$D$5000,$A240,Movimientos!$C$2:$C$5000,"A reparación")-SUMIFS(Movimientos!$F$2:$F$5000,Movimientos!$D$2:$D$5000,$A240,Movimientos!$C$2:$C$5000,"Retorno reparación")-SUMIFS(Movimientos!$F$2:$F$5000,Movimientos!$D$2:$D$5000,$A240,Movimientos!$C$2:$C$5000,"Baja desde reparación")</f>
        <v>0</v>
      </c>
      <c r="S240" s="45">
        <f>P240-Q240-R240</f>
        <v>1</v>
      </c>
    </row>
    <row r="241" spans="1:19">
      <c r="A241" s="15" t="s">
        <v>1135</v>
      </c>
      <c r="B241" s="15" t="s">
        <v>1136</v>
      </c>
      <c r="C241" s="42" t="s">
        <v>1137</v>
      </c>
      <c r="D241" s="15" t="s">
        <v>101</v>
      </c>
      <c r="E241" s="42" t="s">
        <v>1138</v>
      </c>
      <c r="F241" s="43">
        <v>1</v>
      </c>
      <c r="G241" s="15" t="s">
        <v>1123</v>
      </c>
      <c r="H241" s="44">
        <v>40</v>
      </c>
      <c r="I241" s="15" t="s">
        <v>104</v>
      </c>
      <c r="J241" s="15" t="s">
        <v>33</v>
      </c>
      <c r="K241" s="15" t="s">
        <v>35</v>
      </c>
      <c r="L241" s="15"/>
      <c r="M241" s="15" t="s">
        <v>38</v>
      </c>
      <c r="N241" s="15"/>
      <c r="O241" s="15"/>
      <c r="P241" s="45">
        <f>H241+SUMIFS(Movimientos!$F$2:$F$5000,Movimientos!$D$2:$D$5000,$A241,Movimientos!$C$2:$C$5000,"Ingreso inventario")+SUMIFS(Movimientos!$F$2:$F$5000,Movimientos!$D$2:$D$5000,$A241,Movimientos!$C$2:$C$5000,"Ajuste")-SUMIFS(Movimientos!$F$2:$F$5000,Movimientos!$D$2:$D$5000,$A241,Movimientos!$C$2:$C$5000,"Consumido en evento")-SUMIFS(Movimientos!$F$2:$F$5000,Movimientos!$D$2:$D$5000,$A241,Movimientos!$C$2:$C$5000,"Consumo interno")-SUMIFS(Movimientos!$F$2:$F$5000,Movimientos!$D$2:$D$5000,$A241,Movimientos!$C$2:$C$5000,"Baja")-SUMIFS(Movimientos!$F$2:$F$5000,Movimientos!$D$2:$D$5000,$A241,Movimientos!$C$2:$C$5000,"Baja desde reparación")</f>
        <v>40</v>
      </c>
      <c r="Q241" s="45">
        <f>SUMIFS(Movimientos!$F$2:$F$5000,Movimientos!$D$2:$D$5000,$A241,Movimientos!$C$2:$C$5000,"Salida alquiler")-SUMIFS(Movimientos!$F$2:$F$5000,Movimientos!$D$2:$D$5000,$A241,Movimientos!$C$2:$C$5000,"Retorno alquiler")-SUMIFS(Movimientos!$F$2:$F$5000,Movimientos!$D$2:$D$5000,$A241,Movimientos!$C$2:$C$5000,"Consumido en evento")-SUMIFS(Movimientos!$F$2:$F$5000,Movimientos!$D$2:$D$5000,$A241,Movimientos!$C$2:$C$5000,"A reparación")</f>
        <v>0</v>
      </c>
      <c r="R241" s="45">
        <f>SUMIFS(Movimientos!$F$2:$F$5000,Movimientos!$D$2:$D$5000,$A241,Movimientos!$C$2:$C$5000,"A reparación")-SUMIFS(Movimientos!$F$2:$F$5000,Movimientos!$D$2:$D$5000,$A241,Movimientos!$C$2:$C$5000,"Retorno reparación")-SUMIFS(Movimientos!$F$2:$F$5000,Movimientos!$D$2:$D$5000,$A241,Movimientos!$C$2:$C$5000,"Baja desde reparación")</f>
        <v>0</v>
      </c>
      <c r="S241" s="45">
        <f>P241-Q241-R241</f>
        <v>40</v>
      </c>
    </row>
    <row r="242" spans="1:19">
      <c r="A242" s="15" t="s">
        <v>1139</v>
      </c>
      <c r="B242" s="15" t="s">
        <v>1140</v>
      </c>
      <c r="C242" s="42" t="s">
        <v>1141</v>
      </c>
      <c r="D242" s="15" t="s">
        <v>101</v>
      </c>
      <c r="E242" s="42" t="s">
        <v>1142</v>
      </c>
      <c r="F242" s="43">
        <v>1</v>
      </c>
      <c r="G242" s="15" t="s">
        <v>1123</v>
      </c>
      <c r="H242" s="44">
        <v>800</v>
      </c>
      <c r="I242" s="15" t="s">
        <v>104</v>
      </c>
      <c r="J242" s="15" t="s">
        <v>33</v>
      </c>
      <c r="K242" s="15" t="s">
        <v>35</v>
      </c>
      <c r="L242" s="15"/>
      <c r="M242" s="15" t="s">
        <v>38</v>
      </c>
      <c r="N242" s="15"/>
      <c r="O242" s="15"/>
      <c r="P242" s="45">
        <f>H242+SUMIFS(Movimientos!$F$2:$F$5000,Movimientos!$D$2:$D$5000,$A242,Movimientos!$C$2:$C$5000,"Ingreso inventario")+SUMIFS(Movimientos!$F$2:$F$5000,Movimientos!$D$2:$D$5000,$A242,Movimientos!$C$2:$C$5000,"Ajuste")-SUMIFS(Movimientos!$F$2:$F$5000,Movimientos!$D$2:$D$5000,$A242,Movimientos!$C$2:$C$5000,"Consumido en evento")-SUMIFS(Movimientos!$F$2:$F$5000,Movimientos!$D$2:$D$5000,$A242,Movimientos!$C$2:$C$5000,"Consumo interno")-SUMIFS(Movimientos!$F$2:$F$5000,Movimientos!$D$2:$D$5000,$A242,Movimientos!$C$2:$C$5000,"Baja")-SUMIFS(Movimientos!$F$2:$F$5000,Movimientos!$D$2:$D$5000,$A242,Movimientos!$C$2:$C$5000,"Baja desde reparación")</f>
        <v>800</v>
      </c>
      <c r="Q242" s="45">
        <f>SUMIFS(Movimientos!$F$2:$F$5000,Movimientos!$D$2:$D$5000,$A242,Movimientos!$C$2:$C$5000,"Salida alquiler")-SUMIFS(Movimientos!$F$2:$F$5000,Movimientos!$D$2:$D$5000,$A242,Movimientos!$C$2:$C$5000,"Retorno alquiler")-SUMIFS(Movimientos!$F$2:$F$5000,Movimientos!$D$2:$D$5000,$A242,Movimientos!$C$2:$C$5000,"Consumido en evento")-SUMIFS(Movimientos!$F$2:$F$5000,Movimientos!$D$2:$D$5000,$A242,Movimientos!$C$2:$C$5000,"A reparación")</f>
        <v>0</v>
      </c>
      <c r="R242" s="45">
        <f>SUMIFS(Movimientos!$F$2:$F$5000,Movimientos!$D$2:$D$5000,$A242,Movimientos!$C$2:$C$5000,"A reparación")-SUMIFS(Movimientos!$F$2:$F$5000,Movimientos!$D$2:$D$5000,$A242,Movimientos!$C$2:$C$5000,"Retorno reparación")-SUMIFS(Movimientos!$F$2:$F$5000,Movimientos!$D$2:$D$5000,$A242,Movimientos!$C$2:$C$5000,"Baja desde reparación")</f>
        <v>0</v>
      </c>
      <c r="S242" s="45">
        <f>P242-Q242-R242</f>
        <v>800</v>
      </c>
    </row>
    <row r="243" spans="1:19">
      <c r="A243" s="15" t="s">
        <v>1143</v>
      </c>
      <c r="B243" s="15" t="s">
        <v>1144</v>
      </c>
      <c r="C243" s="42"/>
      <c r="D243" s="15" t="s">
        <v>101</v>
      </c>
      <c r="E243" s="42"/>
      <c r="F243" s="43">
        <v>1</v>
      </c>
      <c r="G243" s="15" t="s">
        <v>226</v>
      </c>
      <c r="H243" s="44">
        <v>80</v>
      </c>
      <c r="I243" s="15" t="s">
        <v>104</v>
      </c>
      <c r="J243" s="15" t="s">
        <v>33</v>
      </c>
      <c r="K243" s="15" t="s">
        <v>35</v>
      </c>
      <c r="L243" s="15"/>
      <c r="M243" s="15" t="s">
        <v>38</v>
      </c>
      <c r="N243" s="15"/>
      <c r="O243" s="15"/>
      <c r="P243" s="45">
        <f>H243+SUMIFS(Movimientos!$F$2:$F$5000,Movimientos!$D$2:$D$5000,$A243,Movimientos!$C$2:$C$5000,"Ingreso inventario")+SUMIFS(Movimientos!$F$2:$F$5000,Movimientos!$D$2:$D$5000,$A243,Movimientos!$C$2:$C$5000,"Ajuste")-SUMIFS(Movimientos!$F$2:$F$5000,Movimientos!$D$2:$D$5000,$A243,Movimientos!$C$2:$C$5000,"Consumido en evento")-SUMIFS(Movimientos!$F$2:$F$5000,Movimientos!$D$2:$D$5000,$A243,Movimientos!$C$2:$C$5000,"Consumo interno")-SUMIFS(Movimientos!$F$2:$F$5000,Movimientos!$D$2:$D$5000,$A243,Movimientos!$C$2:$C$5000,"Baja")-SUMIFS(Movimientos!$F$2:$F$5000,Movimientos!$D$2:$D$5000,$A243,Movimientos!$C$2:$C$5000,"Baja desde reparación")</f>
        <v>80</v>
      </c>
      <c r="Q243" s="45">
        <f>SUMIFS(Movimientos!$F$2:$F$5000,Movimientos!$D$2:$D$5000,$A243,Movimientos!$C$2:$C$5000,"Salida alquiler")-SUMIFS(Movimientos!$F$2:$F$5000,Movimientos!$D$2:$D$5000,$A243,Movimientos!$C$2:$C$5000,"Retorno alquiler")-SUMIFS(Movimientos!$F$2:$F$5000,Movimientos!$D$2:$D$5000,$A243,Movimientos!$C$2:$C$5000,"Consumido en evento")-SUMIFS(Movimientos!$F$2:$F$5000,Movimientos!$D$2:$D$5000,$A243,Movimientos!$C$2:$C$5000,"A reparación")</f>
        <v>0</v>
      </c>
      <c r="R243" s="45">
        <f>SUMIFS(Movimientos!$F$2:$F$5000,Movimientos!$D$2:$D$5000,$A243,Movimientos!$C$2:$C$5000,"A reparación")-SUMIFS(Movimientos!$F$2:$F$5000,Movimientos!$D$2:$D$5000,$A243,Movimientos!$C$2:$C$5000,"Retorno reparación")-SUMIFS(Movimientos!$F$2:$F$5000,Movimientos!$D$2:$D$5000,$A243,Movimientos!$C$2:$C$5000,"Baja desde reparación")</f>
        <v>0</v>
      </c>
      <c r="S243" s="45">
        <f>P243-Q243-R243</f>
        <v>80</v>
      </c>
    </row>
    <row r="244" spans="1:19">
      <c r="A244" s="15" t="s">
        <v>1145</v>
      </c>
      <c r="B244" s="15" t="s">
        <v>1146</v>
      </c>
      <c r="C244" s="42"/>
      <c r="D244" s="15" t="s">
        <v>101</v>
      </c>
      <c r="E244" s="42"/>
      <c r="F244" s="43">
        <v>1</v>
      </c>
      <c r="G244" s="15" t="s">
        <v>1123</v>
      </c>
      <c r="H244" s="44">
        <v>160</v>
      </c>
      <c r="I244" s="15" t="s">
        <v>104</v>
      </c>
      <c r="J244" s="15" t="s">
        <v>33</v>
      </c>
      <c r="K244" s="15" t="s">
        <v>35</v>
      </c>
      <c r="L244" s="15"/>
      <c r="M244" s="15" t="s">
        <v>38</v>
      </c>
      <c r="N244" s="15"/>
      <c r="O244" s="15"/>
      <c r="P244" s="45">
        <f>H244+SUMIFS(Movimientos!$F$2:$F$5000,Movimientos!$D$2:$D$5000,$A244,Movimientos!$C$2:$C$5000,"Ingreso inventario")+SUMIFS(Movimientos!$F$2:$F$5000,Movimientos!$D$2:$D$5000,$A244,Movimientos!$C$2:$C$5000,"Ajuste")-SUMIFS(Movimientos!$F$2:$F$5000,Movimientos!$D$2:$D$5000,$A244,Movimientos!$C$2:$C$5000,"Consumido en evento")-SUMIFS(Movimientos!$F$2:$F$5000,Movimientos!$D$2:$D$5000,$A244,Movimientos!$C$2:$C$5000,"Consumo interno")-SUMIFS(Movimientos!$F$2:$F$5000,Movimientos!$D$2:$D$5000,$A244,Movimientos!$C$2:$C$5000,"Baja")-SUMIFS(Movimientos!$F$2:$F$5000,Movimientos!$D$2:$D$5000,$A244,Movimientos!$C$2:$C$5000,"Baja desde reparación")</f>
        <v>160</v>
      </c>
      <c r="Q244" s="45">
        <f>SUMIFS(Movimientos!$F$2:$F$5000,Movimientos!$D$2:$D$5000,$A244,Movimientos!$C$2:$C$5000,"Salida alquiler")-SUMIFS(Movimientos!$F$2:$F$5000,Movimientos!$D$2:$D$5000,$A244,Movimientos!$C$2:$C$5000,"Retorno alquiler")-SUMIFS(Movimientos!$F$2:$F$5000,Movimientos!$D$2:$D$5000,$A244,Movimientos!$C$2:$C$5000,"Consumido en evento")-SUMIFS(Movimientos!$F$2:$F$5000,Movimientos!$D$2:$D$5000,$A244,Movimientos!$C$2:$C$5000,"A reparación")</f>
        <v>0</v>
      </c>
      <c r="R244" s="45">
        <f>SUMIFS(Movimientos!$F$2:$F$5000,Movimientos!$D$2:$D$5000,$A244,Movimientos!$C$2:$C$5000,"A reparación")-SUMIFS(Movimientos!$F$2:$F$5000,Movimientos!$D$2:$D$5000,$A244,Movimientos!$C$2:$C$5000,"Retorno reparación")-SUMIFS(Movimientos!$F$2:$F$5000,Movimientos!$D$2:$D$5000,$A244,Movimientos!$C$2:$C$5000,"Baja desde reparación")</f>
        <v>0</v>
      </c>
      <c r="S244" s="45">
        <f>P244-Q244-R244</f>
        <v>160</v>
      </c>
    </row>
    <row r="245" spans="1:19">
      <c r="A245" s="15" t="s">
        <v>1147</v>
      </c>
      <c r="B245" s="15" t="s">
        <v>1148</v>
      </c>
      <c r="C245" s="42"/>
      <c r="D245" s="15" t="s">
        <v>101</v>
      </c>
      <c r="E245" s="42"/>
      <c r="F245" s="43">
        <v>1</v>
      </c>
      <c r="G245" s="15" t="s">
        <v>226</v>
      </c>
      <c r="H245" s="44">
        <v>0</v>
      </c>
      <c r="I245" s="15" t="s">
        <v>104</v>
      </c>
      <c r="J245" s="15" t="s">
        <v>33</v>
      </c>
      <c r="K245" s="15" t="s">
        <v>35</v>
      </c>
      <c r="L245" s="15"/>
      <c r="M245" s="15" t="s">
        <v>38</v>
      </c>
      <c r="N245" s="15"/>
      <c r="O245" s="15"/>
      <c r="P245" s="45">
        <f>H245+SUMIFS(Movimientos!$F$2:$F$5000,Movimientos!$D$2:$D$5000,$A245,Movimientos!$C$2:$C$5000,"Ingreso inventario")+SUMIFS(Movimientos!$F$2:$F$5000,Movimientos!$D$2:$D$5000,$A245,Movimientos!$C$2:$C$5000,"Ajuste")-SUMIFS(Movimientos!$F$2:$F$5000,Movimientos!$D$2:$D$5000,$A245,Movimientos!$C$2:$C$5000,"Consumido en evento")-SUMIFS(Movimientos!$F$2:$F$5000,Movimientos!$D$2:$D$5000,$A245,Movimientos!$C$2:$C$5000,"Consumo interno")-SUMIFS(Movimientos!$F$2:$F$5000,Movimientos!$D$2:$D$5000,$A245,Movimientos!$C$2:$C$5000,"Baja")-SUMIFS(Movimientos!$F$2:$F$5000,Movimientos!$D$2:$D$5000,$A245,Movimientos!$C$2:$C$5000,"Baja desde reparación")</f>
        <v>0</v>
      </c>
      <c r="Q245" s="45">
        <f>SUMIFS(Movimientos!$F$2:$F$5000,Movimientos!$D$2:$D$5000,$A245,Movimientos!$C$2:$C$5000,"Salida alquiler")-SUMIFS(Movimientos!$F$2:$F$5000,Movimientos!$D$2:$D$5000,$A245,Movimientos!$C$2:$C$5000,"Retorno alquiler")-SUMIFS(Movimientos!$F$2:$F$5000,Movimientos!$D$2:$D$5000,$A245,Movimientos!$C$2:$C$5000,"Consumido en evento")-SUMIFS(Movimientos!$F$2:$F$5000,Movimientos!$D$2:$D$5000,$A245,Movimientos!$C$2:$C$5000,"A reparación")</f>
        <v>0</v>
      </c>
      <c r="R245" s="45">
        <f>SUMIFS(Movimientos!$F$2:$F$5000,Movimientos!$D$2:$D$5000,$A245,Movimientos!$C$2:$C$5000,"A reparación")-SUMIFS(Movimientos!$F$2:$F$5000,Movimientos!$D$2:$D$5000,$A245,Movimientos!$C$2:$C$5000,"Retorno reparación")-SUMIFS(Movimientos!$F$2:$F$5000,Movimientos!$D$2:$D$5000,$A245,Movimientos!$C$2:$C$5000,"Baja desde reparación")</f>
        <v>0</v>
      </c>
      <c r="S245" s="45">
        <f>P245-Q245-R245</f>
        <v>0</v>
      </c>
    </row>
    <row r="246" spans="1:19">
      <c r="A246" s="15" t="s">
        <v>1149</v>
      </c>
      <c r="B246" s="15" t="s">
        <v>1150</v>
      </c>
      <c r="C246" s="42"/>
      <c r="D246" s="15" t="s">
        <v>101</v>
      </c>
      <c r="E246" s="42"/>
      <c r="F246" s="43">
        <v>1</v>
      </c>
      <c r="G246" s="15" t="s">
        <v>226</v>
      </c>
      <c r="H246" s="44">
        <v>40</v>
      </c>
      <c r="I246" s="15" t="s">
        <v>104</v>
      </c>
      <c r="J246" s="15" t="s">
        <v>33</v>
      </c>
      <c r="K246" s="15" t="s">
        <v>35</v>
      </c>
      <c r="L246" s="15"/>
      <c r="M246" s="15" t="s">
        <v>38</v>
      </c>
      <c r="N246" s="15"/>
      <c r="O246" s="15"/>
      <c r="P246" s="45">
        <f>H246+SUMIFS(Movimientos!$F$2:$F$5000,Movimientos!$D$2:$D$5000,$A246,Movimientos!$C$2:$C$5000,"Ingreso inventario")+SUMIFS(Movimientos!$F$2:$F$5000,Movimientos!$D$2:$D$5000,$A246,Movimientos!$C$2:$C$5000,"Ajuste")-SUMIFS(Movimientos!$F$2:$F$5000,Movimientos!$D$2:$D$5000,$A246,Movimientos!$C$2:$C$5000,"Consumido en evento")-SUMIFS(Movimientos!$F$2:$F$5000,Movimientos!$D$2:$D$5000,$A246,Movimientos!$C$2:$C$5000,"Consumo interno")-SUMIFS(Movimientos!$F$2:$F$5000,Movimientos!$D$2:$D$5000,$A246,Movimientos!$C$2:$C$5000,"Baja")-SUMIFS(Movimientos!$F$2:$F$5000,Movimientos!$D$2:$D$5000,$A246,Movimientos!$C$2:$C$5000,"Baja desde reparación")</f>
        <v>40</v>
      </c>
      <c r="Q246" s="45">
        <f>SUMIFS(Movimientos!$F$2:$F$5000,Movimientos!$D$2:$D$5000,$A246,Movimientos!$C$2:$C$5000,"Salida alquiler")-SUMIFS(Movimientos!$F$2:$F$5000,Movimientos!$D$2:$D$5000,$A246,Movimientos!$C$2:$C$5000,"Retorno alquiler")-SUMIFS(Movimientos!$F$2:$F$5000,Movimientos!$D$2:$D$5000,$A246,Movimientos!$C$2:$C$5000,"Consumido en evento")-SUMIFS(Movimientos!$F$2:$F$5000,Movimientos!$D$2:$D$5000,$A246,Movimientos!$C$2:$C$5000,"A reparación")</f>
        <v>0</v>
      </c>
      <c r="R246" s="45">
        <f>SUMIFS(Movimientos!$F$2:$F$5000,Movimientos!$D$2:$D$5000,$A246,Movimientos!$C$2:$C$5000,"A reparación")-SUMIFS(Movimientos!$F$2:$F$5000,Movimientos!$D$2:$D$5000,$A246,Movimientos!$C$2:$C$5000,"Retorno reparación")-SUMIFS(Movimientos!$F$2:$F$5000,Movimientos!$D$2:$D$5000,$A246,Movimientos!$C$2:$C$5000,"Baja desde reparación")</f>
        <v>0</v>
      </c>
      <c r="S246" s="45">
        <f>P246-Q246-R246</f>
        <v>40</v>
      </c>
    </row>
    <row r="247" spans="1:19">
      <c r="A247" s="15" t="s">
        <v>1151</v>
      </c>
      <c r="B247" s="15" t="s">
        <v>1152</v>
      </c>
      <c r="C247" s="42" t="s">
        <v>1153</v>
      </c>
      <c r="D247" s="15" t="s">
        <v>101</v>
      </c>
      <c r="E247" s="42" t="s">
        <v>1154</v>
      </c>
      <c r="F247" s="43">
        <v>1</v>
      </c>
      <c r="G247" s="15" t="s">
        <v>1123</v>
      </c>
      <c r="H247" s="44">
        <v>0</v>
      </c>
      <c r="I247" s="15" t="s">
        <v>104</v>
      </c>
      <c r="J247" s="15" t="s">
        <v>33</v>
      </c>
      <c r="K247" s="15" t="s">
        <v>35</v>
      </c>
      <c r="L247" s="15"/>
      <c r="M247" s="15" t="s">
        <v>38</v>
      </c>
      <c r="N247" s="15"/>
      <c r="O247" s="15"/>
      <c r="P247" s="45">
        <f>H247+SUMIFS(Movimientos!$F$2:$F$5000,Movimientos!$D$2:$D$5000,$A247,Movimientos!$C$2:$C$5000,"Ingreso inventario")+SUMIFS(Movimientos!$F$2:$F$5000,Movimientos!$D$2:$D$5000,$A247,Movimientos!$C$2:$C$5000,"Ajuste")-SUMIFS(Movimientos!$F$2:$F$5000,Movimientos!$D$2:$D$5000,$A247,Movimientos!$C$2:$C$5000,"Consumido en evento")-SUMIFS(Movimientos!$F$2:$F$5000,Movimientos!$D$2:$D$5000,$A247,Movimientos!$C$2:$C$5000,"Consumo interno")-SUMIFS(Movimientos!$F$2:$F$5000,Movimientos!$D$2:$D$5000,$A247,Movimientos!$C$2:$C$5000,"Baja")-SUMIFS(Movimientos!$F$2:$F$5000,Movimientos!$D$2:$D$5000,$A247,Movimientos!$C$2:$C$5000,"Baja desde reparación")</f>
        <v>0</v>
      </c>
      <c r="Q247" s="45">
        <f>SUMIFS(Movimientos!$F$2:$F$5000,Movimientos!$D$2:$D$5000,$A247,Movimientos!$C$2:$C$5000,"Salida alquiler")-SUMIFS(Movimientos!$F$2:$F$5000,Movimientos!$D$2:$D$5000,$A247,Movimientos!$C$2:$C$5000,"Retorno alquiler")-SUMIFS(Movimientos!$F$2:$F$5000,Movimientos!$D$2:$D$5000,$A247,Movimientos!$C$2:$C$5000,"Consumido en evento")-SUMIFS(Movimientos!$F$2:$F$5000,Movimientos!$D$2:$D$5000,$A247,Movimientos!$C$2:$C$5000,"A reparación")</f>
        <v>0</v>
      </c>
      <c r="R247" s="45">
        <f>SUMIFS(Movimientos!$F$2:$F$5000,Movimientos!$D$2:$D$5000,$A247,Movimientos!$C$2:$C$5000,"A reparación")-SUMIFS(Movimientos!$F$2:$F$5000,Movimientos!$D$2:$D$5000,$A247,Movimientos!$C$2:$C$5000,"Retorno reparación")-SUMIFS(Movimientos!$F$2:$F$5000,Movimientos!$D$2:$D$5000,$A247,Movimientos!$C$2:$C$5000,"Baja desde reparación")</f>
        <v>0</v>
      </c>
      <c r="S247" s="45">
        <f>P247-Q247-R247</f>
        <v>0</v>
      </c>
    </row>
    <row r="248" spans="1:19">
      <c r="A248" s="15" t="s">
        <v>1155</v>
      </c>
      <c r="B248" s="15" t="s">
        <v>1156</v>
      </c>
      <c r="C248" s="42"/>
      <c r="D248" s="15" t="s">
        <v>101</v>
      </c>
      <c r="E248" s="42"/>
      <c r="F248" s="43">
        <v>1</v>
      </c>
      <c r="G248" s="15" t="s">
        <v>226</v>
      </c>
      <c r="H248" s="44">
        <v>200</v>
      </c>
      <c r="I248" s="15" t="s">
        <v>104</v>
      </c>
      <c r="J248" s="15" t="s">
        <v>33</v>
      </c>
      <c r="K248" s="15" t="s">
        <v>35</v>
      </c>
      <c r="L248" s="15"/>
      <c r="M248" s="15" t="s">
        <v>38</v>
      </c>
      <c r="N248" s="15"/>
      <c r="O248" s="15"/>
      <c r="P248" s="45">
        <f>H248+SUMIFS(Movimientos!$F$2:$F$5000,Movimientos!$D$2:$D$5000,$A248,Movimientos!$C$2:$C$5000,"Ingreso inventario")+SUMIFS(Movimientos!$F$2:$F$5000,Movimientos!$D$2:$D$5000,$A248,Movimientos!$C$2:$C$5000,"Ajuste")-SUMIFS(Movimientos!$F$2:$F$5000,Movimientos!$D$2:$D$5000,$A248,Movimientos!$C$2:$C$5000,"Consumido en evento")-SUMIFS(Movimientos!$F$2:$F$5000,Movimientos!$D$2:$D$5000,$A248,Movimientos!$C$2:$C$5000,"Consumo interno")-SUMIFS(Movimientos!$F$2:$F$5000,Movimientos!$D$2:$D$5000,$A248,Movimientos!$C$2:$C$5000,"Baja")-SUMIFS(Movimientos!$F$2:$F$5000,Movimientos!$D$2:$D$5000,$A248,Movimientos!$C$2:$C$5000,"Baja desde reparación")</f>
        <v>200</v>
      </c>
      <c r="Q248" s="45">
        <f>SUMIFS(Movimientos!$F$2:$F$5000,Movimientos!$D$2:$D$5000,$A248,Movimientos!$C$2:$C$5000,"Salida alquiler")-SUMIFS(Movimientos!$F$2:$F$5000,Movimientos!$D$2:$D$5000,$A248,Movimientos!$C$2:$C$5000,"Retorno alquiler")-SUMIFS(Movimientos!$F$2:$F$5000,Movimientos!$D$2:$D$5000,$A248,Movimientos!$C$2:$C$5000,"Consumido en evento")-SUMIFS(Movimientos!$F$2:$F$5000,Movimientos!$D$2:$D$5000,$A248,Movimientos!$C$2:$C$5000,"A reparación")</f>
        <v>0</v>
      </c>
      <c r="R248" s="45">
        <f>SUMIFS(Movimientos!$F$2:$F$5000,Movimientos!$D$2:$D$5000,$A248,Movimientos!$C$2:$C$5000,"A reparación")-SUMIFS(Movimientos!$F$2:$F$5000,Movimientos!$D$2:$D$5000,$A248,Movimientos!$C$2:$C$5000,"Retorno reparación")-SUMIFS(Movimientos!$F$2:$F$5000,Movimientos!$D$2:$D$5000,$A248,Movimientos!$C$2:$C$5000,"Baja desde reparación")</f>
        <v>0</v>
      </c>
      <c r="S248" s="45">
        <f>P248-Q248-R248</f>
        <v>200</v>
      </c>
    </row>
    <row r="249" spans="1:19">
      <c r="A249" s="15" t="s">
        <v>1157</v>
      </c>
      <c r="B249" s="15" t="s">
        <v>1158</v>
      </c>
      <c r="C249" s="42" t="s">
        <v>1159</v>
      </c>
      <c r="D249" s="15" t="s">
        <v>101</v>
      </c>
      <c r="E249" s="42" t="s">
        <v>1160</v>
      </c>
      <c r="F249" s="43">
        <v>1</v>
      </c>
      <c r="G249" s="15" t="s">
        <v>1123</v>
      </c>
      <c r="H249" s="44">
        <v>200</v>
      </c>
      <c r="I249" s="15" t="s">
        <v>104</v>
      </c>
      <c r="J249" s="15" t="s">
        <v>33</v>
      </c>
      <c r="K249" s="15" t="s">
        <v>35</v>
      </c>
      <c r="L249" s="15"/>
      <c r="M249" s="15" t="s">
        <v>38</v>
      </c>
      <c r="N249" s="15"/>
      <c r="O249" s="15"/>
      <c r="P249" s="45">
        <f>H249+SUMIFS(Movimientos!$F$2:$F$5000,Movimientos!$D$2:$D$5000,$A249,Movimientos!$C$2:$C$5000,"Ingreso inventario")+SUMIFS(Movimientos!$F$2:$F$5000,Movimientos!$D$2:$D$5000,$A249,Movimientos!$C$2:$C$5000,"Ajuste")-SUMIFS(Movimientos!$F$2:$F$5000,Movimientos!$D$2:$D$5000,$A249,Movimientos!$C$2:$C$5000,"Consumido en evento")-SUMIFS(Movimientos!$F$2:$F$5000,Movimientos!$D$2:$D$5000,$A249,Movimientos!$C$2:$C$5000,"Consumo interno")-SUMIFS(Movimientos!$F$2:$F$5000,Movimientos!$D$2:$D$5000,$A249,Movimientos!$C$2:$C$5000,"Baja")-SUMIFS(Movimientos!$F$2:$F$5000,Movimientos!$D$2:$D$5000,$A249,Movimientos!$C$2:$C$5000,"Baja desde reparación")</f>
        <v>200</v>
      </c>
      <c r="Q249" s="45">
        <f>SUMIFS(Movimientos!$F$2:$F$5000,Movimientos!$D$2:$D$5000,$A249,Movimientos!$C$2:$C$5000,"Salida alquiler")-SUMIFS(Movimientos!$F$2:$F$5000,Movimientos!$D$2:$D$5000,$A249,Movimientos!$C$2:$C$5000,"Retorno alquiler")-SUMIFS(Movimientos!$F$2:$F$5000,Movimientos!$D$2:$D$5000,$A249,Movimientos!$C$2:$C$5000,"Consumido en evento")-SUMIFS(Movimientos!$F$2:$F$5000,Movimientos!$D$2:$D$5000,$A249,Movimientos!$C$2:$C$5000,"A reparación")</f>
        <v>0</v>
      </c>
      <c r="R249" s="45">
        <f>SUMIFS(Movimientos!$F$2:$F$5000,Movimientos!$D$2:$D$5000,$A249,Movimientos!$C$2:$C$5000,"A reparación")-SUMIFS(Movimientos!$F$2:$F$5000,Movimientos!$D$2:$D$5000,$A249,Movimientos!$C$2:$C$5000,"Retorno reparación")-SUMIFS(Movimientos!$F$2:$F$5000,Movimientos!$D$2:$D$5000,$A249,Movimientos!$C$2:$C$5000,"Baja desde reparación")</f>
        <v>0</v>
      </c>
      <c r="S249" s="45">
        <f>P249-Q249-R249</f>
        <v>200</v>
      </c>
    </row>
    <row r="250" spans="1:19">
      <c r="A250" s="15" t="s">
        <v>1161</v>
      </c>
      <c r="B250" s="15" t="s">
        <v>1162</v>
      </c>
      <c r="C250" s="42" t="s">
        <v>1163</v>
      </c>
      <c r="D250" s="15" t="s">
        <v>101</v>
      </c>
      <c r="E250" s="42" t="s">
        <v>1164</v>
      </c>
      <c r="F250" s="43">
        <v>1</v>
      </c>
      <c r="G250" s="15" t="s">
        <v>110</v>
      </c>
      <c r="H250" s="44">
        <v>1</v>
      </c>
      <c r="I250" s="15" t="s">
        <v>104</v>
      </c>
      <c r="J250" s="15" t="s">
        <v>33</v>
      </c>
      <c r="K250" s="15" t="s">
        <v>35</v>
      </c>
      <c r="L250" s="15" t="s">
        <v>1165</v>
      </c>
      <c r="M250" s="15" t="s">
        <v>38</v>
      </c>
      <c r="N250" s="15"/>
      <c r="O250" s="15"/>
      <c r="P250" s="45">
        <f>H250+SUMIFS(Movimientos!$F$2:$F$5000,Movimientos!$D$2:$D$5000,$A250,Movimientos!$C$2:$C$5000,"Ingreso inventario")+SUMIFS(Movimientos!$F$2:$F$5000,Movimientos!$D$2:$D$5000,$A250,Movimientos!$C$2:$C$5000,"Ajuste")-SUMIFS(Movimientos!$F$2:$F$5000,Movimientos!$D$2:$D$5000,$A250,Movimientos!$C$2:$C$5000,"Consumido en evento")-SUMIFS(Movimientos!$F$2:$F$5000,Movimientos!$D$2:$D$5000,$A250,Movimientos!$C$2:$C$5000,"Consumo interno")-SUMIFS(Movimientos!$F$2:$F$5000,Movimientos!$D$2:$D$5000,$A250,Movimientos!$C$2:$C$5000,"Baja")-SUMIFS(Movimientos!$F$2:$F$5000,Movimientos!$D$2:$D$5000,$A250,Movimientos!$C$2:$C$5000,"Baja desde reparación")</f>
        <v>1</v>
      </c>
      <c r="Q250" s="45">
        <f>SUMIFS(Movimientos!$F$2:$F$5000,Movimientos!$D$2:$D$5000,$A250,Movimientos!$C$2:$C$5000,"Salida alquiler")-SUMIFS(Movimientos!$F$2:$F$5000,Movimientos!$D$2:$D$5000,$A250,Movimientos!$C$2:$C$5000,"Retorno alquiler")-SUMIFS(Movimientos!$F$2:$F$5000,Movimientos!$D$2:$D$5000,$A250,Movimientos!$C$2:$C$5000,"Consumido en evento")-SUMIFS(Movimientos!$F$2:$F$5000,Movimientos!$D$2:$D$5000,$A250,Movimientos!$C$2:$C$5000,"A reparación")</f>
        <v>0</v>
      </c>
      <c r="R250" s="45">
        <f>SUMIFS(Movimientos!$F$2:$F$5000,Movimientos!$D$2:$D$5000,$A250,Movimientos!$C$2:$C$5000,"A reparación")-SUMIFS(Movimientos!$F$2:$F$5000,Movimientos!$D$2:$D$5000,$A250,Movimientos!$C$2:$C$5000,"Retorno reparación")-SUMIFS(Movimientos!$F$2:$F$5000,Movimientos!$D$2:$D$5000,$A250,Movimientos!$C$2:$C$5000,"Baja desde reparación")</f>
        <v>0</v>
      </c>
      <c r="S250" s="45">
        <f>P250-Q250-R250</f>
        <v>1</v>
      </c>
    </row>
    <row r="251" spans="1:19">
      <c r="A251" s="15" t="s">
        <v>1166</v>
      </c>
      <c r="B251" s="15" t="s">
        <v>1167</v>
      </c>
      <c r="C251" s="42" t="s">
        <v>1168</v>
      </c>
      <c r="D251" s="15" t="s">
        <v>101</v>
      </c>
      <c r="E251" s="42" t="s">
        <v>1169</v>
      </c>
      <c r="F251" s="43">
        <v>1</v>
      </c>
      <c r="G251" s="15" t="s">
        <v>110</v>
      </c>
      <c r="H251" s="44">
        <v>4</v>
      </c>
      <c r="I251" s="15" t="s">
        <v>104</v>
      </c>
      <c r="J251" s="15" t="s">
        <v>33</v>
      </c>
      <c r="K251" s="15" t="s">
        <v>35</v>
      </c>
      <c r="L251" s="15" t="s">
        <v>1170</v>
      </c>
      <c r="M251" s="15" t="s">
        <v>38</v>
      </c>
      <c r="N251" s="15"/>
      <c r="O251" s="15"/>
      <c r="P251" s="45">
        <f>H251+SUMIFS(Movimientos!$F$2:$F$5000,Movimientos!$D$2:$D$5000,$A251,Movimientos!$C$2:$C$5000,"Ingreso inventario")+SUMIFS(Movimientos!$F$2:$F$5000,Movimientos!$D$2:$D$5000,$A251,Movimientos!$C$2:$C$5000,"Ajuste")-SUMIFS(Movimientos!$F$2:$F$5000,Movimientos!$D$2:$D$5000,$A251,Movimientos!$C$2:$C$5000,"Consumido en evento")-SUMIFS(Movimientos!$F$2:$F$5000,Movimientos!$D$2:$D$5000,$A251,Movimientos!$C$2:$C$5000,"Consumo interno")-SUMIFS(Movimientos!$F$2:$F$5000,Movimientos!$D$2:$D$5000,$A251,Movimientos!$C$2:$C$5000,"Baja")-SUMIFS(Movimientos!$F$2:$F$5000,Movimientos!$D$2:$D$5000,$A251,Movimientos!$C$2:$C$5000,"Baja desde reparación")</f>
        <v>4</v>
      </c>
      <c r="Q251" s="45">
        <f>SUMIFS(Movimientos!$F$2:$F$5000,Movimientos!$D$2:$D$5000,$A251,Movimientos!$C$2:$C$5000,"Salida alquiler")-SUMIFS(Movimientos!$F$2:$F$5000,Movimientos!$D$2:$D$5000,$A251,Movimientos!$C$2:$C$5000,"Retorno alquiler")-SUMIFS(Movimientos!$F$2:$F$5000,Movimientos!$D$2:$D$5000,$A251,Movimientos!$C$2:$C$5000,"Consumido en evento")-SUMIFS(Movimientos!$F$2:$F$5000,Movimientos!$D$2:$D$5000,$A251,Movimientos!$C$2:$C$5000,"A reparación")</f>
        <v>0</v>
      </c>
      <c r="R251" s="45">
        <f>SUMIFS(Movimientos!$F$2:$F$5000,Movimientos!$D$2:$D$5000,$A251,Movimientos!$C$2:$C$5000,"A reparación")-SUMIFS(Movimientos!$F$2:$F$5000,Movimientos!$D$2:$D$5000,$A251,Movimientos!$C$2:$C$5000,"Retorno reparación")-SUMIFS(Movimientos!$F$2:$F$5000,Movimientos!$D$2:$D$5000,$A251,Movimientos!$C$2:$C$5000,"Baja desde reparación")</f>
        <v>0</v>
      </c>
      <c r="S251" s="45">
        <f>P251-Q251-R251</f>
        <v>4</v>
      </c>
    </row>
    <row r="252" spans="1:19">
      <c r="A252" s="15" t="s">
        <v>1171</v>
      </c>
      <c r="B252" s="15" t="s">
        <v>1172</v>
      </c>
      <c r="C252" s="42" t="s">
        <v>1173</v>
      </c>
      <c r="D252" s="15" t="s">
        <v>101</v>
      </c>
      <c r="E252" s="42" t="s">
        <v>1174</v>
      </c>
      <c r="F252" s="43">
        <v>1</v>
      </c>
      <c r="G252" s="15" t="s">
        <v>110</v>
      </c>
      <c r="H252" s="44">
        <v>4</v>
      </c>
      <c r="I252" s="15" t="s">
        <v>104</v>
      </c>
      <c r="J252" s="15" t="s">
        <v>33</v>
      </c>
      <c r="K252" s="15" t="s">
        <v>35</v>
      </c>
      <c r="L252" s="15" t="s">
        <v>1175</v>
      </c>
      <c r="M252" s="15" t="s">
        <v>38</v>
      </c>
      <c r="N252" s="15"/>
      <c r="O252" s="15"/>
      <c r="P252" s="45">
        <f>H252+SUMIFS(Movimientos!$F$2:$F$5000,Movimientos!$D$2:$D$5000,$A252,Movimientos!$C$2:$C$5000,"Ingreso inventario")+SUMIFS(Movimientos!$F$2:$F$5000,Movimientos!$D$2:$D$5000,$A252,Movimientos!$C$2:$C$5000,"Ajuste")-SUMIFS(Movimientos!$F$2:$F$5000,Movimientos!$D$2:$D$5000,$A252,Movimientos!$C$2:$C$5000,"Consumido en evento")-SUMIFS(Movimientos!$F$2:$F$5000,Movimientos!$D$2:$D$5000,$A252,Movimientos!$C$2:$C$5000,"Consumo interno")-SUMIFS(Movimientos!$F$2:$F$5000,Movimientos!$D$2:$D$5000,$A252,Movimientos!$C$2:$C$5000,"Baja")-SUMIFS(Movimientos!$F$2:$F$5000,Movimientos!$D$2:$D$5000,$A252,Movimientos!$C$2:$C$5000,"Baja desde reparación")</f>
        <v>4</v>
      </c>
      <c r="Q252" s="45">
        <f>SUMIFS(Movimientos!$F$2:$F$5000,Movimientos!$D$2:$D$5000,$A252,Movimientos!$C$2:$C$5000,"Salida alquiler")-SUMIFS(Movimientos!$F$2:$F$5000,Movimientos!$D$2:$D$5000,$A252,Movimientos!$C$2:$C$5000,"Retorno alquiler")-SUMIFS(Movimientos!$F$2:$F$5000,Movimientos!$D$2:$D$5000,$A252,Movimientos!$C$2:$C$5000,"Consumido en evento")-SUMIFS(Movimientos!$F$2:$F$5000,Movimientos!$D$2:$D$5000,$A252,Movimientos!$C$2:$C$5000,"A reparación")</f>
        <v>0</v>
      </c>
      <c r="R252" s="45">
        <f>SUMIFS(Movimientos!$F$2:$F$5000,Movimientos!$D$2:$D$5000,$A252,Movimientos!$C$2:$C$5000,"A reparación")-SUMIFS(Movimientos!$F$2:$F$5000,Movimientos!$D$2:$D$5000,$A252,Movimientos!$C$2:$C$5000,"Retorno reparación")-SUMIFS(Movimientos!$F$2:$F$5000,Movimientos!$D$2:$D$5000,$A252,Movimientos!$C$2:$C$5000,"Baja desde reparación")</f>
        <v>0</v>
      </c>
      <c r="S252" s="45">
        <f>P252-Q252-R252</f>
        <v>4</v>
      </c>
    </row>
    <row r="253" spans="1:19">
      <c r="A253" s="15" t="s">
        <v>1176</v>
      </c>
      <c r="B253" s="15" t="s">
        <v>1177</v>
      </c>
      <c r="C253" s="42" t="s">
        <v>1178</v>
      </c>
      <c r="D253" s="15" t="s">
        <v>101</v>
      </c>
      <c r="E253" s="42" t="s">
        <v>1179</v>
      </c>
      <c r="F253" s="43">
        <v>1</v>
      </c>
      <c r="G253" s="15" t="s">
        <v>1180</v>
      </c>
      <c r="H253" s="44">
        <v>1</v>
      </c>
      <c r="I253" s="15" t="s">
        <v>104</v>
      </c>
      <c r="J253" s="15" t="s">
        <v>33</v>
      </c>
      <c r="K253" s="15" t="s">
        <v>35</v>
      </c>
      <c r="L253" s="15"/>
      <c r="M253" s="15" t="s">
        <v>38</v>
      </c>
      <c r="N253" s="15"/>
      <c r="O253" s="15"/>
      <c r="P253" s="45">
        <f>H253+SUMIFS(Movimientos!$F$2:$F$5000,Movimientos!$D$2:$D$5000,$A253,Movimientos!$C$2:$C$5000,"Ingreso inventario")+SUMIFS(Movimientos!$F$2:$F$5000,Movimientos!$D$2:$D$5000,$A253,Movimientos!$C$2:$C$5000,"Ajuste")-SUMIFS(Movimientos!$F$2:$F$5000,Movimientos!$D$2:$D$5000,$A253,Movimientos!$C$2:$C$5000,"Consumido en evento")-SUMIFS(Movimientos!$F$2:$F$5000,Movimientos!$D$2:$D$5000,$A253,Movimientos!$C$2:$C$5000,"Consumo interno")-SUMIFS(Movimientos!$F$2:$F$5000,Movimientos!$D$2:$D$5000,$A253,Movimientos!$C$2:$C$5000,"Baja")-SUMIFS(Movimientos!$F$2:$F$5000,Movimientos!$D$2:$D$5000,$A253,Movimientos!$C$2:$C$5000,"Baja desde reparación")</f>
        <v>1</v>
      </c>
      <c r="Q253" s="45">
        <f>SUMIFS(Movimientos!$F$2:$F$5000,Movimientos!$D$2:$D$5000,$A253,Movimientos!$C$2:$C$5000,"Salida alquiler")-SUMIFS(Movimientos!$F$2:$F$5000,Movimientos!$D$2:$D$5000,$A253,Movimientos!$C$2:$C$5000,"Retorno alquiler")-SUMIFS(Movimientos!$F$2:$F$5000,Movimientos!$D$2:$D$5000,$A253,Movimientos!$C$2:$C$5000,"Consumido en evento")-SUMIFS(Movimientos!$F$2:$F$5000,Movimientos!$D$2:$D$5000,$A253,Movimientos!$C$2:$C$5000,"A reparación")</f>
        <v>0</v>
      </c>
      <c r="R253" s="45">
        <f>SUMIFS(Movimientos!$F$2:$F$5000,Movimientos!$D$2:$D$5000,$A253,Movimientos!$C$2:$C$5000,"A reparación")-SUMIFS(Movimientos!$F$2:$F$5000,Movimientos!$D$2:$D$5000,$A253,Movimientos!$C$2:$C$5000,"Retorno reparación")-SUMIFS(Movimientos!$F$2:$F$5000,Movimientos!$D$2:$D$5000,$A253,Movimientos!$C$2:$C$5000,"Baja desde reparación")</f>
        <v>0</v>
      </c>
      <c r="S253" s="45">
        <f>P253-Q253-R253</f>
        <v>1</v>
      </c>
    </row>
    <row r="254" spans="1:19">
      <c r="A254" s="15" t="s">
        <v>1181</v>
      </c>
      <c r="B254" s="15" t="s">
        <v>1182</v>
      </c>
      <c r="C254" s="42"/>
      <c r="D254" s="15" t="s">
        <v>101</v>
      </c>
      <c r="E254" s="42"/>
      <c r="F254" s="43">
        <v>1</v>
      </c>
      <c r="G254" s="15" t="s">
        <v>226</v>
      </c>
      <c r="H254" s="44">
        <v>0</v>
      </c>
      <c r="I254" s="15" t="s">
        <v>104</v>
      </c>
      <c r="J254" s="15" t="s">
        <v>33</v>
      </c>
      <c r="K254" s="15" t="s">
        <v>35</v>
      </c>
      <c r="L254" s="15"/>
      <c r="M254" s="15" t="s">
        <v>38</v>
      </c>
      <c r="N254" s="15"/>
      <c r="O254" s="15"/>
      <c r="P254" s="45">
        <f>H254+SUMIFS(Movimientos!$F$2:$F$5000,Movimientos!$D$2:$D$5000,$A254,Movimientos!$C$2:$C$5000,"Ingreso inventario")+SUMIFS(Movimientos!$F$2:$F$5000,Movimientos!$D$2:$D$5000,$A254,Movimientos!$C$2:$C$5000,"Ajuste")-SUMIFS(Movimientos!$F$2:$F$5000,Movimientos!$D$2:$D$5000,$A254,Movimientos!$C$2:$C$5000,"Consumido en evento")-SUMIFS(Movimientos!$F$2:$F$5000,Movimientos!$D$2:$D$5000,$A254,Movimientos!$C$2:$C$5000,"Consumo interno")-SUMIFS(Movimientos!$F$2:$F$5000,Movimientos!$D$2:$D$5000,$A254,Movimientos!$C$2:$C$5000,"Baja")-SUMIFS(Movimientos!$F$2:$F$5000,Movimientos!$D$2:$D$5000,$A254,Movimientos!$C$2:$C$5000,"Baja desde reparación")</f>
        <v>0</v>
      </c>
      <c r="Q254" s="45">
        <f>SUMIFS(Movimientos!$F$2:$F$5000,Movimientos!$D$2:$D$5000,$A254,Movimientos!$C$2:$C$5000,"Salida alquiler")-SUMIFS(Movimientos!$F$2:$F$5000,Movimientos!$D$2:$D$5000,$A254,Movimientos!$C$2:$C$5000,"Retorno alquiler")-SUMIFS(Movimientos!$F$2:$F$5000,Movimientos!$D$2:$D$5000,$A254,Movimientos!$C$2:$C$5000,"Consumido en evento")-SUMIFS(Movimientos!$F$2:$F$5000,Movimientos!$D$2:$D$5000,$A254,Movimientos!$C$2:$C$5000,"A reparación")</f>
        <v>0</v>
      </c>
      <c r="R254" s="45">
        <f>SUMIFS(Movimientos!$F$2:$F$5000,Movimientos!$D$2:$D$5000,$A254,Movimientos!$C$2:$C$5000,"A reparación")-SUMIFS(Movimientos!$F$2:$F$5000,Movimientos!$D$2:$D$5000,$A254,Movimientos!$C$2:$C$5000,"Retorno reparación")-SUMIFS(Movimientos!$F$2:$F$5000,Movimientos!$D$2:$D$5000,$A254,Movimientos!$C$2:$C$5000,"Baja desde reparación")</f>
        <v>0</v>
      </c>
      <c r="S254" s="45">
        <f>P254-Q254-R254</f>
        <v>0</v>
      </c>
    </row>
    <row r="255" spans="1:19">
      <c r="A255" s="15" t="s">
        <v>1183</v>
      </c>
      <c r="B255" s="15" t="s">
        <v>1184</v>
      </c>
      <c r="C255" s="42" t="s">
        <v>1185</v>
      </c>
      <c r="D255" s="15" t="s">
        <v>101</v>
      </c>
      <c r="E255" s="42" t="s">
        <v>1186</v>
      </c>
      <c r="F255" s="43">
        <v>1</v>
      </c>
      <c r="G255" s="15" t="s">
        <v>1187</v>
      </c>
      <c r="H255" s="44">
        <v>9</v>
      </c>
      <c r="I255" s="15" t="s">
        <v>104</v>
      </c>
      <c r="J255" s="15" t="s">
        <v>33</v>
      </c>
      <c r="K255" s="15" t="s">
        <v>35</v>
      </c>
      <c r="L255" s="15"/>
      <c r="M255" s="15" t="s">
        <v>38</v>
      </c>
      <c r="N255" s="15"/>
      <c r="O255" s="15"/>
      <c r="P255" s="45">
        <f>H255+SUMIFS(Movimientos!$F$2:$F$5000,Movimientos!$D$2:$D$5000,$A255,Movimientos!$C$2:$C$5000,"Ingreso inventario")+SUMIFS(Movimientos!$F$2:$F$5000,Movimientos!$D$2:$D$5000,$A255,Movimientos!$C$2:$C$5000,"Ajuste")-SUMIFS(Movimientos!$F$2:$F$5000,Movimientos!$D$2:$D$5000,$A255,Movimientos!$C$2:$C$5000,"Consumido en evento")-SUMIFS(Movimientos!$F$2:$F$5000,Movimientos!$D$2:$D$5000,$A255,Movimientos!$C$2:$C$5000,"Consumo interno")-SUMIFS(Movimientos!$F$2:$F$5000,Movimientos!$D$2:$D$5000,$A255,Movimientos!$C$2:$C$5000,"Baja")-SUMIFS(Movimientos!$F$2:$F$5000,Movimientos!$D$2:$D$5000,$A255,Movimientos!$C$2:$C$5000,"Baja desde reparación")</f>
        <v>9</v>
      </c>
      <c r="Q255" s="45">
        <f>SUMIFS(Movimientos!$F$2:$F$5000,Movimientos!$D$2:$D$5000,$A255,Movimientos!$C$2:$C$5000,"Salida alquiler")-SUMIFS(Movimientos!$F$2:$F$5000,Movimientos!$D$2:$D$5000,$A255,Movimientos!$C$2:$C$5000,"Retorno alquiler")-SUMIFS(Movimientos!$F$2:$F$5000,Movimientos!$D$2:$D$5000,$A255,Movimientos!$C$2:$C$5000,"Consumido en evento")-SUMIFS(Movimientos!$F$2:$F$5000,Movimientos!$D$2:$D$5000,$A255,Movimientos!$C$2:$C$5000,"A reparación")</f>
        <v>0</v>
      </c>
      <c r="R255" s="45">
        <f>SUMIFS(Movimientos!$F$2:$F$5000,Movimientos!$D$2:$D$5000,$A255,Movimientos!$C$2:$C$5000,"A reparación")-SUMIFS(Movimientos!$F$2:$F$5000,Movimientos!$D$2:$D$5000,$A255,Movimientos!$C$2:$C$5000,"Retorno reparación")-SUMIFS(Movimientos!$F$2:$F$5000,Movimientos!$D$2:$D$5000,$A255,Movimientos!$C$2:$C$5000,"Baja desde reparación")</f>
        <v>0</v>
      </c>
      <c r="S255" s="45">
        <f>P255-Q255-R255</f>
        <v>9</v>
      </c>
    </row>
    <row r="256" spans="1:19">
      <c r="A256" s="15" t="s">
        <v>1188</v>
      </c>
      <c r="B256" s="15" t="s">
        <v>1189</v>
      </c>
      <c r="C256" s="42"/>
      <c r="D256" s="15" t="s">
        <v>101</v>
      </c>
      <c r="E256" s="42"/>
      <c r="F256" s="43">
        <v>1</v>
      </c>
      <c r="G256" s="15" t="s">
        <v>1187</v>
      </c>
      <c r="H256" s="44">
        <v>0</v>
      </c>
      <c r="I256" s="15" t="s">
        <v>104</v>
      </c>
      <c r="J256" s="15" t="s">
        <v>33</v>
      </c>
      <c r="K256" s="15" t="s">
        <v>35</v>
      </c>
      <c r="L256" s="15"/>
      <c r="M256" s="15" t="s">
        <v>38</v>
      </c>
      <c r="N256" s="15"/>
      <c r="O256" s="15"/>
      <c r="P256" s="45">
        <f>H256+SUMIFS(Movimientos!$F$2:$F$5000,Movimientos!$D$2:$D$5000,$A256,Movimientos!$C$2:$C$5000,"Ingreso inventario")+SUMIFS(Movimientos!$F$2:$F$5000,Movimientos!$D$2:$D$5000,$A256,Movimientos!$C$2:$C$5000,"Ajuste")-SUMIFS(Movimientos!$F$2:$F$5000,Movimientos!$D$2:$D$5000,$A256,Movimientos!$C$2:$C$5000,"Consumido en evento")-SUMIFS(Movimientos!$F$2:$F$5000,Movimientos!$D$2:$D$5000,$A256,Movimientos!$C$2:$C$5000,"Consumo interno")-SUMIFS(Movimientos!$F$2:$F$5000,Movimientos!$D$2:$D$5000,$A256,Movimientos!$C$2:$C$5000,"Baja")-SUMIFS(Movimientos!$F$2:$F$5000,Movimientos!$D$2:$D$5000,$A256,Movimientos!$C$2:$C$5000,"Baja desde reparación")</f>
        <v>0</v>
      </c>
      <c r="Q256" s="45">
        <f>SUMIFS(Movimientos!$F$2:$F$5000,Movimientos!$D$2:$D$5000,$A256,Movimientos!$C$2:$C$5000,"Salida alquiler")-SUMIFS(Movimientos!$F$2:$F$5000,Movimientos!$D$2:$D$5000,$A256,Movimientos!$C$2:$C$5000,"Retorno alquiler")-SUMIFS(Movimientos!$F$2:$F$5000,Movimientos!$D$2:$D$5000,$A256,Movimientos!$C$2:$C$5000,"Consumido en evento")-SUMIFS(Movimientos!$F$2:$F$5000,Movimientos!$D$2:$D$5000,$A256,Movimientos!$C$2:$C$5000,"A reparación")</f>
        <v>0</v>
      </c>
      <c r="R256" s="45">
        <f>SUMIFS(Movimientos!$F$2:$F$5000,Movimientos!$D$2:$D$5000,$A256,Movimientos!$C$2:$C$5000,"A reparación")-SUMIFS(Movimientos!$F$2:$F$5000,Movimientos!$D$2:$D$5000,$A256,Movimientos!$C$2:$C$5000,"Retorno reparación")-SUMIFS(Movimientos!$F$2:$F$5000,Movimientos!$D$2:$D$5000,$A256,Movimientos!$C$2:$C$5000,"Baja desde reparación")</f>
        <v>0</v>
      </c>
      <c r="S256" s="45">
        <f>P256-Q256-R256</f>
        <v>0</v>
      </c>
    </row>
    <row r="257" spans="1:19">
      <c r="A257" s="15" t="s">
        <v>1190</v>
      </c>
      <c r="B257" s="15" t="s">
        <v>1191</v>
      </c>
      <c r="C257" s="42"/>
      <c r="D257" s="15" t="s">
        <v>101</v>
      </c>
      <c r="E257" s="42"/>
      <c r="F257" s="43">
        <v>1</v>
      </c>
      <c r="G257" s="15" t="s">
        <v>558</v>
      </c>
      <c r="H257" s="44">
        <v>200</v>
      </c>
      <c r="I257" s="15" t="s">
        <v>559</v>
      </c>
      <c r="J257" s="15" t="s">
        <v>33</v>
      </c>
      <c r="K257" s="15" t="s">
        <v>35</v>
      </c>
      <c r="L257" s="15"/>
      <c r="M257" s="15" t="s">
        <v>38</v>
      </c>
      <c r="N257" s="15"/>
      <c r="O257" s="15"/>
      <c r="P257" s="45">
        <f>H257+SUMIFS(Movimientos!$F$2:$F$5000,Movimientos!$D$2:$D$5000,$A257,Movimientos!$C$2:$C$5000,"Ingreso inventario")+SUMIFS(Movimientos!$F$2:$F$5000,Movimientos!$D$2:$D$5000,$A257,Movimientos!$C$2:$C$5000,"Ajuste")-SUMIFS(Movimientos!$F$2:$F$5000,Movimientos!$D$2:$D$5000,$A257,Movimientos!$C$2:$C$5000,"Consumido en evento")-SUMIFS(Movimientos!$F$2:$F$5000,Movimientos!$D$2:$D$5000,$A257,Movimientos!$C$2:$C$5000,"Consumo interno")-SUMIFS(Movimientos!$F$2:$F$5000,Movimientos!$D$2:$D$5000,$A257,Movimientos!$C$2:$C$5000,"Baja")-SUMIFS(Movimientos!$F$2:$F$5000,Movimientos!$D$2:$D$5000,$A257,Movimientos!$C$2:$C$5000,"Baja desde reparación")</f>
        <v>200</v>
      </c>
      <c r="Q257" s="45">
        <f>SUMIFS(Movimientos!$F$2:$F$5000,Movimientos!$D$2:$D$5000,$A257,Movimientos!$C$2:$C$5000,"Salida alquiler")-SUMIFS(Movimientos!$F$2:$F$5000,Movimientos!$D$2:$D$5000,$A257,Movimientos!$C$2:$C$5000,"Retorno alquiler")-SUMIFS(Movimientos!$F$2:$F$5000,Movimientos!$D$2:$D$5000,$A257,Movimientos!$C$2:$C$5000,"Consumido en evento")-SUMIFS(Movimientos!$F$2:$F$5000,Movimientos!$D$2:$D$5000,$A257,Movimientos!$C$2:$C$5000,"A reparación")</f>
        <v>0</v>
      </c>
      <c r="R257" s="45">
        <f>SUMIFS(Movimientos!$F$2:$F$5000,Movimientos!$D$2:$D$5000,$A257,Movimientos!$C$2:$C$5000,"A reparación")-SUMIFS(Movimientos!$F$2:$F$5000,Movimientos!$D$2:$D$5000,$A257,Movimientos!$C$2:$C$5000,"Retorno reparación")-SUMIFS(Movimientos!$F$2:$F$5000,Movimientos!$D$2:$D$5000,$A257,Movimientos!$C$2:$C$5000,"Baja desde reparación")</f>
        <v>0</v>
      </c>
      <c r="S257" s="45">
        <f>P257-Q257-R257</f>
        <v>200</v>
      </c>
    </row>
    <row r="258" spans="1:19">
      <c r="A258" s="15" t="s">
        <v>1192</v>
      </c>
      <c r="B258" s="15" t="s">
        <v>1193</v>
      </c>
      <c r="C258" s="42" t="s">
        <v>1194</v>
      </c>
      <c r="D258" s="15" t="s">
        <v>101</v>
      </c>
      <c r="E258" s="42" t="s">
        <v>1195</v>
      </c>
      <c r="F258" s="43">
        <v>1</v>
      </c>
      <c r="G258" s="15" t="s">
        <v>241</v>
      </c>
      <c r="H258" s="44">
        <v>1</v>
      </c>
      <c r="I258" s="15" t="s">
        <v>104</v>
      </c>
      <c r="J258" s="15" t="s">
        <v>33</v>
      </c>
      <c r="K258" s="15" t="s">
        <v>35</v>
      </c>
      <c r="L258" s="15"/>
      <c r="M258" s="15" t="s">
        <v>38</v>
      </c>
      <c r="N258" s="15"/>
      <c r="O258" s="15"/>
      <c r="P258" s="45">
        <f>H258+SUMIFS(Movimientos!$F$2:$F$5000,Movimientos!$D$2:$D$5000,$A258,Movimientos!$C$2:$C$5000,"Ingreso inventario")+SUMIFS(Movimientos!$F$2:$F$5000,Movimientos!$D$2:$D$5000,$A258,Movimientos!$C$2:$C$5000,"Ajuste")-SUMIFS(Movimientos!$F$2:$F$5000,Movimientos!$D$2:$D$5000,$A258,Movimientos!$C$2:$C$5000,"Consumido en evento")-SUMIFS(Movimientos!$F$2:$F$5000,Movimientos!$D$2:$D$5000,$A258,Movimientos!$C$2:$C$5000,"Consumo interno")-SUMIFS(Movimientos!$F$2:$F$5000,Movimientos!$D$2:$D$5000,$A258,Movimientos!$C$2:$C$5000,"Baja")-SUMIFS(Movimientos!$F$2:$F$5000,Movimientos!$D$2:$D$5000,$A258,Movimientos!$C$2:$C$5000,"Baja desde reparación")</f>
        <v>1</v>
      </c>
      <c r="Q258" s="45">
        <f>SUMIFS(Movimientos!$F$2:$F$5000,Movimientos!$D$2:$D$5000,$A258,Movimientos!$C$2:$C$5000,"Salida alquiler")-SUMIFS(Movimientos!$F$2:$F$5000,Movimientos!$D$2:$D$5000,$A258,Movimientos!$C$2:$C$5000,"Retorno alquiler")-SUMIFS(Movimientos!$F$2:$F$5000,Movimientos!$D$2:$D$5000,$A258,Movimientos!$C$2:$C$5000,"Consumido en evento")-SUMIFS(Movimientos!$F$2:$F$5000,Movimientos!$D$2:$D$5000,$A258,Movimientos!$C$2:$C$5000,"A reparación")</f>
        <v>0</v>
      </c>
      <c r="R258" s="45">
        <f>SUMIFS(Movimientos!$F$2:$F$5000,Movimientos!$D$2:$D$5000,$A258,Movimientos!$C$2:$C$5000,"A reparación")-SUMIFS(Movimientos!$F$2:$F$5000,Movimientos!$D$2:$D$5000,$A258,Movimientos!$C$2:$C$5000,"Retorno reparación")-SUMIFS(Movimientos!$F$2:$F$5000,Movimientos!$D$2:$D$5000,$A258,Movimientos!$C$2:$C$5000,"Baja desde reparación")</f>
        <v>0</v>
      </c>
      <c r="S258" s="45">
        <f>P258-Q258-R258</f>
        <v>1</v>
      </c>
    </row>
    <row r="259" spans="1:19">
      <c r="A259" s="15" t="s">
        <v>1196</v>
      </c>
      <c r="B259" s="15" t="s">
        <v>1197</v>
      </c>
      <c r="C259" s="42" t="s">
        <v>1198</v>
      </c>
      <c r="D259" s="15" t="s">
        <v>101</v>
      </c>
      <c r="E259" s="42" t="s">
        <v>1199</v>
      </c>
      <c r="F259" s="43">
        <v>1</v>
      </c>
      <c r="G259" s="15" t="s">
        <v>110</v>
      </c>
      <c r="H259" s="44">
        <v>1</v>
      </c>
      <c r="I259" s="15" t="s">
        <v>104</v>
      </c>
      <c r="J259" s="15" t="s">
        <v>33</v>
      </c>
      <c r="K259" s="15" t="s">
        <v>35</v>
      </c>
      <c r="L259" s="15" t="s">
        <v>1200</v>
      </c>
      <c r="M259" s="15" t="s">
        <v>38</v>
      </c>
      <c r="N259" s="15"/>
      <c r="O259" s="15"/>
      <c r="P259" s="45">
        <f>H259+SUMIFS(Movimientos!$F$2:$F$5000,Movimientos!$D$2:$D$5000,$A259,Movimientos!$C$2:$C$5000,"Ingreso inventario")+SUMIFS(Movimientos!$F$2:$F$5000,Movimientos!$D$2:$D$5000,$A259,Movimientos!$C$2:$C$5000,"Ajuste")-SUMIFS(Movimientos!$F$2:$F$5000,Movimientos!$D$2:$D$5000,$A259,Movimientos!$C$2:$C$5000,"Consumido en evento")-SUMIFS(Movimientos!$F$2:$F$5000,Movimientos!$D$2:$D$5000,$A259,Movimientos!$C$2:$C$5000,"Consumo interno")-SUMIFS(Movimientos!$F$2:$F$5000,Movimientos!$D$2:$D$5000,$A259,Movimientos!$C$2:$C$5000,"Baja")-SUMIFS(Movimientos!$F$2:$F$5000,Movimientos!$D$2:$D$5000,$A259,Movimientos!$C$2:$C$5000,"Baja desde reparación")</f>
        <v>1</v>
      </c>
      <c r="Q259" s="45">
        <f>SUMIFS(Movimientos!$F$2:$F$5000,Movimientos!$D$2:$D$5000,$A259,Movimientos!$C$2:$C$5000,"Salida alquiler")-SUMIFS(Movimientos!$F$2:$F$5000,Movimientos!$D$2:$D$5000,$A259,Movimientos!$C$2:$C$5000,"Retorno alquiler")-SUMIFS(Movimientos!$F$2:$F$5000,Movimientos!$D$2:$D$5000,$A259,Movimientos!$C$2:$C$5000,"Consumido en evento")-SUMIFS(Movimientos!$F$2:$F$5000,Movimientos!$D$2:$D$5000,$A259,Movimientos!$C$2:$C$5000,"A reparación")</f>
        <v>0</v>
      </c>
      <c r="R259" s="45">
        <f>SUMIFS(Movimientos!$F$2:$F$5000,Movimientos!$D$2:$D$5000,$A259,Movimientos!$C$2:$C$5000,"A reparación")-SUMIFS(Movimientos!$F$2:$F$5000,Movimientos!$D$2:$D$5000,$A259,Movimientos!$C$2:$C$5000,"Retorno reparación")-SUMIFS(Movimientos!$F$2:$F$5000,Movimientos!$D$2:$D$5000,$A259,Movimientos!$C$2:$C$5000,"Baja desde reparación")</f>
        <v>0</v>
      </c>
      <c r="S259" s="45">
        <f>P259-Q259-R259</f>
        <v>1</v>
      </c>
    </row>
    <row r="260" spans="1:19">
      <c r="A260" s="15" t="s">
        <v>1201</v>
      </c>
      <c r="B260" s="15" t="s">
        <v>1202</v>
      </c>
      <c r="C260" s="42" t="s">
        <v>1203</v>
      </c>
      <c r="D260" s="15" t="s">
        <v>101</v>
      </c>
      <c r="E260" s="42" t="s">
        <v>1204</v>
      </c>
      <c r="F260" s="43">
        <v>1</v>
      </c>
      <c r="G260" s="15" t="s">
        <v>110</v>
      </c>
      <c r="H260" s="44">
        <v>11</v>
      </c>
      <c r="I260" s="15" t="s">
        <v>104</v>
      </c>
      <c r="J260" s="15" t="s">
        <v>33</v>
      </c>
      <c r="K260" s="15" t="s">
        <v>35</v>
      </c>
      <c r="L260" s="15" t="s">
        <v>1205</v>
      </c>
      <c r="M260" s="15" t="s">
        <v>38</v>
      </c>
      <c r="N260" s="15"/>
      <c r="O260" s="15"/>
      <c r="P260" s="45">
        <f>H260+SUMIFS(Movimientos!$F$2:$F$5000,Movimientos!$D$2:$D$5000,$A260,Movimientos!$C$2:$C$5000,"Ingreso inventario")+SUMIFS(Movimientos!$F$2:$F$5000,Movimientos!$D$2:$D$5000,$A260,Movimientos!$C$2:$C$5000,"Ajuste")-SUMIFS(Movimientos!$F$2:$F$5000,Movimientos!$D$2:$D$5000,$A260,Movimientos!$C$2:$C$5000,"Consumido en evento")-SUMIFS(Movimientos!$F$2:$F$5000,Movimientos!$D$2:$D$5000,$A260,Movimientos!$C$2:$C$5000,"Consumo interno")-SUMIFS(Movimientos!$F$2:$F$5000,Movimientos!$D$2:$D$5000,$A260,Movimientos!$C$2:$C$5000,"Baja")-SUMIFS(Movimientos!$F$2:$F$5000,Movimientos!$D$2:$D$5000,$A260,Movimientos!$C$2:$C$5000,"Baja desde reparación")</f>
        <v>11</v>
      </c>
      <c r="Q260" s="45">
        <f>SUMIFS(Movimientos!$F$2:$F$5000,Movimientos!$D$2:$D$5000,$A260,Movimientos!$C$2:$C$5000,"Salida alquiler")-SUMIFS(Movimientos!$F$2:$F$5000,Movimientos!$D$2:$D$5000,$A260,Movimientos!$C$2:$C$5000,"Retorno alquiler")-SUMIFS(Movimientos!$F$2:$F$5000,Movimientos!$D$2:$D$5000,$A260,Movimientos!$C$2:$C$5000,"Consumido en evento")-SUMIFS(Movimientos!$F$2:$F$5000,Movimientos!$D$2:$D$5000,$A260,Movimientos!$C$2:$C$5000,"A reparación")</f>
        <v>0</v>
      </c>
      <c r="R260" s="45">
        <f>SUMIFS(Movimientos!$F$2:$F$5000,Movimientos!$D$2:$D$5000,$A260,Movimientos!$C$2:$C$5000,"A reparación")-SUMIFS(Movimientos!$F$2:$F$5000,Movimientos!$D$2:$D$5000,$A260,Movimientos!$C$2:$C$5000,"Retorno reparación")-SUMIFS(Movimientos!$F$2:$F$5000,Movimientos!$D$2:$D$5000,$A260,Movimientos!$C$2:$C$5000,"Baja desde reparación")</f>
        <v>0</v>
      </c>
      <c r="S260" s="45">
        <f>P260-Q260-R260</f>
        <v>11</v>
      </c>
    </row>
    <row r="261" spans="1:19">
      <c r="A261" s="15" t="s">
        <v>1206</v>
      </c>
      <c r="B261" s="15" t="s">
        <v>1207</v>
      </c>
      <c r="C261" s="42" t="s">
        <v>1208</v>
      </c>
      <c r="D261" s="15" t="s">
        <v>101</v>
      </c>
      <c r="E261" s="42" t="s">
        <v>1209</v>
      </c>
      <c r="F261" s="43">
        <v>1</v>
      </c>
      <c r="G261" s="15" t="s">
        <v>110</v>
      </c>
      <c r="H261" s="44">
        <v>12</v>
      </c>
      <c r="I261" s="15" t="s">
        <v>104</v>
      </c>
      <c r="J261" s="15" t="s">
        <v>33</v>
      </c>
      <c r="K261" s="15" t="s">
        <v>35</v>
      </c>
      <c r="L261" s="15" t="s">
        <v>1210</v>
      </c>
      <c r="M261" s="15" t="s">
        <v>38</v>
      </c>
      <c r="N261" s="15"/>
      <c r="O261" s="15"/>
      <c r="P261" s="45">
        <f>H261+SUMIFS(Movimientos!$F$2:$F$5000,Movimientos!$D$2:$D$5000,$A261,Movimientos!$C$2:$C$5000,"Ingreso inventario")+SUMIFS(Movimientos!$F$2:$F$5000,Movimientos!$D$2:$D$5000,$A261,Movimientos!$C$2:$C$5000,"Ajuste")-SUMIFS(Movimientos!$F$2:$F$5000,Movimientos!$D$2:$D$5000,$A261,Movimientos!$C$2:$C$5000,"Consumido en evento")-SUMIFS(Movimientos!$F$2:$F$5000,Movimientos!$D$2:$D$5000,$A261,Movimientos!$C$2:$C$5000,"Consumo interno")-SUMIFS(Movimientos!$F$2:$F$5000,Movimientos!$D$2:$D$5000,$A261,Movimientos!$C$2:$C$5000,"Baja")-SUMIFS(Movimientos!$F$2:$F$5000,Movimientos!$D$2:$D$5000,$A261,Movimientos!$C$2:$C$5000,"Baja desde reparación")</f>
        <v>12</v>
      </c>
      <c r="Q261" s="45">
        <f>SUMIFS(Movimientos!$F$2:$F$5000,Movimientos!$D$2:$D$5000,$A261,Movimientos!$C$2:$C$5000,"Salida alquiler")-SUMIFS(Movimientos!$F$2:$F$5000,Movimientos!$D$2:$D$5000,$A261,Movimientos!$C$2:$C$5000,"Retorno alquiler")-SUMIFS(Movimientos!$F$2:$F$5000,Movimientos!$D$2:$D$5000,$A261,Movimientos!$C$2:$C$5000,"Consumido en evento")-SUMIFS(Movimientos!$F$2:$F$5000,Movimientos!$D$2:$D$5000,$A261,Movimientos!$C$2:$C$5000,"A reparación")</f>
        <v>0</v>
      </c>
      <c r="R261" s="45">
        <f>SUMIFS(Movimientos!$F$2:$F$5000,Movimientos!$D$2:$D$5000,$A261,Movimientos!$C$2:$C$5000,"A reparación")-SUMIFS(Movimientos!$F$2:$F$5000,Movimientos!$D$2:$D$5000,$A261,Movimientos!$C$2:$C$5000,"Retorno reparación")-SUMIFS(Movimientos!$F$2:$F$5000,Movimientos!$D$2:$D$5000,$A261,Movimientos!$C$2:$C$5000,"Baja desde reparación")</f>
        <v>0</v>
      </c>
      <c r="S261" s="45">
        <f>P261-Q261-R261</f>
        <v>12</v>
      </c>
    </row>
    <row r="262" spans="1:19">
      <c r="A262" s="15" t="s">
        <v>1211</v>
      </c>
      <c r="B262" s="15" t="s">
        <v>1212</v>
      </c>
      <c r="C262" s="42" t="s">
        <v>1213</v>
      </c>
      <c r="D262" s="15" t="s">
        <v>101</v>
      </c>
      <c r="E262" s="42" t="s">
        <v>1214</v>
      </c>
      <c r="F262" s="43">
        <v>1</v>
      </c>
      <c r="G262" s="15" t="s">
        <v>1215</v>
      </c>
      <c r="H262" s="44">
        <v>1</v>
      </c>
      <c r="I262" s="15" t="s">
        <v>104</v>
      </c>
      <c r="J262" s="15" t="s">
        <v>33</v>
      </c>
      <c r="K262" s="15" t="s">
        <v>35</v>
      </c>
      <c r="L262" s="15" t="s">
        <v>1216</v>
      </c>
      <c r="M262" s="15" t="s">
        <v>38</v>
      </c>
      <c r="N262" s="15"/>
      <c r="O262" s="15"/>
      <c r="P262" s="45">
        <f>H262+SUMIFS(Movimientos!$F$2:$F$5000,Movimientos!$D$2:$D$5000,$A262,Movimientos!$C$2:$C$5000,"Ingreso inventario")+SUMIFS(Movimientos!$F$2:$F$5000,Movimientos!$D$2:$D$5000,$A262,Movimientos!$C$2:$C$5000,"Ajuste")-SUMIFS(Movimientos!$F$2:$F$5000,Movimientos!$D$2:$D$5000,$A262,Movimientos!$C$2:$C$5000,"Consumido en evento")-SUMIFS(Movimientos!$F$2:$F$5000,Movimientos!$D$2:$D$5000,$A262,Movimientos!$C$2:$C$5000,"Consumo interno")-SUMIFS(Movimientos!$F$2:$F$5000,Movimientos!$D$2:$D$5000,$A262,Movimientos!$C$2:$C$5000,"Baja")-SUMIFS(Movimientos!$F$2:$F$5000,Movimientos!$D$2:$D$5000,$A262,Movimientos!$C$2:$C$5000,"Baja desde reparación")</f>
        <v>1</v>
      </c>
      <c r="Q262" s="45">
        <f>SUMIFS(Movimientos!$F$2:$F$5000,Movimientos!$D$2:$D$5000,$A262,Movimientos!$C$2:$C$5000,"Salida alquiler")-SUMIFS(Movimientos!$F$2:$F$5000,Movimientos!$D$2:$D$5000,$A262,Movimientos!$C$2:$C$5000,"Retorno alquiler")-SUMIFS(Movimientos!$F$2:$F$5000,Movimientos!$D$2:$D$5000,$A262,Movimientos!$C$2:$C$5000,"Consumido en evento")-SUMIFS(Movimientos!$F$2:$F$5000,Movimientos!$D$2:$D$5000,$A262,Movimientos!$C$2:$C$5000,"A reparación")</f>
        <v>0</v>
      </c>
      <c r="R262" s="45">
        <f>SUMIFS(Movimientos!$F$2:$F$5000,Movimientos!$D$2:$D$5000,$A262,Movimientos!$C$2:$C$5000,"A reparación")-SUMIFS(Movimientos!$F$2:$F$5000,Movimientos!$D$2:$D$5000,$A262,Movimientos!$C$2:$C$5000,"Retorno reparación")-SUMIFS(Movimientos!$F$2:$F$5000,Movimientos!$D$2:$D$5000,$A262,Movimientos!$C$2:$C$5000,"Baja desde reparación")</f>
        <v>0</v>
      </c>
      <c r="S262" s="45">
        <f>P262-Q262-R262</f>
        <v>1</v>
      </c>
    </row>
    <row r="263" spans="1:19">
      <c r="A263" s="15" t="s">
        <v>1217</v>
      </c>
      <c r="B263" s="15" t="s">
        <v>1218</v>
      </c>
      <c r="C263" s="42" t="s">
        <v>1219</v>
      </c>
      <c r="D263" s="15" t="s">
        <v>101</v>
      </c>
      <c r="E263" s="42" t="s">
        <v>1220</v>
      </c>
      <c r="F263" s="43">
        <v>1</v>
      </c>
      <c r="G263" s="15" t="s">
        <v>163</v>
      </c>
      <c r="H263" s="44">
        <v>280</v>
      </c>
      <c r="I263" s="15" t="s">
        <v>104</v>
      </c>
      <c r="J263" s="15" t="s">
        <v>33</v>
      </c>
      <c r="K263" s="15" t="s">
        <v>35</v>
      </c>
      <c r="L263" s="15"/>
      <c r="M263" s="15" t="s">
        <v>38</v>
      </c>
      <c r="N263" s="15"/>
      <c r="O263" s="15"/>
      <c r="P263" s="45">
        <f>H263+SUMIFS(Movimientos!$F$2:$F$5000,Movimientos!$D$2:$D$5000,$A263,Movimientos!$C$2:$C$5000,"Ingreso inventario")+SUMIFS(Movimientos!$F$2:$F$5000,Movimientos!$D$2:$D$5000,$A263,Movimientos!$C$2:$C$5000,"Ajuste")-SUMIFS(Movimientos!$F$2:$F$5000,Movimientos!$D$2:$D$5000,$A263,Movimientos!$C$2:$C$5000,"Consumido en evento")-SUMIFS(Movimientos!$F$2:$F$5000,Movimientos!$D$2:$D$5000,$A263,Movimientos!$C$2:$C$5000,"Consumo interno")-SUMIFS(Movimientos!$F$2:$F$5000,Movimientos!$D$2:$D$5000,$A263,Movimientos!$C$2:$C$5000,"Baja")-SUMIFS(Movimientos!$F$2:$F$5000,Movimientos!$D$2:$D$5000,$A263,Movimientos!$C$2:$C$5000,"Baja desde reparación")</f>
        <v>280</v>
      </c>
      <c r="Q263" s="45">
        <f>SUMIFS(Movimientos!$F$2:$F$5000,Movimientos!$D$2:$D$5000,$A263,Movimientos!$C$2:$C$5000,"Salida alquiler")-SUMIFS(Movimientos!$F$2:$F$5000,Movimientos!$D$2:$D$5000,$A263,Movimientos!$C$2:$C$5000,"Retorno alquiler")-SUMIFS(Movimientos!$F$2:$F$5000,Movimientos!$D$2:$D$5000,$A263,Movimientos!$C$2:$C$5000,"Consumido en evento")-SUMIFS(Movimientos!$F$2:$F$5000,Movimientos!$D$2:$D$5000,$A263,Movimientos!$C$2:$C$5000,"A reparación")</f>
        <v>0</v>
      </c>
      <c r="R263" s="45">
        <f>SUMIFS(Movimientos!$F$2:$F$5000,Movimientos!$D$2:$D$5000,$A263,Movimientos!$C$2:$C$5000,"A reparación")-SUMIFS(Movimientos!$F$2:$F$5000,Movimientos!$D$2:$D$5000,$A263,Movimientos!$C$2:$C$5000,"Retorno reparación")-SUMIFS(Movimientos!$F$2:$F$5000,Movimientos!$D$2:$D$5000,$A263,Movimientos!$C$2:$C$5000,"Baja desde reparación")</f>
        <v>0</v>
      </c>
      <c r="S263" s="45">
        <f>P263-Q263-R263</f>
        <v>280</v>
      </c>
    </row>
    <row r="264" spans="1:19">
      <c r="A264" s="15" t="s">
        <v>1221</v>
      </c>
      <c r="B264" s="15" t="s">
        <v>1222</v>
      </c>
      <c r="C264" s="42" t="s">
        <v>1223</v>
      </c>
      <c r="D264" s="15" t="s">
        <v>101</v>
      </c>
      <c r="E264" s="42" t="s">
        <v>1224</v>
      </c>
      <c r="F264" s="43">
        <v>1</v>
      </c>
      <c r="G264" s="15" t="s">
        <v>163</v>
      </c>
      <c r="H264" s="44">
        <v>12</v>
      </c>
      <c r="I264" s="15" t="s">
        <v>104</v>
      </c>
      <c r="J264" s="15" t="s">
        <v>33</v>
      </c>
      <c r="K264" s="15" t="s">
        <v>35</v>
      </c>
      <c r="L264" s="15"/>
      <c r="M264" s="15" t="s">
        <v>38</v>
      </c>
      <c r="N264" s="15"/>
      <c r="O264" s="15"/>
      <c r="P264" s="45">
        <f>H264+SUMIFS(Movimientos!$F$2:$F$5000,Movimientos!$D$2:$D$5000,$A264,Movimientos!$C$2:$C$5000,"Ingreso inventario")+SUMIFS(Movimientos!$F$2:$F$5000,Movimientos!$D$2:$D$5000,$A264,Movimientos!$C$2:$C$5000,"Ajuste")-SUMIFS(Movimientos!$F$2:$F$5000,Movimientos!$D$2:$D$5000,$A264,Movimientos!$C$2:$C$5000,"Consumido en evento")-SUMIFS(Movimientos!$F$2:$F$5000,Movimientos!$D$2:$D$5000,$A264,Movimientos!$C$2:$C$5000,"Consumo interno")-SUMIFS(Movimientos!$F$2:$F$5000,Movimientos!$D$2:$D$5000,$A264,Movimientos!$C$2:$C$5000,"Baja")-SUMIFS(Movimientos!$F$2:$F$5000,Movimientos!$D$2:$D$5000,$A264,Movimientos!$C$2:$C$5000,"Baja desde reparación")</f>
        <v>12</v>
      </c>
      <c r="Q264" s="45">
        <f>SUMIFS(Movimientos!$F$2:$F$5000,Movimientos!$D$2:$D$5000,$A264,Movimientos!$C$2:$C$5000,"Salida alquiler")-SUMIFS(Movimientos!$F$2:$F$5000,Movimientos!$D$2:$D$5000,$A264,Movimientos!$C$2:$C$5000,"Retorno alquiler")-SUMIFS(Movimientos!$F$2:$F$5000,Movimientos!$D$2:$D$5000,$A264,Movimientos!$C$2:$C$5000,"Consumido en evento")-SUMIFS(Movimientos!$F$2:$F$5000,Movimientos!$D$2:$D$5000,$A264,Movimientos!$C$2:$C$5000,"A reparación")</f>
        <v>0</v>
      </c>
      <c r="R264" s="45">
        <f>SUMIFS(Movimientos!$F$2:$F$5000,Movimientos!$D$2:$D$5000,$A264,Movimientos!$C$2:$C$5000,"A reparación")-SUMIFS(Movimientos!$F$2:$F$5000,Movimientos!$D$2:$D$5000,$A264,Movimientos!$C$2:$C$5000,"Retorno reparación")-SUMIFS(Movimientos!$F$2:$F$5000,Movimientos!$D$2:$D$5000,$A264,Movimientos!$C$2:$C$5000,"Baja desde reparación")</f>
        <v>0</v>
      </c>
      <c r="S264" s="45">
        <f>P264-Q264-R264</f>
        <v>12</v>
      </c>
    </row>
    <row r="265" spans="1:19">
      <c r="A265" s="15" t="s">
        <v>1225</v>
      </c>
      <c r="B265" s="15" t="s">
        <v>1226</v>
      </c>
      <c r="C265" s="42" t="s">
        <v>1227</v>
      </c>
      <c r="D265" s="15" t="s">
        <v>101</v>
      </c>
      <c r="E265" s="42" t="s">
        <v>1228</v>
      </c>
      <c r="F265" s="43">
        <v>1</v>
      </c>
      <c r="G265" s="15" t="s">
        <v>163</v>
      </c>
      <c r="H265" s="44">
        <v>12</v>
      </c>
      <c r="I265" s="15" t="s">
        <v>104</v>
      </c>
      <c r="J265" s="15" t="s">
        <v>33</v>
      </c>
      <c r="K265" s="15" t="s">
        <v>35</v>
      </c>
      <c r="L265" s="15"/>
      <c r="M265" s="15" t="s">
        <v>38</v>
      </c>
      <c r="N265" s="15"/>
      <c r="O265" s="15"/>
      <c r="P265" s="45">
        <f>H265+SUMIFS(Movimientos!$F$2:$F$5000,Movimientos!$D$2:$D$5000,$A265,Movimientos!$C$2:$C$5000,"Ingreso inventario")+SUMIFS(Movimientos!$F$2:$F$5000,Movimientos!$D$2:$D$5000,$A265,Movimientos!$C$2:$C$5000,"Ajuste")-SUMIFS(Movimientos!$F$2:$F$5000,Movimientos!$D$2:$D$5000,$A265,Movimientos!$C$2:$C$5000,"Consumido en evento")-SUMIFS(Movimientos!$F$2:$F$5000,Movimientos!$D$2:$D$5000,$A265,Movimientos!$C$2:$C$5000,"Consumo interno")-SUMIFS(Movimientos!$F$2:$F$5000,Movimientos!$D$2:$D$5000,$A265,Movimientos!$C$2:$C$5000,"Baja")-SUMIFS(Movimientos!$F$2:$F$5000,Movimientos!$D$2:$D$5000,$A265,Movimientos!$C$2:$C$5000,"Baja desde reparación")</f>
        <v>12</v>
      </c>
      <c r="Q265" s="45">
        <f>SUMIFS(Movimientos!$F$2:$F$5000,Movimientos!$D$2:$D$5000,$A265,Movimientos!$C$2:$C$5000,"Salida alquiler")-SUMIFS(Movimientos!$F$2:$F$5000,Movimientos!$D$2:$D$5000,$A265,Movimientos!$C$2:$C$5000,"Retorno alquiler")-SUMIFS(Movimientos!$F$2:$F$5000,Movimientos!$D$2:$D$5000,$A265,Movimientos!$C$2:$C$5000,"Consumido en evento")-SUMIFS(Movimientos!$F$2:$F$5000,Movimientos!$D$2:$D$5000,$A265,Movimientos!$C$2:$C$5000,"A reparación")</f>
        <v>0</v>
      </c>
      <c r="R265" s="45">
        <f>SUMIFS(Movimientos!$F$2:$F$5000,Movimientos!$D$2:$D$5000,$A265,Movimientos!$C$2:$C$5000,"A reparación")-SUMIFS(Movimientos!$F$2:$F$5000,Movimientos!$D$2:$D$5000,$A265,Movimientos!$C$2:$C$5000,"Retorno reparación")-SUMIFS(Movimientos!$F$2:$F$5000,Movimientos!$D$2:$D$5000,$A265,Movimientos!$C$2:$C$5000,"Baja desde reparación")</f>
        <v>0</v>
      </c>
      <c r="S265" s="45">
        <f>P265-Q265-R265</f>
        <v>12</v>
      </c>
    </row>
    <row r="266" spans="1:19">
      <c r="A266" s="15" t="s">
        <v>1229</v>
      </c>
      <c r="B266" s="15" t="s">
        <v>1230</v>
      </c>
      <c r="C266" s="42" t="s">
        <v>1231</v>
      </c>
      <c r="D266" s="15" t="s">
        <v>101</v>
      </c>
      <c r="E266" s="42" t="s">
        <v>1232</v>
      </c>
      <c r="F266" s="43">
        <v>1</v>
      </c>
      <c r="G266" s="15" t="s">
        <v>163</v>
      </c>
      <c r="H266" s="44">
        <v>8</v>
      </c>
      <c r="I266" s="15" t="s">
        <v>104</v>
      </c>
      <c r="J266" s="15" t="s">
        <v>33</v>
      </c>
      <c r="K266" s="15" t="s">
        <v>35</v>
      </c>
      <c r="L266" s="15"/>
      <c r="M266" s="15" t="s">
        <v>38</v>
      </c>
      <c r="N266" s="15"/>
      <c r="O266" s="15"/>
      <c r="P266" s="45">
        <f>H266+SUMIFS(Movimientos!$F$2:$F$5000,Movimientos!$D$2:$D$5000,$A266,Movimientos!$C$2:$C$5000,"Ingreso inventario")+SUMIFS(Movimientos!$F$2:$F$5000,Movimientos!$D$2:$D$5000,$A266,Movimientos!$C$2:$C$5000,"Ajuste")-SUMIFS(Movimientos!$F$2:$F$5000,Movimientos!$D$2:$D$5000,$A266,Movimientos!$C$2:$C$5000,"Consumido en evento")-SUMIFS(Movimientos!$F$2:$F$5000,Movimientos!$D$2:$D$5000,$A266,Movimientos!$C$2:$C$5000,"Consumo interno")-SUMIFS(Movimientos!$F$2:$F$5000,Movimientos!$D$2:$D$5000,$A266,Movimientos!$C$2:$C$5000,"Baja")-SUMIFS(Movimientos!$F$2:$F$5000,Movimientos!$D$2:$D$5000,$A266,Movimientos!$C$2:$C$5000,"Baja desde reparación")</f>
        <v>8</v>
      </c>
      <c r="Q266" s="45">
        <f>SUMIFS(Movimientos!$F$2:$F$5000,Movimientos!$D$2:$D$5000,$A266,Movimientos!$C$2:$C$5000,"Salida alquiler")-SUMIFS(Movimientos!$F$2:$F$5000,Movimientos!$D$2:$D$5000,$A266,Movimientos!$C$2:$C$5000,"Retorno alquiler")-SUMIFS(Movimientos!$F$2:$F$5000,Movimientos!$D$2:$D$5000,$A266,Movimientos!$C$2:$C$5000,"Consumido en evento")-SUMIFS(Movimientos!$F$2:$F$5000,Movimientos!$D$2:$D$5000,$A266,Movimientos!$C$2:$C$5000,"A reparación")</f>
        <v>0</v>
      </c>
      <c r="R266" s="45">
        <f>SUMIFS(Movimientos!$F$2:$F$5000,Movimientos!$D$2:$D$5000,$A266,Movimientos!$C$2:$C$5000,"A reparación")-SUMIFS(Movimientos!$F$2:$F$5000,Movimientos!$D$2:$D$5000,$A266,Movimientos!$C$2:$C$5000,"Retorno reparación")-SUMIFS(Movimientos!$F$2:$F$5000,Movimientos!$D$2:$D$5000,$A266,Movimientos!$C$2:$C$5000,"Baja desde reparación")</f>
        <v>0</v>
      </c>
      <c r="S266" s="45">
        <f>P266-Q266-R266</f>
        <v>8</v>
      </c>
    </row>
    <row r="267" spans="1:19">
      <c r="A267" s="15" t="s">
        <v>1233</v>
      </c>
      <c r="B267" s="15" t="s">
        <v>1234</v>
      </c>
      <c r="C267" s="42" t="s">
        <v>1235</v>
      </c>
      <c r="D267" s="15" t="s">
        <v>101</v>
      </c>
      <c r="E267" s="42" t="s">
        <v>1236</v>
      </c>
      <c r="F267" s="43">
        <v>1</v>
      </c>
      <c r="G267" s="15" t="s">
        <v>163</v>
      </c>
      <c r="H267" s="44">
        <v>84</v>
      </c>
      <c r="I267" s="15" t="s">
        <v>104</v>
      </c>
      <c r="J267" s="15" t="s">
        <v>33</v>
      </c>
      <c r="K267" s="15" t="s">
        <v>35</v>
      </c>
      <c r="L267" s="15"/>
      <c r="M267" s="15" t="s">
        <v>38</v>
      </c>
      <c r="N267" s="15"/>
      <c r="O267" s="15"/>
      <c r="P267" s="45">
        <f>H267+SUMIFS(Movimientos!$F$2:$F$5000,Movimientos!$D$2:$D$5000,$A267,Movimientos!$C$2:$C$5000,"Ingreso inventario")+SUMIFS(Movimientos!$F$2:$F$5000,Movimientos!$D$2:$D$5000,$A267,Movimientos!$C$2:$C$5000,"Ajuste")-SUMIFS(Movimientos!$F$2:$F$5000,Movimientos!$D$2:$D$5000,$A267,Movimientos!$C$2:$C$5000,"Consumido en evento")-SUMIFS(Movimientos!$F$2:$F$5000,Movimientos!$D$2:$D$5000,$A267,Movimientos!$C$2:$C$5000,"Consumo interno")-SUMIFS(Movimientos!$F$2:$F$5000,Movimientos!$D$2:$D$5000,$A267,Movimientos!$C$2:$C$5000,"Baja")-SUMIFS(Movimientos!$F$2:$F$5000,Movimientos!$D$2:$D$5000,$A267,Movimientos!$C$2:$C$5000,"Baja desde reparación")</f>
        <v>84</v>
      </c>
      <c r="Q267" s="45">
        <f>SUMIFS(Movimientos!$F$2:$F$5000,Movimientos!$D$2:$D$5000,$A267,Movimientos!$C$2:$C$5000,"Salida alquiler")-SUMIFS(Movimientos!$F$2:$F$5000,Movimientos!$D$2:$D$5000,$A267,Movimientos!$C$2:$C$5000,"Retorno alquiler")-SUMIFS(Movimientos!$F$2:$F$5000,Movimientos!$D$2:$D$5000,$A267,Movimientos!$C$2:$C$5000,"Consumido en evento")-SUMIFS(Movimientos!$F$2:$F$5000,Movimientos!$D$2:$D$5000,$A267,Movimientos!$C$2:$C$5000,"A reparación")</f>
        <v>0</v>
      </c>
      <c r="R267" s="45">
        <f>SUMIFS(Movimientos!$F$2:$F$5000,Movimientos!$D$2:$D$5000,$A267,Movimientos!$C$2:$C$5000,"A reparación")-SUMIFS(Movimientos!$F$2:$F$5000,Movimientos!$D$2:$D$5000,$A267,Movimientos!$C$2:$C$5000,"Retorno reparación")-SUMIFS(Movimientos!$F$2:$F$5000,Movimientos!$D$2:$D$5000,$A267,Movimientos!$C$2:$C$5000,"Baja desde reparación")</f>
        <v>0</v>
      </c>
      <c r="S267" s="45">
        <f>P267-Q267-R267</f>
        <v>84</v>
      </c>
    </row>
    <row r="268" spans="1:19">
      <c r="A268" s="15" t="s">
        <v>1237</v>
      </c>
      <c r="B268" s="15" t="s">
        <v>1238</v>
      </c>
      <c r="C268" s="42" t="s">
        <v>1239</v>
      </c>
      <c r="D268" s="15" t="s">
        <v>101</v>
      </c>
      <c r="E268" s="42" t="s">
        <v>1240</v>
      </c>
      <c r="F268" s="43">
        <v>1</v>
      </c>
      <c r="G268" s="15" t="s">
        <v>1241</v>
      </c>
      <c r="H268" s="44">
        <v>2</v>
      </c>
      <c r="I268" s="15" t="s">
        <v>104</v>
      </c>
      <c r="J268" s="15" t="s">
        <v>33</v>
      </c>
      <c r="K268" s="15" t="s">
        <v>35</v>
      </c>
      <c r="L268" s="15" t="s">
        <v>1242</v>
      </c>
      <c r="M268" s="15" t="s">
        <v>38</v>
      </c>
      <c r="N268" s="15"/>
      <c r="O268" s="15"/>
      <c r="P268" s="45">
        <f>H268+SUMIFS(Movimientos!$F$2:$F$5000,Movimientos!$D$2:$D$5000,$A268,Movimientos!$C$2:$C$5000,"Ingreso inventario")+SUMIFS(Movimientos!$F$2:$F$5000,Movimientos!$D$2:$D$5000,$A268,Movimientos!$C$2:$C$5000,"Ajuste")-SUMIFS(Movimientos!$F$2:$F$5000,Movimientos!$D$2:$D$5000,$A268,Movimientos!$C$2:$C$5000,"Consumido en evento")-SUMIFS(Movimientos!$F$2:$F$5000,Movimientos!$D$2:$D$5000,$A268,Movimientos!$C$2:$C$5000,"Consumo interno")-SUMIFS(Movimientos!$F$2:$F$5000,Movimientos!$D$2:$D$5000,$A268,Movimientos!$C$2:$C$5000,"Baja")-SUMIFS(Movimientos!$F$2:$F$5000,Movimientos!$D$2:$D$5000,$A268,Movimientos!$C$2:$C$5000,"Baja desde reparación")</f>
        <v>2</v>
      </c>
      <c r="Q268" s="45">
        <f>SUMIFS(Movimientos!$F$2:$F$5000,Movimientos!$D$2:$D$5000,$A268,Movimientos!$C$2:$C$5000,"Salida alquiler")-SUMIFS(Movimientos!$F$2:$F$5000,Movimientos!$D$2:$D$5000,$A268,Movimientos!$C$2:$C$5000,"Retorno alquiler")-SUMIFS(Movimientos!$F$2:$F$5000,Movimientos!$D$2:$D$5000,$A268,Movimientos!$C$2:$C$5000,"Consumido en evento")-SUMIFS(Movimientos!$F$2:$F$5000,Movimientos!$D$2:$D$5000,$A268,Movimientos!$C$2:$C$5000,"A reparación")</f>
        <v>0</v>
      </c>
      <c r="R268" s="45">
        <f>SUMIFS(Movimientos!$F$2:$F$5000,Movimientos!$D$2:$D$5000,$A268,Movimientos!$C$2:$C$5000,"A reparación")-SUMIFS(Movimientos!$F$2:$F$5000,Movimientos!$D$2:$D$5000,$A268,Movimientos!$C$2:$C$5000,"Retorno reparación")-SUMIFS(Movimientos!$F$2:$F$5000,Movimientos!$D$2:$D$5000,$A268,Movimientos!$C$2:$C$5000,"Baja desde reparación")</f>
        <v>0</v>
      </c>
      <c r="S268" s="45">
        <f>P268-Q268-R268</f>
        <v>2</v>
      </c>
    </row>
    <row r="269" spans="1:19">
      <c r="A269" s="15" t="s">
        <v>1243</v>
      </c>
      <c r="B269" s="15" t="s">
        <v>1244</v>
      </c>
      <c r="C269" s="42" t="s">
        <v>1245</v>
      </c>
      <c r="D269" s="15" t="s">
        <v>101</v>
      </c>
      <c r="E269" s="42" t="s">
        <v>1246</v>
      </c>
      <c r="F269" s="43">
        <v>1</v>
      </c>
      <c r="G269" s="15" t="s">
        <v>163</v>
      </c>
      <c r="H269" s="44">
        <v>100</v>
      </c>
      <c r="I269" s="15" t="s">
        <v>104</v>
      </c>
      <c r="J269" s="15" t="s">
        <v>33</v>
      </c>
      <c r="K269" s="15" t="s">
        <v>35</v>
      </c>
      <c r="L269" s="15" t="s">
        <v>1247</v>
      </c>
      <c r="M269" s="15" t="s">
        <v>38</v>
      </c>
      <c r="N269" s="15"/>
      <c r="O269" s="15"/>
      <c r="P269" s="45">
        <f>H269+SUMIFS(Movimientos!$F$2:$F$5000,Movimientos!$D$2:$D$5000,$A269,Movimientos!$C$2:$C$5000,"Ingreso inventario")+SUMIFS(Movimientos!$F$2:$F$5000,Movimientos!$D$2:$D$5000,$A269,Movimientos!$C$2:$C$5000,"Ajuste")-SUMIFS(Movimientos!$F$2:$F$5000,Movimientos!$D$2:$D$5000,$A269,Movimientos!$C$2:$C$5000,"Consumido en evento")-SUMIFS(Movimientos!$F$2:$F$5000,Movimientos!$D$2:$D$5000,$A269,Movimientos!$C$2:$C$5000,"Consumo interno")-SUMIFS(Movimientos!$F$2:$F$5000,Movimientos!$D$2:$D$5000,$A269,Movimientos!$C$2:$C$5000,"Baja")-SUMIFS(Movimientos!$F$2:$F$5000,Movimientos!$D$2:$D$5000,$A269,Movimientos!$C$2:$C$5000,"Baja desde reparación")</f>
        <v>100</v>
      </c>
      <c r="Q269" s="45">
        <f>SUMIFS(Movimientos!$F$2:$F$5000,Movimientos!$D$2:$D$5000,$A269,Movimientos!$C$2:$C$5000,"Salida alquiler")-SUMIFS(Movimientos!$F$2:$F$5000,Movimientos!$D$2:$D$5000,$A269,Movimientos!$C$2:$C$5000,"Retorno alquiler")-SUMIFS(Movimientos!$F$2:$F$5000,Movimientos!$D$2:$D$5000,$A269,Movimientos!$C$2:$C$5000,"Consumido en evento")-SUMIFS(Movimientos!$F$2:$F$5000,Movimientos!$D$2:$D$5000,$A269,Movimientos!$C$2:$C$5000,"A reparación")</f>
        <v>0</v>
      </c>
      <c r="R269" s="45">
        <f>SUMIFS(Movimientos!$F$2:$F$5000,Movimientos!$D$2:$D$5000,$A269,Movimientos!$C$2:$C$5000,"A reparación")-SUMIFS(Movimientos!$F$2:$F$5000,Movimientos!$D$2:$D$5000,$A269,Movimientos!$C$2:$C$5000,"Retorno reparación")-SUMIFS(Movimientos!$F$2:$F$5000,Movimientos!$D$2:$D$5000,$A269,Movimientos!$C$2:$C$5000,"Baja desde reparación")</f>
        <v>0</v>
      </c>
      <c r="S269" s="45">
        <f>P269-Q269-R269</f>
        <v>100</v>
      </c>
    </row>
    <row r="270" spans="1:19">
      <c r="A270" s="15" t="s">
        <v>1248</v>
      </c>
      <c r="B270" s="15" t="s">
        <v>1249</v>
      </c>
      <c r="C270" s="42" t="s">
        <v>1250</v>
      </c>
      <c r="D270" s="15" t="s">
        <v>101</v>
      </c>
      <c r="E270" s="42" t="s">
        <v>1251</v>
      </c>
      <c r="F270" s="43">
        <v>1</v>
      </c>
      <c r="G270" s="15" t="s">
        <v>168</v>
      </c>
      <c r="H270" s="44">
        <v>2</v>
      </c>
      <c r="I270" s="15" t="s">
        <v>104</v>
      </c>
      <c r="J270" s="15" t="s">
        <v>33</v>
      </c>
      <c r="K270" s="15" t="s">
        <v>35</v>
      </c>
      <c r="L270" s="15"/>
      <c r="M270" s="15" t="s">
        <v>38</v>
      </c>
      <c r="N270" s="15"/>
      <c r="O270" s="15"/>
      <c r="P270" s="45">
        <f>H270+SUMIFS(Movimientos!$F$2:$F$5000,Movimientos!$D$2:$D$5000,$A270,Movimientos!$C$2:$C$5000,"Ingreso inventario")+SUMIFS(Movimientos!$F$2:$F$5000,Movimientos!$D$2:$D$5000,$A270,Movimientos!$C$2:$C$5000,"Ajuste")-SUMIFS(Movimientos!$F$2:$F$5000,Movimientos!$D$2:$D$5000,$A270,Movimientos!$C$2:$C$5000,"Consumido en evento")-SUMIFS(Movimientos!$F$2:$F$5000,Movimientos!$D$2:$D$5000,$A270,Movimientos!$C$2:$C$5000,"Consumo interno")-SUMIFS(Movimientos!$F$2:$F$5000,Movimientos!$D$2:$D$5000,$A270,Movimientos!$C$2:$C$5000,"Baja")-SUMIFS(Movimientos!$F$2:$F$5000,Movimientos!$D$2:$D$5000,$A270,Movimientos!$C$2:$C$5000,"Baja desde reparación")</f>
        <v>2</v>
      </c>
      <c r="Q270" s="45">
        <f>SUMIFS(Movimientos!$F$2:$F$5000,Movimientos!$D$2:$D$5000,$A270,Movimientos!$C$2:$C$5000,"Salida alquiler")-SUMIFS(Movimientos!$F$2:$F$5000,Movimientos!$D$2:$D$5000,$A270,Movimientos!$C$2:$C$5000,"Retorno alquiler")-SUMIFS(Movimientos!$F$2:$F$5000,Movimientos!$D$2:$D$5000,$A270,Movimientos!$C$2:$C$5000,"Consumido en evento")-SUMIFS(Movimientos!$F$2:$F$5000,Movimientos!$D$2:$D$5000,$A270,Movimientos!$C$2:$C$5000,"A reparación")</f>
        <v>0</v>
      </c>
      <c r="R270" s="45">
        <f>SUMIFS(Movimientos!$F$2:$F$5000,Movimientos!$D$2:$D$5000,$A270,Movimientos!$C$2:$C$5000,"A reparación")-SUMIFS(Movimientos!$F$2:$F$5000,Movimientos!$D$2:$D$5000,$A270,Movimientos!$C$2:$C$5000,"Retorno reparación")-SUMIFS(Movimientos!$F$2:$F$5000,Movimientos!$D$2:$D$5000,$A270,Movimientos!$C$2:$C$5000,"Baja desde reparación")</f>
        <v>0</v>
      </c>
      <c r="S270" s="45">
        <f>P270-Q270-R270</f>
        <v>2</v>
      </c>
    </row>
    <row r="271" spans="1:19">
      <c r="A271" s="15" t="s">
        <v>1252</v>
      </c>
      <c r="B271" s="15" t="s">
        <v>1253</v>
      </c>
      <c r="C271" s="42" t="s">
        <v>1254</v>
      </c>
      <c r="D271" s="15" t="s">
        <v>101</v>
      </c>
      <c r="E271" s="42" t="s">
        <v>1255</v>
      </c>
      <c r="F271" s="43">
        <v>1</v>
      </c>
      <c r="G271" s="15" t="s">
        <v>168</v>
      </c>
      <c r="H271" s="44">
        <v>4</v>
      </c>
      <c r="I271" s="15" t="s">
        <v>104</v>
      </c>
      <c r="J271" s="15" t="s">
        <v>33</v>
      </c>
      <c r="K271" s="15" t="s">
        <v>35</v>
      </c>
      <c r="L271" s="15"/>
      <c r="M271" s="15" t="s">
        <v>38</v>
      </c>
      <c r="N271" s="15"/>
      <c r="O271" s="15"/>
      <c r="P271" s="45">
        <f>H271+SUMIFS(Movimientos!$F$2:$F$5000,Movimientos!$D$2:$D$5000,$A271,Movimientos!$C$2:$C$5000,"Ingreso inventario")+SUMIFS(Movimientos!$F$2:$F$5000,Movimientos!$D$2:$D$5000,$A271,Movimientos!$C$2:$C$5000,"Ajuste")-SUMIFS(Movimientos!$F$2:$F$5000,Movimientos!$D$2:$D$5000,$A271,Movimientos!$C$2:$C$5000,"Consumido en evento")-SUMIFS(Movimientos!$F$2:$F$5000,Movimientos!$D$2:$D$5000,$A271,Movimientos!$C$2:$C$5000,"Consumo interno")-SUMIFS(Movimientos!$F$2:$F$5000,Movimientos!$D$2:$D$5000,$A271,Movimientos!$C$2:$C$5000,"Baja")-SUMIFS(Movimientos!$F$2:$F$5000,Movimientos!$D$2:$D$5000,$A271,Movimientos!$C$2:$C$5000,"Baja desde reparación")</f>
        <v>4</v>
      </c>
      <c r="Q271" s="45">
        <f>SUMIFS(Movimientos!$F$2:$F$5000,Movimientos!$D$2:$D$5000,$A271,Movimientos!$C$2:$C$5000,"Salida alquiler")-SUMIFS(Movimientos!$F$2:$F$5000,Movimientos!$D$2:$D$5000,$A271,Movimientos!$C$2:$C$5000,"Retorno alquiler")-SUMIFS(Movimientos!$F$2:$F$5000,Movimientos!$D$2:$D$5000,$A271,Movimientos!$C$2:$C$5000,"Consumido en evento")-SUMIFS(Movimientos!$F$2:$F$5000,Movimientos!$D$2:$D$5000,$A271,Movimientos!$C$2:$C$5000,"A reparación")</f>
        <v>0</v>
      </c>
      <c r="R271" s="45">
        <f>SUMIFS(Movimientos!$F$2:$F$5000,Movimientos!$D$2:$D$5000,$A271,Movimientos!$C$2:$C$5000,"A reparación")-SUMIFS(Movimientos!$F$2:$F$5000,Movimientos!$D$2:$D$5000,$A271,Movimientos!$C$2:$C$5000,"Retorno reparación")-SUMIFS(Movimientos!$F$2:$F$5000,Movimientos!$D$2:$D$5000,$A271,Movimientos!$C$2:$C$5000,"Baja desde reparación")</f>
        <v>0</v>
      </c>
      <c r="S271" s="45">
        <f>P271-Q271-R271</f>
        <v>4</v>
      </c>
    </row>
    <row r="272" spans="1:19">
      <c r="A272" s="15" t="s">
        <v>1256</v>
      </c>
      <c r="B272" s="15" t="s">
        <v>1257</v>
      </c>
      <c r="C272" s="42" t="s">
        <v>1258</v>
      </c>
      <c r="D272" s="15" t="s">
        <v>101</v>
      </c>
      <c r="E272" s="42" t="s">
        <v>1259</v>
      </c>
      <c r="F272" s="43">
        <v>1</v>
      </c>
      <c r="G272" s="15" t="s">
        <v>507</v>
      </c>
      <c r="H272" s="44">
        <v>10</v>
      </c>
      <c r="I272" s="15" t="s">
        <v>104</v>
      </c>
      <c r="J272" s="15" t="s">
        <v>33</v>
      </c>
      <c r="K272" s="15" t="s">
        <v>35</v>
      </c>
      <c r="L272" s="15"/>
      <c r="M272" s="15" t="s">
        <v>38</v>
      </c>
      <c r="N272" s="15"/>
      <c r="O272" s="15"/>
      <c r="P272" s="45">
        <f>H272+SUMIFS(Movimientos!$F$2:$F$5000,Movimientos!$D$2:$D$5000,$A272,Movimientos!$C$2:$C$5000,"Ingreso inventario")+SUMIFS(Movimientos!$F$2:$F$5000,Movimientos!$D$2:$D$5000,$A272,Movimientos!$C$2:$C$5000,"Ajuste")-SUMIFS(Movimientos!$F$2:$F$5000,Movimientos!$D$2:$D$5000,$A272,Movimientos!$C$2:$C$5000,"Consumido en evento")-SUMIFS(Movimientos!$F$2:$F$5000,Movimientos!$D$2:$D$5000,$A272,Movimientos!$C$2:$C$5000,"Consumo interno")-SUMIFS(Movimientos!$F$2:$F$5000,Movimientos!$D$2:$D$5000,$A272,Movimientos!$C$2:$C$5000,"Baja")-SUMIFS(Movimientos!$F$2:$F$5000,Movimientos!$D$2:$D$5000,$A272,Movimientos!$C$2:$C$5000,"Baja desde reparación")</f>
        <v>10</v>
      </c>
      <c r="Q272" s="45">
        <f>SUMIFS(Movimientos!$F$2:$F$5000,Movimientos!$D$2:$D$5000,$A272,Movimientos!$C$2:$C$5000,"Salida alquiler")-SUMIFS(Movimientos!$F$2:$F$5000,Movimientos!$D$2:$D$5000,$A272,Movimientos!$C$2:$C$5000,"Retorno alquiler")-SUMIFS(Movimientos!$F$2:$F$5000,Movimientos!$D$2:$D$5000,$A272,Movimientos!$C$2:$C$5000,"Consumido en evento")-SUMIFS(Movimientos!$F$2:$F$5000,Movimientos!$D$2:$D$5000,$A272,Movimientos!$C$2:$C$5000,"A reparación")</f>
        <v>0</v>
      </c>
      <c r="R272" s="45">
        <f>SUMIFS(Movimientos!$F$2:$F$5000,Movimientos!$D$2:$D$5000,$A272,Movimientos!$C$2:$C$5000,"A reparación")-SUMIFS(Movimientos!$F$2:$F$5000,Movimientos!$D$2:$D$5000,$A272,Movimientos!$C$2:$C$5000,"Retorno reparación")-SUMIFS(Movimientos!$F$2:$F$5000,Movimientos!$D$2:$D$5000,$A272,Movimientos!$C$2:$C$5000,"Baja desde reparación")</f>
        <v>0</v>
      </c>
      <c r="S272" s="45">
        <f>P272-Q272-R272</f>
        <v>10</v>
      </c>
    </row>
    <row r="273" spans="1:19">
      <c r="A273" s="15" t="s">
        <v>1260</v>
      </c>
      <c r="B273" s="15" t="s">
        <v>1261</v>
      </c>
      <c r="C273" s="42" t="s">
        <v>1262</v>
      </c>
      <c r="D273" s="15" t="s">
        <v>101</v>
      </c>
      <c r="E273" s="42" t="s">
        <v>1263</v>
      </c>
      <c r="F273" s="43">
        <v>1</v>
      </c>
      <c r="G273" s="15" t="s">
        <v>1264</v>
      </c>
      <c r="H273" s="44">
        <v>11</v>
      </c>
      <c r="I273" s="15" t="s">
        <v>104</v>
      </c>
      <c r="J273" s="15" t="s">
        <v>33</v>
      </c>
      <c r="K273" s="15" t="s">
        <v>35</v>
      </c>
      <c r="L273" s="15"/>
      <c r="M273" s="15" t="s">
        <v>38</v>
      </c>
      <c r="N273" s="15"/>
      <c r="O273" s="15"/>
      <c r="P273" s="45">
        <f>H273+SUMIFS(Movimientos!$F$2:$F$5000,Movimientos!$D$2:$D$5000,$A273,Movimientos!$C$2:$C$5000,"Ingreso inventario")+SUMIFS(Movimientos!$F$2:$F$5000,Movimientos!$D$2:$D$5000,$A273,Movimientos!$C$2:$C$5000,"Ajuste")-SUMIFS(Movimientos!$F$2:$F$5000,Movimientos!$D$2:$D$5000,$A273,Movimientos!$C$2:$C$5000,"Consumido en evento")-SUMIFS(Movimientos!$F$2:$F$5000,Movimientos!$D$2:$D$5000,$A273,Movimientos!$C$2:$C$5000,"Consumo interno")-SUMIFS(Movimientos!$F$2:$F$5000,Movimientos!$D$2:$D$5000,$A273,Movimientos!$C$2:$C$5000,"Baja")-SUMIFS(Movimientos!$F$2:$F$5000,Movimientos!$D$2:$D$5000,$A273,Movimientos!$C$2:$C$5000,"Baja desde reparación")</f>
        <v>11</v>
      </c>
      <c r="Q273" s="45">
        <f>SUMIFS(Movimientos!$F$2:$F$5000,Movimientos!$D$2:$D$5000,$A273,Movimientos!$C$2:$C$5000,"Salida alquiler")-SUMIFS(Movimientos!$F$2:$F$5000,Movimientos!$D$2:$D$5000,$A273,Movimientos!$C$2:$C$5000,"Retorno alquiler")-SUMIFS(Movimientos!$F$2:$F$5000,Movimientos!$D$2:$D$5000,$A273,Movimientos!$C$2:$C$5000,"Consumido en evento")-SUMIFS(Movimientos!$F$2:$F$5000,Movimientos!$D$2:$D$5000,$A273,Movimientos!$C$2:$C$5000,"A reparación")</f>
        <v>0</v>
      </c>
      <c r="R273" s="45">
        <f>SUMIFS(Movimientos!$F$2:$F$5000,Movimientos!$D$2:$D$5000,$A273,Movimientos!$C$2:$C$5000,"A reparación")-SUMIFS(Movimientos!$F$2:$F$5000,Movimientos!$D$2:$D$5000,$A273,Movimientos!$C$2:$C$5000,"Retorno reparación")-SUMIFS(Movimientos!$F$2:$F$5000,Movimientos!$D$2:$D$5000,$A273,Movimientos!$C$2:$C$5000,"Baja desde reparación")</f>
        <v>0</v>
      </c>
      <c r="S273" s="45">
        <f>P273-Q273-R273</f>
        <v>11</v>
      </c>
    </row>
    <row r="274" spans="1:19">
      <c r="A274" s="15" t="s">
        <v>1265</v>
      </c>
      <c r="B274" s="15" t="s">
        <v>1266</v>
      </c>
      <c r="C274" s="42" t="s">
        <v>1267</v>
      </c>
      <c r="D274" s="15" t="s">
        <v>101</v>
      </c>
      <c r="E274" s="42" t="s">
        <v>1268</v>
      </c>
      <c r="F274" s="43">
        <v>1</v>
      </c>
      <c r="G274" s="15" t="s">
        <v>1180</v>
      </c>
      <c r="H274" s="44">
        <v>1</v>
      </c>
      <c r="I274" s="15" t="s">
        <v>104</v>
      </c>
      <c r="J274" s="15" t="s">
        <v>33</v>
      </c>
      <c r="K274" s="15" t="s">
        <v>35</v>
      </c>
      <c r="L274" s="15" t="s">
        <v>1269</v>
      </c>
      <c r="M274" s="15" t="s">
        <v>38</v>
      </c>
      <c r="N274" s="15"/>
      <c r="O274" s="15"/>
      <c r="P274" s="45">
        <f>H274+SUMIFS(Movimientos!$F$2:$F$5000,Movimientos!$D$2:$D$5000,$A274,Movimientos!$C$2:$C$5000,"Ingreso inventario")+SUMIFS(Movimientos!$F$2:$F$5000,Movimientos!$D$2:$D$5000,$A274,Movimientos!$C$2:$C$5000,"Ajuste")-SUMIFS(Movimientos!$F$2:$F$5000,Movimientos!$D$2:$D$5000,$A274,Movimientos!$C$2:$C$5000,"Consumido en evento")-SUMIFS(Movimientos!$F$2:$F$5000,Movimientos!$D$2:$D$5000,$A274,Movimientos!$C$2:$C$5000,"Consumo interno")-SUMIFS(Movimientos!$F$2:$F$5000,Movimientos!$D$2:$D$5000,$A274,Movimientos!$C$2:$C$5000,"Baja")-SUMIFS(Movimientos!$F$2:$F$5000,Movimientos!$D$2:$D$5000,$A274,Movimientos!$C$2:$C$5000,"Baja desde reparación")</f>
        <v>1</v>
      </c>
      <c r="Q274" s="45">
        <f>SUMIFS(Movimientos!$F$2:$F$5000,Movimientos!$D$2:$D$5000,$A274,Movimientos!$C$2:$C$5000,"Salida alquiler")-SUMIFS(Movimientos!$F$2:$F$5000,Movimientos!$D$2:$D$5000,$A274,Movimientos!$C$2:$C$5000,"Retorno alquiler")-SUMIFS(Movimientos!$F$2:$F$5000,Movimientos!$D$2:$D$5000,$A274,Movimientos!$C$2:$C$5000,"Consumido en evento")-SUMIFS(Movimientos!$F$2:$F$5000,Movimientos!$D$2:$D$5000,$A274,Movimientos!$C$2:$C$5000,"A reparación")</f>
        <v>0</v>
      </c>
      <c r="R274" s="45">
        <f>SUMIFS(Movimientos!$F$2:$F$5000,Movimientos!$D$2:$D$5000,$A274,Movimientos!$C$2:$C$5000,"A reparación")-SUMIFS(Movimientos!$F$2:$F$5000,Movimientos!$D$2:$D$5000,$A274,Movimientos!$C$2:$C$5000,"Retorno reparación")-SUMIFS(Movimientos!$F$2:$F$5000,Movimientos!$D$2:$D$5000,$A274,Movimientos!$C$2:$C$5000,"Baja desde reparación")</f>
        <v>0</v>
      </c>
      <c r="S274" s="45">
        <f>P274-Q274-R274</f>
        <v>1</v>
      </c>
    </row>
    <row r="275" spans="1:19">
      <c r="A275" s="15" t="s">
        <v>1270</v>
      </c>
      <c r="B275" s="15" t="s">
        <v>1271</v>
      </c>
      <c r="C275" s="42" t="s">
        <v>1272</v>
      </c>
      <c r="D275" s="15" t="s">
        <v>101</v>
      </c>
      <c r="E275" s="42" t="s">
        <v>1273</v>
      </c>
      <c r="F275" s="43">
        <v>1</v>
      </c>
      <c r="G275" s="15" t="s">
        <v>1274</v>
      </c>
      <c r="H275" s="44">
        <v>6</v>
      </c>
      <c r="I275" s="15" t="s">
        <v>104</v>
      </c>
      <c r="J275" s="15" t="s">
        <v>33</v>
      </c>
      <c r="K275" s="15" t="s">
        <v>35</v>
      </c>
      <c r="L275" s="15"/>
      <c r="M275" s="15" t="s">
        <v>38</v>
      </c>
      <c r="N275" s="15"/>
      <c r="O275" s="15"/>
      <c r="P275" s="45">
        <f>H275+SUMIFS(Movimientos!$F$2:$F$5000,Movimientos!$D$2:$D$5000,$A275,Movimientos!$C$2:$C$5000,"Ingreso inventario")+SUMIFS(Movimientos!$F$2:$F$5000,Movimientos!$D$2:$D$5000,$A275,Movimientos!$C$2:$C$5000,"Ajuste")-SUMIFS(Movimientos!$F$2:$F$5000,Movimientos!$D$2:$D$5000,$A275,Movimientos!$C$2:$C$5000,"Consumido en evento")-SUMIFS(Movimientos!$F$2:$F$5000,Movimientos!$D$2:$D$5000,$A275,Movimientos!$C$2:$C$5000,"Consumo interno")-SUMIFS(Movimientos!$F$2:$F$5000,Movimientos!$D$2:$D$5000,$A275,Movimientos!$C$2:$C$5000,"Baja")-SUMIFS(Movimientos!$F$2:$F$5000,Movimientos!$D$2:$D$5000,$A275,Movimientos!$C$2:$C$5000,"Baja desde reparación")</f>
        <v>6</v>
      </c>
      <c r="Q275" s="45">
        <f>SUMIFS(Movimientos!$F$2:$F$5000,Movimientos!$D$2:$D$5000,$A275,Movimientos!$C$2:$C$5000,"Salida alquiler")-SUMIFS(Movimientos!$F$2:$F$5000,Movimientos!$D$2:$D$5000,$A275,Movimientos!$C$2:$C$5000,"Retorno alquiler")-SUMIFS(Movimientos!$F$2:$F$5000,Movimientos!$D$2:$D$5000,$A275,Movimientos!$C$2:$C$5000,"Consumido en evento")-SUMIFS(Movimientos!$F$2:$F$5000,Movimientos!$D$2:$D$5000,$A275,Movimientos!$C$2:$C$5000,"A reparación")</f>
        <v>0</v>
      </c>
      <c r="R275" s="45">
        <f>SUMIFS(Movimientos!$F$2:$F$5000,Movimientos!$D$2:$D$5000,$A275,Movimientos!$C$2:$C$5000,"A reparación")-SUMIFS(Movimientos!$F$2:$F$5000,Movimientos!$D$2:$D$5000,$A275,Movimientos!$C$2:$C$5000,"Retorno reparación")-SUMIFS(Movimientos!$F$2:$F$5000,Movimientos!$D$2:$D$5000,$A275,Movimientos!$C$2:$C$5000,"Baja desde reparación")</f>
        <v>0</v>
      </c>
      <c r="S275" s="45">
        <f>P275-Q275-R275</f>
        <v>6</v>
      </c>
    </row>
    <row r="276" spans="1:19">
      <c r="A276" s="15" t="s">
        <v>1275</v>
      </c>
      <c r="B276" s="15" t="s">
        <v>1276</v>
      </c>
      <c r="C276" s="42" t="s">
        <v>1277</v>
      </c>
      <c r="D276" s="15" t="s">
        <v>101</v>
      </c>
      <c r="E276" s="42" t="s">
        <v>1278</v>
      </c>
      <c r="F276" s="43">
        <v>1</v>
      </c>
      <c r="G276" s="15" t="s">
        <v>1274</v>
      </c>
      <c r="H276" s="44">
        <v>8</v>
      </c>
      <c r="I276" s="15" t="s">
        <v>104</v>
      </c>
      <c r="J276" s="15" t="s">
        <v>33</v>
      </c>
      <c r="K276" s="15" t="s">
        <v>35</v>
      </c>
      <c r="L276" s="15" t="s">
        <v>1279</v>
      </c>
      <c r="M276" s="15" t="s">
        <v>38</v>
      </c>
      <c r="N276" s="15"/>
      <c r="O276" s="15"/>
      <c r="P276" s="45">
        <f>H276+SUMIFS(Movimientos!$F$2:$F$5000,Movimientos!$D$2:$D$5000,$A276,Movimientos!$C$2:$C$5000,"Ingreso inventario")+SUMIFS(Movimientos!$F$2:$F$5000,Movimientos!$D$2:$D$5000,$A276,Movimientos!$C$2:$C$5000,"Ajuste")-SUMIFS(Movimientos!$F$2:$F$5000,Movimientos!$D$2:$D$5000,$A276,Movimientos!$C$2:$C$5000,"Consumido en evento")-SUMIFS(Movimientos!$F$2:$F$5000,Movimientos!$D$2:$D$5000,$A276,Movimientos!$C$2:$C$5000,"Consumo interno")-SUMIFS(Movimientos!$F$2:$F$5000,Movimientos!$D$2:$D$5000,$A276,Movimientos!$C$2:$C$5000,"Baja")-SUMIFS(Movimientos!$F$2:$F$5000,Movimientos!$D$2:$D$5000,$A276,Movimientos!$C$2:$C$5000,"Baja desde reparación")</f>
        <v>8</v>
      </c>
      <c r="Q276" s="45">
        <f>SUMIFS(Movimientos!$F$2:$F$5000,Movimientos!$D$2:$D$5000,$A276,Movimientos!$C$2:$C$5000,"Salida alquiler")-SUMIFS(Movimientos!$F$2:$F$5000,Movimientos!$D$2:$D$5000,$A276,Movimientos!$C$2:$C$5000,"Retorno alquiler")-SUMIFS(Movimientos!$F$2:$F$5000,Movimientos!$D$2:$D$5000,$A276,Movimientos!$C$2:$C$5000,"Consumido en evento")-SUMIFS(Movimientos!$F$2:$F$5000,Movimientos!$D$2:$D$5000,$A276,Movimientos!$C$2:$C$5000,"A reparación")</f>
        <v>0</v>
      </c>
      <c r="R276" s="45">
        <f>SUMIFS(Movimientos!$F$2:$F$5000,Movimientos!$D$2:$D$5000,$A276,Movimientos!$C$2:$C$5000,"A reparación")-SUMIFS(Movimientos!$F$2:$F$5000,Movimientos!$D$2:$D$5000,$A276,Movimientos!$C$2:$C$5000,"Retorno reparación")-SUMIFS(Movimientos!$F$2:$F$5000,Movimientos!$D$2:$D$5000,$A276,Movimientos!$C$2:$C$5000,"Baja desde reparación")</f>
        <v>0</v>
      </c>
      <c r="S276" s="45">
        <f>P276-Q276-R276</f>
        <v>8</v>
      </c>
    </row>
    <row r="277" spans="1:19">
      <c r="A277" s="15" t="s">
        <v>1280</v>
      </c>
      <c r="B277" s="15" t="s">
        <v>1281</v>
      </c>
      <c r="C277" s="42" t="s">
        <v>1282</v>
      </c>
      <c r="D277" s="15" t="s">
        <v>101</v>
      </c>
      <c r="E277" s="42" t="s">
        <v>1283</v>
      </c>
      <c r="F277" s="43">
        <v>1</v>
      </c>
      <c r="G277" s="15" t="s">
        <v>1274</v>
      </c>
      <c r="H277" s="44">
        <v>2</v>
      </c>
      <c r="I277" s="15" t="s">
        <v>104</v>
      </c>
      <c r="J277" s="15" t="s">
        <v>33</v>
      </c>
      <c r="K277" s="15" t="s">
        <v>35</v>
      </c>
      <c r="L277" s="15" t="s">
        <v>1284</v>
      </c>
      <c r="M277" s="15" t="s">
        <v>38</v>
      </c>
      <c r="N277" s="15"/>
      <c r="O277" s="15"/>
      <c r="P277" s="45">
        <f>H277+SUMIFS(Movimientos!$F$2:$F$5000,Movimientos!$D$2:$D$5000,$A277,Movimientos!$C$2:$C$5000,"Ingreso inventario")+SUMIFS(Movimientos!$F$2:$F$5000,Movimientos!$D$2:$D$5000,$A277,Movimientos!$C$2:$C$5000,"Ajuste")-SUMIFS(Movimientos!$F$2:$F$5000,Movimientos!$D$2:$D$5000,$A277,Movimientos!$C$2:$C$5000,"Consumido en evento")-SUMIFS(Movimientos!$F$2:$F$5000,Movimientos!$D$2:$D$5000,$A277,Movimientos!$C$2:$C$5000,"Consumo interno")-SUMIFS(Movimientos!$F$2:$F$5000,Movimientos!$D$2:$D$5000,$A277,Movimientos!$C$2:$C$5000,"Baja")-SUMIFS(Movimientos!$F$2:$F$5000,Movimientos!$D$2:$D$5000,$A277,Movimientos!$C$2:$C$5000,"Baja desde reparación")</f>
        <v>2</v>
      </c>
      <c r="Q277" s="45">
        <f>SUMIFS(Movimientos!$F$2:$F$5000,Movimientos!$D$2:$D$5000,$A277,Movimientos!$C$2:$C$5000,"Salida alquiler")-SUMIFS(Movimientos!$F$2:$F$5000,Movimientos!$D$2:$D$5000,$A277,Movimientos!$C$2:$C$5000,"Retorno alquiler")-SUMIFS(Movimientos!$F$2:$F$5000,Movimientos!$D$2:$D$5000,$A277,Movimientos!$C$2:$C$5000,"Consumido en evento")-SUMIFS(Movimientos!$F$2:$F$5000,Movimientos!$D$2:$D$5000,$A277,Movimientos!$C$2:$C$5000,"A reparación")</f>
        <v>0</v>
      </c>
      <c r="R277" s="45">
        <f>SUMIFS(Movimientos!$F$2:$F$5000,Movimientos!$D$2:$D$5000,$A277,Movimientos!$C$2:$C$5000,"A reparación")-SUMIFS(Movimientos!$F$2:$F$5000,Movimientos!$D$2:$D$5000,$A277,Movimientos!$C$2:$C$5000,"Retorno reparación")-SUMIFS(Movimientos!$F$2:$F$5000,Movimientos!$D$2:$D$5000,$A277,Movimientos!$C$2:$C$5000,"Baja desde reparación")</f>
        <v>0</v>
      </c>
      <c r="S277" s="45">
        <f>P277-Q277-R277</f>
        <v>2</v>
      </c>
    </row>
    <row r="278" spans="1:19">
      <c r="A278" s="15" t="s">
        <v>1285</v>
      </c>
      <c r="B278" s="15" t="s">
        <v>1286</v>
      </c>
      <c r="C278" s="42" t="s">
        <v>1287</v>
      </c>
      <c r="D278" s="15" t="s">
        <v>101</v>
      </c>
      <c r="E278" s="42" t="s">
        <v>1288</v>
      </c>
      <c r="F278" s="43">
        <v>1</v>
      </c>
      <c r="G278" s="15" t="s">
        <v>1274</v>
      </c>
      <c r="H278" s="44">
        <v>5</v>
      </c>
      <c r="I278" s="15" t="s">
        <v>104</v>
      </c>
      <c r="J278" s="15" t="s">
        <v>33</v>
      </c>
      <c r="K278" s="15" t="s">
        <v>35</v>
      </c>
      <c r="L278" s="15" t="s">
        <v>1289</v>
      </c>
      <c r="M278" s="15" t="s">
        <v>38</v>
      </c>
      <c r="N278" s="15"/>
      <c r="O278" s="15"/>
      <c r="P278" s="45">
        <f>H278+SUMIFS(Movimientos!$F$2:$F$5000,Movimientos!$D$2:$D$5000,$A278,Movimientos!$C$2:$C$5000,"Ingreso inventario")+SUMIFS(Movimientos!$F$2:$F$5000,Movimientos!$D$2:$D$5000,$A278,Movimientos!$C$2:$C$5000,"Ajuste")-SUMIFS(Movimientos!$F$2:$F$5000,Movimientos!$D$2:$D$5000,$A278,Movimientos!$C$2:$C$5000,"Consumido en evento")-SUMIFS(Movimientos!$F$2:$F$5000,Movimientos!$D$2:$D$5000,$A278,Movimientos!$C$2:$C$5000,"Consumo interno")-SUMIFS(Movimientos!$F$2:$F$5000,Movimientos!$D$2:$D$5000,$A278,Movimientos!$C$2:$C$5000,"Baja")-SUMIFS(Movimientos!$F$2:$F$5000,Movimientos!$D$2:$D$5000,$A278,Movimientos!$C$2:$C$5000,"Baja desde reparación")</f>
        <v>5</v>
      </c>
      <c r="Q278" s="45">
        <f>SUMIFS(Movimientos!$F$2:$F$5000,Movimientos!$D$2:$D$5000,$A278,Movimientos!$C$2:$C$5000,"Salida alquiler")-SUMIFS(Movimientos!$F$2:$F$5000,Movimientos!$D$2:$D$5000,$A278,Movimientos!$C$2:$C$5000,"Retorno alquiler")-SUMIFS(Movimientos!$F$2:$F$5000,Movimientos!$D$2:$D$5000,$A278,Movimientos!$C$2:$C$5000,"Consumido en evento")-SUMIFS(Movimientos!$F$2:$F$5000,Movimientos!$D$2:$D$5000,$A278,Movimientos!$C$2:$C$5000,"A reparación")</f>
        <v>0</v>
      </c>
      <c r="R278" s="45">
        <f>SUMIFS(Movimientos!$F$2:$F$5000,Movimientos!$D$2:$D$5000,$A278,Movimientos!$C$2:$C$5000,"A reparación")-SUMIFS(Movimientos!$F$2:$F$5000,Movimientos!$D$2:$D$5000,$A278,Movimientos!$C$2:$C$5000,"Retorno reparación")-SUMIFS(Movimientos!$F$2:$F$5000,Movimientos!$D$2:$D$5000,$A278,Movimientos!$C$2:$C$5000,"Baja desde reparación")</f>
        <v>0</v>
      </c>
      <c r="S278" s="45">
        <f>P278-Q278-R278</f>
        <v>5</v>
      </c>
    </row>
    <row r="279" spans="1:19">
      <c r="A279" s="15" t="s">
        <v>1290</v>
      </c>
      <c r="B279" s="15" t="s">
        <v>1291</v>
      </c>
      <c r="C279" s="42" t="s">
        <v>1292</v>
      </c>
      <c r="D279" s="15" t="s">
        <v>1293</v>
      </c>
      <c r="E279" s="42" t="s">
        <v>1294</v>
      </c>
      <c r="F279" s="43">
        <v>1</v>
      </c>
      <c r="G279" s="15" t="s">
        <v>1274</v>
      </c>
      <c r="H279" s="44">
        <v>3</v>
      </c>
      <c r="I279" s="15" t="s">
        <v>104</v>
      </c>
      <c r="J279" s="15" t="s">
        <v>33</v>
      </c>
      <c r="K279" s="15" t="s">
        <v>35</v>
      </c>
      <c r="L279" s="15" t="s">
        <v>1295</v>
      </c>
      <c r="M279" s="15" t="s">
        <v>38</v>
      </c>
      <c r="N279" s="15"/>
      <c r="O279" s="15"/>
      <c r="P279" s="45">
        <f>H279+SUMIFS(Movimientos!$F$2:$F$5000,Movimientos!$D$2:$D$5000,$A279,Movimientos!$C$2:$C$5000,"Ingreso inventario")+SUMIFS(Movimientos!$F$2:$F$5000,Movimientos!$D$2:$D$5000,$A279,Movimientos!$C$2:$C$5000,"Ajuste")-SUMIFS(Movimientos!$F$2:$F$5000,Movimientos!$D$2:$D$5000,$A279,Movimientos!$C$2:$C$5000,"Consumido en evento")-SUMIFS(Movimientos!$F$2:$F$5000,Movimientos!$D$2:$D$5000,$A279,Movimientos!$C$2:$C$5000,"Consumo interno")-SUMIFS(Movimientos!$F$2:$F$5000,Movimientos!$D$2:$D$5000,$A279,Movimientos!$C$2:$C$5000,"Baja")-SUMIFS(Movimientos!$F$2:$F$5000,Movimientos!$D$2:$D$5000,$A279,Movimientos!$C$2:$C$5000,"Baja desde reparación")</f>
        <v>3</v>
      </c>
      <c r="Q279" s="45">
        <f>SUMIFS(Movimientos!$F$2:$F$5000,Movimientos!$D$2:$D$5000,$A279,Movimientos!$C$2:$C$5000,"Salida alquiler")-SUMIFS(Movimientos!$F$2:$F$5000,Movimientos!$D$2:$D$5000,$A279,Movimientos!$C$2:$C$5000,"Retorno alquiler")-SUMIFS(Movimientos!$F$2:$F$5000,Movimientos!$D$2:$D$5000,$A279,Movimientos!$C$2:$C$5000,"Consumido en evento")-SUMIFS(Movimientos!$F$2:$F$5000,Movimientos!$D$2:$D$5000,$A279,Movimientos!$C$2:$C$5000,"A reparación")</f>
        <v>0</v>
      </c>
      <c r="R279" s="45">
        <f>SUMIFS(Movimientos!$F$2:$F$5000,Movimientos!$D$2:$D$5000,$A279,Movimientos!$C$2:$C$5000,"A reparación")-SUMIFS(Movimientos!$F$2:$F$5000,Movimientos!$D$2:$D$5000,$A279,Movimientos!$C$2:$C$5000,"Retorno reparación")-SUMIFS(Movimientos!$F$2:$F$5000,Movimientos!$D$2:$D$5000,$A279,Movimientos!$C$2:$C$5000,"Baja desde reparación")</f>
        <v>0</v>
      </c>
      <c r="S279" s="45">
        <f>P279-Q279-R279</f>
        <v>3</v>
      </c>
    </row>
    <row r="280" spans="1:19">
      <c r="A280" s="15" t="s">
        <v>1296</v>
      </c>
      <c r="B280" s="15" t="s">
        <v>1297</v>
      </c>
      <c r="C280" s="42" t="s">
        <v>1298</v>
      </c>
      <c r="D280" s="15" t="s">
        <v>101</v>
      </c>
      <c r="E280" s="42" t="s">
        <v>1299</v>
      </c>
      <c r="F280" s="43">
        <v>1</v>
      </c>
      <c r="G280" s="15" t="s">
        <v>1274</v>
      </c>
      <c r="H280" s="44">
        <v>3</v>
      </c>
      <c r="I280" s="15" t="s">
        <v>104</v>
      </c>
      <c r="J280" s="15" t="s">
        <v>33</v>
      </c>
      <c r="K280" s="15" t="s">
        <v>35</v>
      </c>
      <c r="L280" s="15" t="s">
        <v>1300</v>
      </c>
      <c r="M280" s="15" t="s">
        <v>38</v>
      </c>
      <c r="N280" s="15"/>
      <c r="O280" s="15"/>
      <c r="P280" s="45">
        <f>H280+SUMIFS(Movimientos!$F$2:$F$5000,Movimientos!$D$2:$D$5000,$A280,Movimientos!$C$2:$C$5000,"Ingreso inventario")+SUMIFS(Movimientos!$F$2:$F$5000,Movimientos!$D$2:$D$5000,$A280,Movimientos!$C$2:$C$5000,"Ajuste")-SUMIFS(Movimientos!$F$2:$F$5000,Movimientos!$D$2:$D$5000,$A280,Movimientos!$C$2:$C$5000,"Consumido en evento")-SUMIFS(Movimientos!$F$2:$F$5000,Movimientos!$D$2:$D$5000,$A280,Movimientos!$C$2:$C$5000,"Consumo interno")-SUMIFS(Movimientos!$F$2:$F$5000,Movimientos!$D$2:$D$5000,$A280,Movimientos!$C$2:$C$5000,"Baja")-SUMIFS(Movimientos!$F$2:$F$5000,Movimientos!$D$2:$D$5000,$A280,Movimientos!$C$2:$C$5000,"Baja desde reparación")</f>
        <v>3</v>
      </c>
      <c r="Q280" s="45">
        <f>SUMIFS(Movimientos!$F$2:$F$5000,Movimientos!$D$2:$D$5000,$A280,Movimientos!$C$2:$C$5000,"Salida alquiler")-SUMIFS(Movimientos!$F$2:$F$5000,Movimientos!$D$2:$D$5000,$A280,Movimientos!$C$2:$C$5000,"Retorno alquiler")-SUMIFS(Movimientos!$F$2:$F$5000,Movimientos!$D$2:$D$5000,$A280,Movimientos!$C$2:$C$5000,"Consumido en evento")-SUMIFS(Movimientos!$F$2:$F$5000,Movimientos!$D$2:$D$5000,$A280,Movimientos!$C$2:$C$5000,"A reparación")</f>
        <v>0</v>
      </c>
      <c r="R280" s="45">
        <f>SUMIFS(Movimientos!$F$2:$F$5000,Movimientos!$D$2:$D$5000,$A280,Movimientos!$C$2:$C$5000,"A reparación")-SUMIFS(Movimientos!$F$2:$F$5000,Movimientos!$D$2:$D$5000,$A280,Movimientos!$C$2:$C$5000,"Retorno reparación")-SUMIFS(Movimientos!$F$2:$F$5000,Movimientos!$D$2:$D$5000,$A280,Movimientos!$C$2:$C$5000,"Baja desde reparación")</f>
        <v>0</v>
      </c>
      <c r="S280" s="45">
        <f>P280-Q280-R280</f>
        <v>3</v>
      </c>
    </row>
    <row r="281" spans="1:19">
      <c r="A281" s="15" t="s">
        <v>1301</v>
      </c>
      <c r="B281" s="15" t="s">
        <v>1302</v>
      </c>
      <c r="C281" s="42" t="s">
        <v>1303</v>
      </c>
      <c r="D281" s="15" t="s">
        <v>101</v>
      </c>
      <c r="E281" s="42" t="s">
        <v>1304</v>
      </c>
      <c r="F281" s="43">
        <v>1</v>
      </c>
      <c r="G281" s="15" t="s">
        <v>599</v>
      </c>
      <c r="H281" s="44">
        <v>6</v>
      </c>
      <c r="I281" s="15" t="s">
        <v>104</v>
      </c>
      <c r="J281" s="15" t="s">
        <v>33</v>
      </c>
      <c r="K281" s="15" t="s">
        <v>35</v>
      </c>
      <c r="L281" s="15" t="s">
        <v>1305</v>
      </c>
      <c r="M281" s="15" t="s">
        <v>38</v>
      </c>
      <c r="N281" s="15"/>
      <c r="O281" s="15"/>
      <c r="P281" s="45">
        <f>H281+SUMIFS(Movimientos!$F$2:$F$5000,Movimientos!$D$2:$D$5000,$A281,Movimientos!$C$2:$C$5000,"Ingreso inventario")+SUMIFS(Movimientos!$F$2:$F$5000,Movimientos!$D$2:$D$5000,$A281,Movimientos!$C$2:$C$5000,"Ajuste")-SUMIFS(Movimientos!$F$2:$F$5000,Movimientos!$D$2:$D$5000,$A281,Movimientos!$C$2:$C$5000,"Consumido en evento")-SUMIFS(Movimientos!$F$2:$F$5000,Movimientos!$D$2:$D$5000,$A281,Movimientos!$C$2:$C$5000,"Consumo interno")-SUMIFS(Movimientos!$F$2:$F$5000,Movimientos!$D$2:$D$5000,$A281,Movimientos!$C$2:$C$5000,"Baja")-SUMIFS(Movimientos!$F$2:$F$5000,Movimientos!$D$2:$D$5000,$A281,Movimientos!$C$2:$C$5000,"Baja desde reparación")</f>
        <v>6</v>
      </c>
      <c r="Q281" s="45">
        <f>SUMIFS(Movimientos!$F$2:$F$5000,Movimientos!$D$2:$D$5000,$A281,Movimientos!$C$2:$C$5000,"Salida alquiler")-SUMIFS(Movimientos!$F$2:$F$5000,Movimientos!$D$2:$D$5000,$A281,Movimientos!$C$2:$C$5000,"Retorno alquiler")-SUMIFS(Movimientos!$F$2:$F$5000,Movimientos!$D$2:$D$5000,$A281,Movimientos!$C$2:$C$5000,"Consumido en evento")-SUMIFS(Movimientos!$F$2:$F$5000,Movimientos!$D$2:$D$5000,$A281,Movimientos!$C$2:$C$5000,"A reparación")</f>
        <v>0</v>
      </c>
      <c r="R281" s="45">
        <f>SUMIFS(Movimientos!$F$2:$F$5000,Movimientos!$D$2:$D$5000,$A281,Movimientos!$C$2:$C$5000,"A reparación")-SUMIFS(Movimientos!$F$2:$F$5000,Movimientos!$D$2:$D$5000,$A281,Movimientos!$C$2:$C$5000,"Retorno reparación")-SUMIFS(Movimientos!$F$2:$F$5000,Movimientos!$D$2:$D$5000,$A281,Movimientos!$C$2:$C$5000,"Baja desde reparación")</f>
        <v>0</v>
      </c>
      <c r="S281" s="45">
        <f>P281-Q281-R281</f>
        <v>6</v>
      </c>
    </row>
    <row r="282" spans="1:19">
      <c r="A282" s="15" t="s">
        <v>1306</v>
      </c>
      <c r="B282" s="15" t="s">
        <v>1307</v>
      </c>
      <c r="C282" s="42" t="s">
        <v>1308</v>
      </c>
      <c r="D282" s="15" t="s">
        <v>101</v>
      </c>
      <c r="E282" s="42" t="s">
        <v>1309</v>
      </c>
      <c r="F282" s="43">
        <v>1</v>
      </c>
      <c r="G282" s="15" t="s">
        <v>163</v>
      </c>
      <c r="H282" s="44">
        <v>2</v>
      </c>
      <c r="I282" s="15" t="s">
        <v>104</v>
      </c>
      <c r="J282" s="15" t="s">
        <v>33</v>
      </c>
      <c r="K282" s="15" t="s">
        <v>35</v>
      </c>
      <c r="L282" s="15" t="s">
        <v>1310</v>
      </c>
      <c r="M282" s="15" t="s">
        <v>38</v>
      </c>
      <c r="N282" s="15"/>
      <c r="O282" s="15"/>
      <c r="P282" s="45">
        <f>H282+SUMIFS(Movimientos!$F$2:$F$5000,Movimientos!$D$2:$D$5000,$A282,Movimientos!$C$2:$C$5000,"Ingreso inventario")+SUMIFS(Movimientos!$F$2:$F$5000,Movimientos!$D$2:$D$5000,$A282,Movimientos!$C$2:$C$5000,"Ajuste")-SUMIFS(Movimientos!$F$2:$F$5000,Movimientos!$D$2:$D$5000,$A282,Movimientos!$C$2:$C$5000,"Consumido en evento")-SUMIFS(Movimientos!$F$2:$F$5000,Movimientos!$D$2:$D$5000,$A282,Movimientos!$C$2:$C$5000,"Consumo interno")-SUMIFS(Movimientos!$F$2:$F$5000,Movimientos!$D$2:$D$5000,$A282,Movimientos!$C$2:$C$5000,"Baja")-SUMIFS(Movimientos!$F$2:$F$5000,Movimientos!$D$2:$D$5000,$A282,Movimientos!$C$2:$C$5000,"Baja desde reparación")</f>
        <v>2</v>
      </c>
      <c r="Q282" s="45">
        <f>SUMIFS(Movimientos!$F$2:$F$5000,Movimientos!$D$2:$D$5000,$A282,Movimientos!$C$2:$C$5000,"Salida alquiler")-SUMIFS(Movimientos!$F$2:$F$5000,Movimientos!$D$2:$D$5000,$A282,Movimientos!$C$2:$C$5000,"Retorno alquiler")-SUMIFS(Movimientos!$F$2:$F$5000,Movimientos!$D$2:$D$5000,$A282,Movimientos!$C$2:$C$5000,"Consumido en evento")-SUMIFS(Movimientos!$F$2:$F$5000,Movimientos!$D$2:$D$5000,$A282,Movimientos!$C$2:$C$5000,"A reparación")</f>
        <v>0</v>
      </c>
      <c r="R282" s="45">
        <f>SUMIFS(Movimientos!$F$2:$F$5000,Movimientos!$D$2:$D$5000,$A282,Movimientos!$C$2:$C$5000,"A reparación")-SUMIFS(Movimientos!$F$2:$F$5000,Movimientos!$D$2:$D$5000,$A282,Movimientos!$C$2:$C$5000,"Retorno reparación")-SUMIFS(Movimientos!$F$2:$F$5000,Movimientos!$D$2:$D$5000,$A282,Movimientos!$C$2:$C$5000,"Baja desde reparación")</f>
        <v>0</v>
      </c>
      <c r="S282" s="45">
        <f>P282-Q282-R282</f>
        <v>2</v>
      </c>
    </row>
    <row r="283" spans="1:19">
      <c r="A283" s="15" t="s">
        <v>1311</v>
      </c>
      <c r="B283" s="15" t="s">
        <v>1312</v>
      </c>
      <c r="C283" s="42" t="s">
        <v>1313</v>
      </c>
      <c r="D283" s="15" t="s">
        <v>101</v>
      </c>
      <c r="E283" s="42" t="s">
        <v>1314</v>
      </c>
      <c r="F283" s="43">
        <v>1</v>
      </c>
      <c r="G283" s="15" t="s">
        <v>507</v>
      </c>
      <c r="H283" s="44">
        <v>1</v>
      </c>
      <c r="I283" s="15" t="s">
        <v>104</v>
      </c>
      <c r="J283" s="15" t="s">
        <v>33</v>
      </c>
      <c r="K283" s="15" t="s">
        <v>35</v>
      </c>
      <c r="L283" s="15"/>
      <c r="M283" s="15" t="s">
        <v>38</v>
      </c>
      <c r="N283" s="15"/>
      <c r="O283" s="15"/>
      <c r="P283" s="45">
        <f>H283+SUMIFS(Movimientos!$F$2:$F$5000,Movimientos!$D$2:$D$5000,$A283,Movimientos!$C$2:$C$5000,"Ingreso inventario")+SUMIFS(Movimientos!$F$2:$F$5000,Movimientos!$D$2:$D$5000,$A283,Movimientos!$C$2:$C$5000,"Ajuste")-SUMIFS(Movimientos!$F$2:$F$5000,Movimientos!$D$2:$D$5000,$A283,Movimientos!$C$2:$C$5000,"Consumido en evento")-SUMIFS(Movimientos!$F$2:$F$5000,Movimientos!$D$2:$D$5000,$A283,Movimientos!$C$2:$C$5000,"Consumo interno")-SUMIFS(Movimientos!$F$2:$F$5000,Movimientos!$D$2:$D$5000,$A283,Movimientos!$C$2:$C$5000,"Baja")-SUMIFS(Movimientos!$F$2:$F$5000,Movimientos!$D$2:$D$5000,$A283,Movimientos!$C$2:$C$5000,"Baja desde reparación")</f>
        <v>1</v>
      </c>
      <c r="Q283" s="45">
        <f>SUMIFS(Movimientos!$F$2:$F$5000,Movimientos!$D$2:$D$5000,$A283,Movimientos!$C$2:$C$5000,"Salida alquiler")-SUMIFS(Movimientos!$F$2:$F$5000,Movimientos!$D$2:$D$5000,$A283,Movimientos!$C$2:$C$5000,"Retorno alquiler")-SUMIFS(Movimientos!$F$2:$F$5000,Movimientos!$D$2:$D$5000,$A283,Movimientos!$C$2:$C$5000,"Consumido en evento")-SUMIFS(Movimientos!$F$2:$F$5000,Movimientos!$D$2:$D$5000,$A283,Movimientos!$C$2:$C$5000,"A reparación")</f>
        <v>0</v>
      </c>
      <c r="R283" s="45">
        <f>SUMIFS(Movimientos!$F$2:$F$5000,Movimientos!$D$2:$D$5000,$A283,Movimientos!$C$2:$C$5000,"A reparación")-SUMIFS(Movimientos!$F$2:$F$5000,Movimientos!$D$2:$D$5000,$A283,Movimientos!$C$2:$C$5000,"Retorno reparación")-SUMIFS(Movimientos!$F$2:$F$5000,Movimientos!$D$2:$D$5000,$A283,Movimientos!$C$2:$C$5000,"Baja desde reparación")</f>
        <v>0</v>
      </c>
      <c r="S283" s="45">
        <f>P283-Q283-R283</f>
        <v>1</v>
      </c>
    </row>
    <row r="284" spans="1:19">
      <c r="A284" s="15" t="s">
        <v>1315</v>
      </c>
      <c r="B284" s="15" t="s">
        <v>1316</v>
      </c>
      <c r="C284" s="42" t="s">
        <v>1317</v>
      </c>
      <c r="D284" s="15" t="s">
        <v>101</v>
      </c>
      <c r="E284" s="42" t="s">
        <v>1318</v>
      </c>
      <c r="F284" s="43">
        <v>1</v>
      </c>
      <c r="G284" s="15" t="s">
        <v>1319</v>
      </c>
      <c r="H284" s="44">
        <v>0</v>
      </c>
      <c r="I284" s="15" t="s">
        <v>104</v>
      </c>
      <c r="J284" s="15" t="s">
        <v>33</v>
      </c>
      <c r="K284" s="15" t="s">
        <v>35</v>
      </c>
      <c r="L284" s="15"/>
      <c r="M284" s="15" t="s">
        <v>38</v>
      </c>
      <c r="N284" s="15"/>
      <c r="O284" s="15"/>
      <c r="P284" s="45">
        <f>H284+SUMIFS(Movimientos!$F$2:$F$5000,Movimientos!$D$2:$D$5000,$A284,Movimientos!$C$2:$C$5000,"Ingreso inventario")+SUMIFS(Movimientos!$F$2:$F$5000,Movimientos!$D$2:$D$5000,$A284,Movimientos!$C$2:$C$5000,"Ajuste")-SUMIFS(Movimientos!$F$2:$F$5000,Movimientos!$D$2:$D$5000,$A284,Movimientos!$C$2:$C$5000,"Consumido en evento")-SUMIFS(Movimientos!$F$2:$F$5000,Movimientos!$D$2:$D$5000,$A284,Movimientos!$C$2:$C$5000,"Consumo interno")-SUMIFS(Movimientos!$F$2:$F$5000,Movimientos!$D$2:$D$5000,$A284,Movimientos!$C$2:$C$5000,"Baja")-SUMIFS(Movimientos!$F$2:$F$5000,Movimientos!$D$2:$D$5000,$A284,Movimientos!$C$2:$C$5000,"Baja desde reparación")</f>
        <v>0</v>
      </c>
      <c r="Q284" s="45">
        <f>SUMIFS(Movimientos!$F$2:$F$5000,Movimientos!$D$2:$D$5000,$A284,Movimientos!$C$2:$C$5000,"Salida alquiler")-SUMIFS(Movimientos!$F$2:$F$5000,Movimientos!$D$2:$D$5000,$A284,Movimientos!$C$2:$C$5000,"Retorno alquiler")-SUMIFS(Movimientos!$F$2:$F$5000,Movimientos!$D$2:$D$5000,$A284,Movimientos!$C$2:$C$5000,"Consumido en evento")-SUMIFS(Movimientos!$F$2:$F$5000,Movimientos!$D$2:$D$5000,$A284,Movimientos!$C$2:$C$5000,"A reparación")</f>
        <v>0</v>
      </c>
      <c r="R284" s="45">
        <f>SUMIFS(Movimientos!$F$2:$F$5000,Movimientos!$D$2:$D$5000,$A284,Movimientos!$C$2:$C$5000,"A reparación")-SUMIFS(Movimientos!$F$2:$F$5000,Movimientos!$D$2:$D$5000,$A284,Movimientos!$C$2:$C$5000,"Retorno reparación")-SUMIFS(Movimientos!$F$2:$F$5000,Movimientos!$D$2:$D$5000,$A284,Movimientos!$C$2:$C$5000,"Baja desde reparación")</f>
        <v>0</v>
      </c>
      <c r="S284" s="45">
        <f>P284-Q284-R284</f>
        <v>0</v>
      </c>
    </row>
    <row r="285" spans="1:19">
      <c r="A285" s="15" t="s">
        <v>1320</v>
      </c>
      <c r="B285" s="15" t="s">
        <v>1321</v>
      </c>
      <c r="C285" s="42" t="s">
        <v>1322</v>
      </c>
      <c r="D285" s="15" t="s">
        <v>101</v>
      </c>
      <c r="E285" s="42" t="s">
        <v>1323</v>
      </c>
      <c r="F285" s="43">
        <v>1</v>
      </c>
      <c r="G285" s="15" t="s">
        <v>1061</v>
      </c>
      <c r="H285" s="44">
        <v>1</v>
      </c>
      <c r="I285" s="15" t="s">
        <v>104</v>
      </c>
      <c r="J285" s="15" t="s">
        <v>33</v>
      </c>
      <c r="K285" s="15" t="s">
        <v>35</v>
      </c>
      <c r="L285" s="15" t="s">
        <v>1324</v>
      </c>
      <c r="M285" s="15" t="s">
        <v>38</v>
      </c>
      <c r="N285" s="15"/>
      <c r="O285" s="15"/>
      <c r="P285" s="45">
        <f>H285+SUMIFS(Movimientos!$F$2:$F$5000,Movimientos!$D$2:$D$5000,$A285,Movimientos!$C$2:$C$5000,"Ingreso inventario")+SUMIFS(Movimientos!$F$2:$F$5000,Movimientos!$D$2:$D$5000,$A285,Movimientos!$C$2:$C$5000,"Ajuste")-SUMIFS(Movimientos!$F$2:$F$5000,Movimientos!$D$2:$D$5000,$A285,Movimientos!$C$2:$C$5000,"Consumido en evento")-SUMIFS(Movimientos!$F$2:$F$5000,Movimientos!$D$2:$D$5000,$A285,Movimientos!$C$2:$C$5000,"Consumo interno")-SUMIFS(Movimientos!$F$2:$F$5000,Movimientos!$D$2:$D$5000,$A285,Movimientos!$C$2:$C$5000,"Baja")-SUMIFS(Movimientos!$F$2:$F$5000,Movimientos!$D$2:$D$5000,$A285,Movimientos!$C$2:$C$5000,"Baja desde reparación")</f>
        <v>1</v>
      </c>
      <c r="Q285" s="45">
        <f>SUMIFS(Movimientos!$F$2:$F$5000,Movimientos!$D$2:$D$5000,$A285,Movimientos!$C$2:$C$5000,"Salida alquiler")-SUMIFS(Movimientos!$F$2:$F$5000,Movimientos!$D$2:$D$5000,$A285,Movimientos!$C$2:$C$5000,"Retorno alquiler")-SUMIFS(Movimientos!$F$2:$F$5000,Movimientos!$D$2:$D$5000,$A285,Movimientos!$C$2:$C$5000,"Consumido en evento")-SUMIFS(Movimientos!$F$2:$F$5000,Movimientos!$D$2:$D$5000,$A285,Movimientos!$C$2:$C$5000,"A reparación")</f>
        <v>0</v>
      </c>
      <c r="R285" s="45">
        <f>SUMIFS(Movimientos!$F$2:$F$5000,Movimientos!$D$2:$D$5000,$A285,Movimientos!$C$2:$C$5000,"A reparación")-SUMIFS(Movimientos!$F$2:$F$5000,Movimientos!$D$2:$D$5000,$A285,Movimientos!$C$2:$C$5000,"Retorno reparación")-SUMIFS(Movimientos!$F$2:$F$5000,Movimientos!$D$2:$D$5000,$A285,Movimientos!$C$2:$C$5000,"Baja desde reparación")</f>
        <v>0</v>
      </c>
      <c r="S285" s="45">
        <f>P285-Q285-R285</f>
        <v>1</v>
      </c>
    </row>
    <row r="286" spans="1:19">
      <c r="A286" s="15" t="s">
        <v>1325</v>
      </c>
      <c r="B286" s="15" t="s">
        <v>1326</v>
      </c>
      <c r="C286" s="42" t="s">
        <v>1327</v>
      </c>
      <c r="D286" s="15" t="s">
        <v>101</v>
      </c>
      <c r="E286" s="42" t="s">
        <v>1328</v>
      </c>
      <c r="F286" s="43">
        <v>1</v>
      </c>
      <c r="G286" s="15" t="s">
        <v>168</v>
      </c>
      <c r="H286" s="44">
        <v>1</v>
      </c>
      <c r="I286" s="15" t="s">
        <v>104</v>
      </c>
      <c r="J286" s="15" t="s">
        <v>33</v>
      </c>
      <c r="K286" s="15" t="s">
        <v>35</v>
      </c>
      <c r="L286" s="15"/>
      <c r="M286" s="15" t="s">
        <v>38</v>
      </c>
      <c r="N286" s="15"/>
      <c r="O286" s="15"/>
      <c r="P286" s="45">
        <f>H286+SUMIFS(Movimientos!$F$2:$F$5000,Movimientos!$D$2:$D$5000,$A286,Movimientos!$C$2:$C$5000,"Ingreso inventario")+SUMIFS(Movimientos!$F$2:$F$5000,Movimientos!$D$2:$D$5000,$A286,Movimientos!$C$2:$C$5000,"Ajuste")-SUMIFS(Movimientos!$F$2:$F$5000,Movimientos!$D$2:$D$5000,$A286,Movimientos!$C$2:$C$5000,"Consumido en evento")-SUMIFS(Movimientos!$F$2:$F$5000,Movimientos!$D$2:$D$5000,$A286,Movimientos!$C$2:$C$5000,"Consumo interno")-SUMIFS(Movimientos!$F$2:$F$5000,Movimientos!$D$2:$D$5000,$A286,Movimientos!$C$2:$C$5000,"Baja")-SUMIFS(Movimientos!$F$2:$F$5000,Movimientos!$D$2:$D$5000,$A286,Movimientos!$C$2:$C$5000,"Baja desde reparación")</f>
        <v>1</v>
      </c>
      <c r="Q286" s="45">
        <f>SUMIFS(Movimientos!$F$2:$F$5000,Movimientos!$D$2:$D$5000,$A286,Movimientos!$C$2:$C$5000,"Salida alquiler")-SUMIFS(Movimientos!$F$2:$F$5000,Movimientos!$D$2:$D$5000,$A286,Movimientos!$C$2:$C$5000,"Retorno alquiler")-SUMIFS(Movimientos!$F$2:$F$5000,Movimientos!$D$2:$D$5000,$A286,Movimientos!$C$2:$C$5000,"Consumido en evento")-SUMIFS(Movimientos!$F$2:$F$5000,Movimientos!$D$2:$D$5000,$A286,Movimientos!$C$2:$C$5000,"A reparación")</f>
        <v>0</v>
      </c>
      <c r="R286" s="45">
        <f>SUMIFS(Movimientos!$F$2:$F$5000,Movimientos!$D$2:$D$5000,$A286,Movimientos!$C$2:$C$5000,"A reparación")-SUMIFS(Movimientos!$F$2:$F$5000,Movimientos!$D$2:$D$5000,$A286,Movimientos!$C$2:$C$5000,"Retorno reparación")-SUMIFS(Movimientos!$F$2:$F$5000,Movimientos!$D$2:$D$5000,$A286,Movimientos!$C$2:$C$5000,"Baja desde reparación")</f>
        <v>0</v>
      </c>
      <c r="S286" s="45">
        <f>P286-Q286-R286</f>
        <v>1</v>
      </c>
    </row>
    <row r="287" spans="1:19">
      <c r="A287" s="15" t="s">
        <v>1329</v>
      </c>
      <c r="B287" s="15" t="s">
        <v>1330</v>
      </c>
      <c r="C287" s="42" t="s">
        <v>1331</v>
      </c>
      <c r="D287" s="15" t="s">
        <v>101</v>
      </c>
      <c r="E287" s="42" t="s">
        <v>1332</v>
      </c>
      <c r="F287" s="43">
        <v>1</v>
      </c>
      <c r="G287" s="15" t="s">
        <v>110</v>
      </c>
      <c r="H287" s="44">
        <v>2</v>
      </c>
      <c r="I287" s="15" t="s">
        <v>104</v>
      </c>
      <c r="J287" s="15" t="s">
        <v>33</v>
      </c>
      <c r="K287" s="15" t="s">
        <v>35</v>
      </c>
      <c r="L287" s="15" t="s">
        <v>1333</v>
      </c>
      <c r="M287" s="15" t="s">
        <v>38</v>
      </c>
      <c r="N287" s="15"/>
      <c r="O287" s="15"/>
      <c r="P287" s="45">
        <f>H287+SUMIFS(Movimientos!$F$2:$F$5000,Movimientos!$D$2:$D$5000,$A287,Movimientos!$C$2:$C$5000,"Ingreso inventario")+SUMIFS(Movimientos!$F$2:$F$5000,Movimientos!$D$2:$D$5000,$A287,Movimientos!$C$2:$C$5000,"Ajuste")-SUMIFS(Movimientos!$F$2:$F$5000,Movimientos!$D$2:$D$5000,$A287,Movimientos!$C$2:$C$5000,"Consumido en evento")-SUMIFS(Movimientos!$F$2:$F$5000,Movimientos!$D$2:$D$5000,$A287,Movimientos!$C$2:$C$5000,"Consumo interno")-SUMIFS(Movimientos!$F$2:$F$5000,Movimientos!$D$2:$D$5000,$A287,Movimientos!$C$2:$C$5000,"Baja")-SUMIFS(Movimientos!$F$2:$F$5000,Movimientos!$D$2:$D$5000,$A287,Movimientos!$C$2:$C$5000,"Baja desde reparación")</f>
        <v>2</v>
      </c>
      <c r="Q287" s="45">
        <f>SUMIFS(Movimientos!$F$2:$F$5000,Movimientos!$D$2:$D$5000,$A287,Movimientos!$C$2:$C$5000,"Salida alquiler")-SUMIFS(Movimientos!$F$2:$F$5000,Movimientos!$D$2:$D$5000,$A287,Movimientos!$C$2:$C$5000,"Retorno alquiler")-SUMIFS(Movimientos!$F$2:$F$5000,Movimientos!$D$2:$D$5000,$A287,Movimientos!$C$2:$C$5000,"Consumido en evento")-SUMIFS(Movimientos!$F$2:$F$5000,Movimientos!$D$2:$D$5000,$A287,Movimientos!$C$2:$C$5000,"A reparación")</f>
        <v>0</v>
      </c>
      <c r="R287" s="45">
        <f>SUMIFS(Movimientos!$F$2:$F$5000,Movimientos!$D$2:$D$5000,$A287,Movimientos!$C$2:$C$5000,"A reparación")-SUMIFS(Movimientos!$F$2:$F$5000,Movimientos!$D$2:$D$5000,$A287,Movimientos!$C$2:$C$5000,"Retorno reparación")-SUMIFS(Movimientos!$F$2:$F$5000,Movimientos!$D$2:$D$5000,$A287,Movimientos!$C$2:$C$5000,"Baja desde reparación")</f>
        <v>0</v>
      </c>
      <c r="S287" s="45">
        <f>P287-Q287-R287</f>
        <v>2</v>
      </c>
    </row>
    <row r="288" spans="1:19">
      <c r="A288" s="15" t="s">
        <v>1334</v>
      </c>
      <c r="B288" s="15" t="s">
        <v>1335</v>
      </c>
      <c r="C288" s="42" t="s">
        <v>1336</v>
      </c>
      <c r="D288" s="15" t="s">
        <v>101</v>
      </c>
      <c r="E288" s="42" t="s">
        <v>1337</v>
      </c>
      <c r="F288" s="43">
        <v>1</v>
      </c>
      <c r="G288" s="15" t="s">
        <v>110</v>
      </c>
      <c r="H288" s="44">
        <v>4</v>
      </c>
      <c r="I288" s="15" t="s">
        <v>104</v>
      </c>
      <c r="J288" s="15" t="s">
        <v>33</v>
      </c>
      <c r="K288" s="15" t="s">
        <v>35</v>
      </c>
      <c r="L288" s="15"/>
      <c r="M288" s="15" t="s">
        <v>38</v>
      </c>
      <c r="N288" s="15"/>
      <c r="O288" s="15"/>
      <c r="P288" s="45">
        <f>H288+SUMIFS(Movimientos!$F$2:$F$5000,Movimientos!$D$2:$D$5000,$A288,Movimientos!$C$2:$C$5000,"Ingreso inventario")+SUMIFS(Movimientos!$F$2:$F$5000,Movimientos!$D$2:$D$5000,$A288,Movimientos!$C$2:$C$5000,"Ajuste")-SUMIFS(Movimientos!$F$2:$F$5000,Movimientos!$D$2:$D$5000,$A288,Movimientos!$C$2:$C$5000,"Consumido en evento")-SUMIFS(Movimientos!$F$2:$F$5000,Movimientos!$D$2:$D$5000,$A288,Movimientos!$C$2:$C$5000,"Consumo interno")-SUMIFS(Movimientos!$F$2:$F$5000,Movimientos!$D$2:$D$5000,$A288,Movimientos!$C$2:$C$5000,"Baja")-SUMIFS(Movimientos!$F$2:$F$5000,Movimientos!$D$2:$D$5000,$A288,Movimientos!$C$2:$C$5000,"Baja desde reparación")</f>
        <v>4</v>
      </c>
      <c r="Q288" s="45">
        <f>SUMIFS(Movimientos!$F$2:$F$5000,Movimientos!$D$2:$D$5000,$A288,Movimientos!$C$2:$C$5000,"Salida alquiler")-SUMIFS(Movimientos!$F$2:$F$5000,Movimientos!$D$2:$D$5000,$A288,Movimientos!$C$2:$C$5000,"Retorno alquiler")-SUMIFS(Movimientos!$F$2:$F$5000,Movimientos!$D$2:$D$5000,$A288,Movimientos!$C$2:$C$5000,"Consumido en evento")-SUMIFS(Movimientos!$F$2:$F$5000,Movimientos!$D$2:$D$5000,$A288,Movimientos!$C$2:$C$5000,"A reparación")</f>
        <v>0</v>
      </c>
      <c r="R288" s="45">
        <f>SUMIFS(Movimientos!$F$2:$F$5000,Movimientos!$D$2:$D$5000,$A288,Movimientos!$C$2:$C$5000,"A reparación")-SUMIFS(Movimientos!$F$2:$F$5000,Movimientos!$D$2:$D$5000,$A288,Movimientos!$C$2:$C$5000,"Retorno reparación")-SUMIFS(Movimientos!$F$2:$F$5000,Movimientos!$D$2:$D$5000,$A288,Movimientos!$C$2:$C$5000,"Baja desde reparación")</f>
        <v>0</v>
      </c>
      <c r="S288" s="45">
        <f>P288-Q288-R288</f>
        <v>4</v>
      </c>
    </row>
    <row r="289" spans="1:19">
      <c r="A289" s="15" t="s">
        <v>1338</v>
      </c>
      <c r="B289" s="15" t="s">
        <v>1339</v>
      </c>
      <c r="C289" s="42" t="s">
        <v>1340</v>
      </c>
      <c r="D289" s="15" t="s">
        <v>101</v>
      </c>
      <c r="E289" s="42" t="s">
        <v>1341</v>
      </c>
      <c r="F289" s="43">
        <v>1</v>
      </c>
      <c r="G289" s="15" t="s">
        <v>110</v>
      </c>
      <c r="H289" s="44">
        <v>1</v>
      </c>
      <c r="I289" s="15" t="s">
        <v>104</v>
      </c>
      <c r="J289" s="15" t="s">
        <v>33</v>
      </c>
      <c r="K289" s="15" t="s">
        <v>35</v>
      </c>
      <c r="L289" s="15"/>
      <c r="M289" s="15" t="s">
        <v>38</v>
      </c>
      <c r="N289" s="15"/>
      <c r="O289" s="15"/>
      <c r="P289" s="45">
        <f>H289+SUMIFS(Movimientos!$F$2:$F$5000,Movimientos!$D$2:$D$5000,$A289,Movimientos!$C$2:$C$5000,"Ingreso inventario")+SUMIFS(Movimientos!$F$2:$F$5000,Movimientos!$D$2:$D$5000,$A289,Movimientos!$C$2:$C$5000,"Ajuste")-SUMIFS(Movimientos!$F$2:$F$5000,Movimientos!$D$2:$D$5000,$A289,Movimientos!$C$2:$C$5000,"Consumido en evento")-SUMIFS(Movimientos!$F$2:$F$5000,Movimientos!$D$2:$D$5000,$A289,Movimientos!$C$2:$C$5000,"Consumo interno")-SUMIFS(Movimientos!$F$2:$F$5000,Movimientos!$D$2:$D$5000,$A289,Movimientos!$C$2:$C$5000,"Baja")-SUMIFS(Movimientos!$F$2:$F$5000,Movimientos!$D$2:$D$5000,$A289,Movimientos!$C$2:$C$5000,"Baja desde reparación")</f>
        <v>1</v>
      </c>
      <c r="Q289" s="45">
        <f>SUMIFS(Movimientos!$F$2:$F$5000,Movimientos!$D$2:$D$5000,$A289,Movimientos!$C$2:$C$5000,"Salida alquiler")-SUMIFS(Movimientos!$F$2:$F$5000,Movimientos!$D$2:$D$5000,$A289,Movimientos!$C$2:$C$5000,"Retorno alquiler")-SUMIFS(Movimientos!$F$2:$F$5000,Movimientos!$D$2:$D$5000,$A289,Movimientos!$C$2:$C$5000,"Consumido en evento")-SUMIFS(Movimientos!$F$2:$F$5000,Movimientos!$D$2:$D$5000,$A289,Movimientos!$C$2:$C$5000,"A reparación")</f>
        <v>0</v>
      </c>
      <c r="R289" s="45">
        <f>SUMIFS(Movimientos!$F$2:$F$5000,Movimientos!$D$2:$D$5000,$A289,Movimientos!$C$2:$C$5000,"A reparación")-SUMIFS(Movimientos!$F$2:$F$5000,Movimientos!$D$2:$D$5000,$A289,Movimientos!$C$2:$C$5000,"Retorno reparación")-SUMIFS(Movimientos!$F$2:$F$5000,Movimientos!$D$2:$D$5000,$A289,Movimientos!$C$2:$C$5000,"Baja desde reparación")</f>
        <v>0</v>
      </c>
      <c r="S289" s="45">
        <f>P289-Q289-R289</f>
        <v>1</v>
      </c>
    </row>
    <row r="290" spans="1:19">
      <c r="A290" s="15" t="s">
        <v>1342</v>
      </c>
      <c r="B290" s="15" t="s">
        <v>1343</v>
      </c>
      <c r="C290" s="42" t="s">
        <v>1344</v>
      </c>
      <c r="D290" s="15" t="s">
        <v>101</v>
      </c>
      <c r="E290" s="42" t="s">
        <v>1345</v>
      </c>
      <c r="F290" s="43">
        <v>1</v>
      </c>
      <c r="G290" s="15" t="s">
        <v>110</v>
      </c>
      <c r="H290" s="44">
        <v>0</v>
      </c>
      <c r="I290" s="15" t="s">
        <v>104</v>
      </c>
      <c r="J290" s="15" t="s">
        <v>33</v>
      </c>
      <c r="K290" s="15" t="s">
        <v>35</v>
      </c>
      <c r="L290" s="15" t="s">
        <v>1346</v>
      </c>
      <c r="M290" s="15" t="s">
        <v>38</v>
      </c>
      <c r="N290" s="15"/>
      <c r="O290" s="15"/>
      <c r="P290" s="45">
        <f>H290+SUMIFS(Movimientos!$F$2:$F$5000,Movimientos!$D$2:$D$5000,$A290,Movimientos!$C$2:$C$5000,"Ingreso inventario")+SUMIFS(Movimientos!$F$2:$F$5000,Movimientos!$D$2:$D$5000,$A290,Movimientos!$C$2:$C$5000,"Ajuste")-SUMIFS(Movimientos!$F$2:$F$5000,Movimientos!$D$2:$D$5000,$A290,Movimientos!$C$2:$C$5000,"Consumido en evento")-SUMIFS(Movimientos!$F$2:$F$5000,Movimientos!$D$2:$D$5000,$A290,Movimientos!$C$2:$C$5000,"Consumo interno")-SUMIFS(Movimientos!$F$2:$F$5000,Movimientos!$D$2:$D$5000,$A290,Movimientos!$C$2:$C$5000,"Baja")-SUMIFS(Movimientos!$F$2:$F$5000,Movimientos!$D$2:$D$5000,$A290,Movimientos!$C$2:$C$5000,"Baja desde reparación")</f>
        <v>0</v>
      </c>
      <c r="Q290" s="45">
        <f>SUMIFS(Movimientos!$F$2:$F$5000,Movimientos!$D$2:$D$5000,$A290,Movimientos!$C$2:$C$5000,"Salida alquiler")-SUMIFS(Movimientos!$F$2:$F$5000,Movimientos!$D$2:$D$5000,$A290,Movimientos!$C$2:$C$5000,"Retorno alquiler")-SUMIFS(Movimientos!$F$2:$F$5000,Movimientos!$D$2:$D$5000,$A290,Movimientos!$C$2:$C$5000,"Consumido en evento")-SUMIFS(Movimientos!$F$2:$F$5000,Movimientos!$D$2:$D$5000,$A290,Movimientos!$C$2:$C$5000,"A reparación")</f>
        <v>0</v>
      </c>
      <c r="R290" s="45">
        <f>SUMIFS(Movimientos!$F$2:$F$5000,Movimientos!$D$2:$D$5000,$A290,Movimientos!$C$2:$C$5000,"A reparación")-SUMIFS(Movimientos!$F$2:$F$5000,Movimientos!$D$2:$D$5000,$A290,Movimientos!$C$2:$C$5000,"Retorno reparación")-SUMIFS(Movimientos!$F$2:$F$5000,Movimientos!$D$2:$D$5000,$A290,Movimientos!$C$2:$C$5000,"Baja desde reparación")</f>
        <v>0</v>
      </c>
      <c r="S290" s="45">
        <f>P290-Q290-R290</f>
        <v>0</v>
      </c>
    </row>
    <row r="291" spans="1:19">
      <c r="A291" s="15" t="s">
        <v>1347</v>
      </c>
      <c r="B291" s="15" t="s">
        <v>1348</v>
      </c>
      <c r="C291" s="42" t="s">
        <v>1349</v>
      </c>
      <c r="D291" s="15" t="s">
        <v>101</v>
      </c>
      <c r="E291" s="42" t="s">
        <v>1350</v>
      </c>
      <c r="F291" s="43">
        <v>1</v>
      </c>
      <c r="G291" s="15" t="s">
        <v>168</v>
      </c>
      <c r="H291" s="44">
        <v>2</v>
      </c>
      <c r="I291" s="15" t="s">
        <v>104</v>
      </c>
      <c r="J291" s="15" t="s">
        <v>33</v>
      </c>
      <c r="K291" s="15" t="s">
        <v>35</v>
      </c>
      <c r="L291" s="15" t="s">
        <v>1351</v>
      </c>
      <c r="M291" s="15" t="s">
        <v>38</v>
      </c>
      <c r="N291" s="15"/>
      <c r="O291" s="15"/>
      <c r="P291" s="45">
        <f>H291+SUMIFS(Movimientos!$F$2:$F$5000,Movimientos!$D$2:$D$5000,$A291,Movimientos!$C$2:$C$5000,"Ingreso inventario")+SUMIFS(Movimientos!$F$2:$F$5000,Movimientos!$D$2:$D$5000,$A291,Movimientos!$C$2:$C$5000,"Ajuste")-SUMIFS(Movimientos!$F$2:$F$5000,Movimientos!$D$2:$D$5000,$A291,Movimientos!$C$2:$C$5000,"Consumido en evento")-SUMIFS(Movimientos!$F$2:$F$5000,Movimientos!$D$2:$D$5000,$A291,Movimientos!$C$2:$C$5000,"Consumo interno")-SUMIFS(Movimientos!$F$2:$F$5000,Movimientos!$D$2:$D$5000,$A291,Movimientos!$C$2:$C$5000,"Baja")-SUMIFS(Movimientos!$F$2:$F$5000,Movimientos!$D$2:$D$5000,$A291,Movimientos!$C$2:$C$5000,"Baja desde reparación")</f>
        <v>2</v>
      </c>
      <c r="Q291" s="45">
        <f>SUMIFS(Movimientos!$F$2:$F$5000,Movimientos!$D$2:$D$5000,$A291,Movimientos!$C$2:$C$5000,"Salida alquiler")-SUMIFS(Movimientos!$F$2:$F$5000,Movimientos!$D$2:$D$5000,$A291,Movimientos!$C$2:$C$5000,"Retorno alquiler")-SUMIFS(Movimientos!$F$2:$F$5000,Movimientos!$D$2:$D$5000,$A291,Movimientos!$C$2:$C$5000,"Consumido en evento")-SUMIFS(Movimientos!$F$2:$F$5000,Movimientos!$D$2:$D$5000,$A291,Movimientos!$C$2:$C$5000,"A reparación")</f>
        <v>0</v>
      </c>
      <c r="R291" s="45">
        <f>SUMIFS(Movimientos!$F$2:$F$5000,Movimientos!$D$2:$D$5000,$A291,Movimientos!$C$2:$C$5000,"A reparación")-SUMIFS(Movimientos!$F$2:$F$5000,Movimientos!$D$2:$D$5000,$A291,Movimientos!$C$2:$C$5000,"Retorno reparación")-SUMIFS(Movimientos!$F$2:$F$5000,Movimientos!$D$2:$D$5000,$A291,Movimientos!$C$2:$C$5000,"Baja desde reparación")</f>
        <v>0</v>
      </c>
      <c r="S291" s="45">
        <f>P291-Q291-R291</f>
        <v>2</v>
      </c>
    </row>
    <row r="292" spans="1:19">
      <c r="A292" s="15" t="s">
        <v>1352</v>
      </c>
      <c r="B292" s="15" t="s">
        <v>1353</v>
      </c>
      <c r="C292" s="42" t="s">
        <v>1354</v>
      </c>
      <c r="D292" s="15" t="s">
        <v>101</v>
      </c>
      <c r="E292" s="42" t="s">
        <v>1355</v>
      </c>
      <c r="F292" s="43">
        <v>1</v>
      </c>
      <c r="G292" s="15" t="s">
        <v>1274</v>
      </c>
      <c r="H292" s="44">
        <v>1</v>
      </c>
      <c r="I292" s="15" t="s">
        <v>104</v>
      </c>
      <c r="J292" s="15" t="s">
        <v>33</v>
      </c>
      <c r="K292" s="15" t="s">
        <v>35</v>
      </c>
      <c r="L292" s="15" t="s">
        <v>1356</v>
      </c>
      <c r="M292" s="15" t="s">
        <v>38</v>
      </c>
      <c r="N292" s="15"/>
      <c r="O292" s="15"/>
      <c r="P292" s="45">
        <f>H292+SUMIFS(Movimientos!$F$2:$F$5000,Movimientos!$D$2:$D$5000,$A292,Movimientos!$C$2:$C$5000,"Ingreso inventario")+SUMIFS(Movimientos!$F$2:$F$5000,Movimientos!$D$2:$D$5000,$A292,Movimientos!$C$2:$C$5000,"Ajuste")-SUMIFS(Movimientos!$F$2:$F$5000,Movimientos!$D$2:$D$5000,$A292,Movimientos!$C$2:$C$5000,"Consumido en evento")-SUMIFS(Movimientos!$F$2:$F$5000,Movimientos!$D$2:$D$5000,$A292,Movimientos!$C$2:$C$5000,"Consumo interno")-SUMIFS(Movimientos!$F$2:$F$5000,Movimientos!$D$2:$D$5000,$A292,Movimientos!$C$2:$C$5000,"Baja")-SUMIFS(Movimientos!$F$2:$F$5000,Movimientos!$D$2:$D$5000,$A292,Movimientos!$C$2:$C$5000,"Baja desde reparación")</f>
        <v>1</v>
      </c>
      <c r="Q292" s="45">
        <f>SUMIFS(Movimientos!$F$2:$F$5000,Movimientos!$D$2:$D$5000,$A292,Movimientos!$C$2:$C$5000,"Salida alquiler")-SUMIFS(Movimientos!$F$2:$F$5000,Movimientos!$D$2:$D$5000,$A292,Movimientos!$C$2:$C$5000,"Retorno alquiler")-SUMIFS(Movimientos!$F$2:$F$5000,Movimientos!$D$2:$D$5000,$A292,Movimientos!$C$2:$C$5000,"Consumido en evento")-SUMIFS(Movimientos!$F$2:$F$5000,Movimientos!$D$2:$D$5000,$A292,Movimientos!$C$2:$C$5000,"A reparación")</f>
        <v>0</v>
      </c>
      <c r="R292" s="45">
        <f>SUMIFS(Movimientos!$F$2:$F$5000,Movimientos!$D$2:$D$5000,$A292,Movimientos!$C$2:$C$5000,"A reparación")-SUMIFS(Movimientos!$F$2:$F$5000,Movimientos!$D$2:$D$5000,$A292,Movimientos!$C$2:$C$5000,"Retorno reparación")-SUMIFS(Movimientos!$F$2:$F$5000,Movimientos!$D$2:$D$5000,$A292,Movimientos!$C$2:$C$5000,"Baja desde reparación")</f>
        <v>0</v>
      </c>
      <c r="S292" s="45">
        <f>P292-Q292-R292</f>
        <v>1</v>
      </c>
    </row>
    <row r="293" spans="1:19">
      <c r="A293" s="15" t="s">
        <v>1357</v>
      </c>
      <c r="B293" s="15" t="s">
        <v>1358</v>
      </c>
      <c r="C293" s="42" t="s">
        <v>1359</v>
      </c>
      <c r="D293" s="15" t="s">
        <v>101</v>
      </c>
      <c r="E293" s="42" t="s">
        <v>1360</v>
      </c>
      <c r="F293" s="43">
        <v>1</v>
      </c>
      <c r="G293" s="15" t="s">
        <v>1361</v>
      </c>
      <c r="H293" s="44">
        <v>2</v>
      </c>
      <c r="I293" s="15" t="s">
        <v>104</v>
      </c>
      <c r="J293" s="15" t="s">
        <v>33</v>
      </c>
      <c r="K293" s="15" t="s">
        <v>35</v>
      </c>
      <c r="L293" s="15"/>
      <c r="M293" s="15" t="s">
        <v>38</v>
      </c>
      <c r="N293" s="15"/>
      <c r="O293" s="15"/>
      <c r="P293" s="45">
        <f>H293+SUMIFS(Movimientos!$F$2:$F$5000,Movimientos!$D$2:$D$5000,$A293,Movimientos!$C$2:$C$5000,"Ingreso inventario")+SUMIFS(Movimientos!$F$2:$F$5000,Movimientos!$D$2:$D$5000,$A293,Movimientos!$C$2:$C$5000,"Ajuste")-SUMIFS(Movimientos!$F$2:$F$5000,Movimientos!$D$2:$D$5000,$A293,Movimientos!$C$2:$C$5000,"Consumido en evento")-SUMIFS(Movimientos!$F$2:$F$5000,Movimientos!$D$2:$D$5000,$A293,Movimientos!$C$2:$C$5000,"Consumo interno")-SUMIFS(Movimientos!$F$2:$F$5000,Movimientos!$D$2:$D$5000,$A293,Movimientos!$C$2:$C$5000,"Baja")-SUMIFS(Movimientos!$F$2:$F$5000,Movimientos!$D$2:$D$5000,$A293,Movimientos!$C$2:$C$5000,"Baja desde reparación")</f>
        <v>2</v>
      </c>
      <c r="Q293" s="45">
        <f>SUMIFS(Movimientos!$F$2:$F$5000,Movimientos!$D$2:$D$5000,$A293,Movimientos!$C$2:$C$5000,"Salida alquiler")-SUMIFS(Movimientos!$F$2:$F$5000,Movimientos!$D$2:$D$5000,$A293,Movimientos!$C$2:$C$5000,"Retorno alquiler")-SUMIFS(Movimientos!$F$2:$F$5000,Movimientos!$D$2:$D$5000,$A293,Movimientos!$C$2:$C$5000,"Consumido en evento")-SUMIFS(Movimientos!$F$2:$F$5000,Movimientos!$D$2:$D$5000,$A293,Movimientos!$C$2:$C$5000,"A reparación")</f>
        <v>0</v>
      </c>
      <c r="R293" s="45">
        <f>SUMIFS(Movimientos!$F$2:$F$5000,Movimientos!$D$2:$D$5000,$A293,Movimientos!$C$2:$C$5000,"A reparación")-SUMIFS(Movimientos!$F$2:$F$5000,Movimientos!$D$2:$D$5000,$A293,Movimientos!$C$2:$C$5000,"Retorno reparación")-SUMIFS(Movimientos!$F$2:$F$5000,Movimientos!$D$2:$D$5000,$A293,Movimientos!$C$2:$C$5000,"Baja desde reparación")</f>
        <v>0</v>
      </c>
      <c r="S293" s="45">
        <f>P293-Q293-R293</f>
        <v>2</v>
      </c>
    </row>
    <row r="294" spans="1:19">
      <c r="A294" s="15" t="s">
        <v>1362</v>
      </c>
      <c r="B294" s="15" t="s">
        <v>1363</v>
      </c>
      <c r="C294" s="42" t="s">
        <v>1364</v>
      </c>
      <c r="D294" s="15" t="s">
        <v>101</v>
      </c>
      <c r="E294" s="42" t="s">
        <v>1365</v>
      </c>
      <c r="F294" s="43">
        <v>1</v>
      </c>
      <c r="G294" s="15" t="s">
        <v>1361</v>
      </c>
      <c r="H294" s="44">
        <v>3</v>
      </c>
      <c r="I294" s="15" t="s">
        <v>104</v>
      </c>
      <c r="J294" s="15" t="s">
        <v>33</v>
      </c>
      <c r="K294" s="15" t="s">
        <v>35</v>
      </c>
      <c r="L294" s="15"/>
      <c r="M294" s="15" t="s">
        <v>38</v>
      </c>
      <c r="N294" s="15"/>
      <c r="O294" s="15"/>
      <c r="P294" s="45">
        <f>H294+SUMIFS(Movimientos!$F$2:$F$5000,Movimientos!$D$2:$D$5000,$A294,Movimientos!$C$2:$C$5000,"Ingreso inventario")+SUMIFS(Movimientos!$F$2:$F$5000,Movimientos!$D$2:$D$5000,$A294,Movimientos!$C$2:$C$5000,"Ajuste")-SUMIFS(Movimientos!$F$2:$F$5000,Movimientos!$D$2:$D$5000,$A294,Movimientos!$C$2:$C$5000,"Consumido en evento")-SUMIFS(Movimientos!$F$2:$F$5000,Movimientos!$D$2:$D$5000,$A294,Movimientos!$C$2:$C$5000,"Consumo interno")-SUMIFS(Movimientos!$F$2:$F$5000,Movimientos!$D$2:$D$5000,$A294,Movimientos!$C$2:$C$5000,"Baja")-SUMIFS(Movimientos!$F$2:$F$5000,Movimientos!$D$2:$D$5000,$A294,Movimientos!$C$2:$C$5000,"Baja desde reparación")</f>
        <v>3</v>
      </c>
      <c r="Q294" s="45">
        <f>SUMIFS(Movimientos!$F$2:$F$5000,Movimientos!$D$2:$D$5000,$A294,Movimientos!$C$2:$C$5000,"Salida alquiler")-SUMIFS(Movimientos!$F$2:$F$5000,Movimientos!$D$2:$D$5000,$A294,Movimientos!$C$2:$C$5000,"Retorno alquiler")-SUMIFS(Movimientos!$F$2:$F$5000,Movimientos!$D$2:$D$5000,$A294,Movimientos!$C$2:$C$5000,"Consumido en evento")-SUMIFS(Movimientos!$F$2:$F$5000,Movimientos!$D$2:$D$5000,$A294,Movimientos!$C$2:$C$5000,"A reparación")</f>
        <v>0</v>
      </c>
      <c r="R294" s="45">
        <f>SUMIFS(Movimientos!$F$2:$F$5000,Movimientos!$D$2:$D$5000,$A294,Movimientos!$C$2:$C$5000,"A reparación")-SUMIFS(Movimientos!$F$2:$F$5000,Movimientos!$D$2:$D$5000,$A294,Movimientos!$C$2:$C$5000,"Retorno reparación")-SUMIFS(Movimientos!$F$2:$F$5000,Movimientos!$D$2:$D$5000,$A294,Movimientos!$C$2:$C$5000,"Baja desde reparación")</f>
        <v>0</v>
      </c>
      <c r="S294" s="45">
        <f>P294-Q294-R294</f>
        <v>3</v>
      </c>
    </row>
    <row r="295" spans="1:19">
      <c r="A295" s="15" t="s">
        <v>1366</v>
      </c>
      <c r="B295" s="15" t="s">
        <v>1367</v>
      </c>
      <c r="C295" s="42" t="s">
        <v>1368</v>
      </c>
      <c r="D295" s="15" t="s">
        <v>101</v>
      </c>
      <c r="E295" s="42" t="s">
        <v>1369</v>
      </c>
      <c r="F295" s="43">
        <v>1</v>
      </c>
      <c r="G295" s="15" t="s">
        <v>1361</v>
      </c>
      <c r="H295" s="44">
        <v>1</v>
      </c>
      <c r="I295" s="15" t="s">
        <v>104</v>
      </c>
      <c r="J295" s="15" t="s">
        <v>33</v>
      </c>
      <c r="K295" s="15" t="s">
        <v>35</v>
      </c>
      <c r="L295" s="15"/>
      <c r="M295" s="15" t="s">
        <v>38</v>
      </c>
      <c r="N295" s="15"/>
      <c r="O295" s="15"/>
      <c r="P295" s="45">
        <f>H295+SUMIFS(Movimientos!$F$2:$F$5000,Movimientos!$D$2:$D$5000,$A295,Movimientos!$C$2:$C$5000,"Ingreso inventario")+SUMIFS(Movimientos!$F$2:$F$5000,Movimientos!$D$2:$D$5000,$A295,Movimientos!$C$2:$C$5000,"Ajuste")-SUMIFS(Movimientos!$F$2:$F$5000,Movimientos!$D$2:$D$5000,$A295,Movimientos!$C$2:$C$5000,"Consumido en evento")-SUMIFS(Movimientos!$F$2:$F$5000,Movimientos!$D$2:$D$5000,$A295,Movimientos!$C$2:$C$5000,"Consumo interno")-SUMIFS(Movimientos!$F$2:$F$5000,Movimientos!$D$2:$D$5000,$A295,Movimientos!$C$2:$C$5000,"Baja")-SUMIFS(Movimientos!$F$2:$F$5000,Movimientos!$D$2:$D$5000,$A295,Movimientos!$C$2:$C$5000,"Baja desde reparación")</f>
        <v>1</v>
      </c>
      <c r="Q295" s="45">
        <f>SUMIFS(Movimientos!$F$2:$F$5000,Movimientos!$D$2:$D$5000,$A295,Movimientos!$C$2:$C$5000,"Salida alquiler")-SUMIFS(Movimientos!$F$2:$F$5000,Movimientos!$D$2:$D$5000,$A295,Movimientos!$C$2:$C$5000,"Retorno alquiler")-SUMIFS(Movimientos!$F$2:$F$5000,Movimientos!$D$2:$D$5000,$A295,Movimientos!$C$2:$C$5000,"Consumido en evento")-SUMIFS(Movimientos!$F$2:$F$5000,Movimientos!$D$2:$D$5000,$A295,Movimientos!$C$2:$C$5000,"A reparación")</f>
        <v>0</v>
      </c>
      <c r="R295" s="45">
        <f>SUMIFS(Movimientos!$F$2:$F$5000,Movimientos!$D$2:$D$5000,$A295,Movimientos!$C$2:$C$5000,"A reparación")-SUMIFS(Movimientos!$F$2:$F$5000,Movimientos!$D$2:$D$5000,$A295,Movimientos!$C$2:$C$5000,"Retorno reparación")-SUMIFS(Movimientos!$F$2:$F$5000,Movimientos!$D$2:$D$5000,$A295,Movimientos!$C$2:$C$5000,"Baja desde reparación")</f>
        <v>0</v>
      </c>
      <c r="S295" s="45">
        <f>P295-Q295-R295</f>
        <v>1</v>
      </c>
    </row>
    <row r="296" spans="1:19">
      <c r="A296" s="15" t="s">
        <v>1370</v>
      </c>
      <c r="B296" s="15" t="s">
        <v>1371</v>
      </c>
      <c r="C296" s="42" t="s">
        <v>1372</v>
      </c>
      <c r="D296" s="15" t="s">
        <v>101</v>
      </c>
      <c r="E296" s="42" t="s">
        <v>1373</v>
      </c>
      <c r="F296" s="43">
        <v>1</v>
      </c>
      <c r="G296" s="15" t="s">
        <v>1374</v>
      </c>
      <c r="H296" s="44">
        <v>1</v>
      </c>
      <c r="I296" s="15" t="s">
        <v>104</v>
      </c>
      <c r="J296" s="15" t="s">
        <v>33</v>
      </c>
      <c r="K296" s="15" t="s">
        <v>35</v>
      </c>
      <c r="L296" s="15"/>
      <c r="M296" s="15" t="s">
        <v>38</v>
      </c>
      <c r="N296" s="15"/>
      <c r="O296" s="15"/>
      <c r="P296" s="45">
        <f>H296+SUMIFS(Movimientos!$F$2:$F$5000,Movimientos!$D$2:$D$5000,$A296,Movimientos!$C$2:$C$5000,"Ingreso inventario")+SUMIFS(Movimientos!$F$2:$F$5000,Movimientos!$D$2:$D$5000,$A296,Movimientos!$C$2:$C$5000,"Ajuste")-SUMIFS(Movimientos!$F$2:$F$5000,Movimientos!$D$2:$D$5000,$A296,Movimientos!$C$2:$C$5000,"Consumido en evento")-SUMIFS(Movimientos!$F$2:$F$5000,Movimientos!$D$2:$D$5000,$A296,Movimientos!$C$2:$C$5000,"Consumo interno")-SUMIFS(Movimientos!$F$2:$F$5000,Movimientos!$D$2:$D$5000,$A296,Movimientos!$C$2:$C$5000,"Baja")-SUMIFS(Movimientos!$F$2:$F$5000,Movimientos!$D$2:$D$5000,$A296,Movimientos!$C$2:$C$5000,"Baja desde reparación")</f>
        <v>1</v>
      </c>
      <c r="Q296" s="45">
        <f>SUMIFS(Movimientos!$F$2:$F$5000,Movimientos!$D$2:$D$5000,$A296,Movimientos!$C$2:$C$5000,"Salida alquiler")-SUMIFS(Movimientos!$F$2:$F$5000,Movimientos!$D$2:$D$5000,$A296,Movimientos!$C$2:$C$5000,"Retorno alquiler")-SUMIFS(Movimientos!$F$2:$F$5000,Movimientos!$D$2:$D$5000,$A296,Movimientos!$C$2:$C$5000,"Consumido en evento")-SUMIFS(Movimientos!$F$2:$F$5000,Movimientos!$D$2:$D$5000,$A296,Movimientos!$C$2:$C$5000,"A reparación")</f>
        <v>0</v>
      </c>
      <c r="R296" s="45">
        <f>SUMIFS(Movimientos!$F$2:$F$5000,Movimientos!$D$2:$D$5000,$A296,Movimientos!$C$2:$C$5000,"A reparación")-SUMIFS(Movimientos!$F$2:$F$5000,Movimientos!$D$2:$D$5000,$A296,Movimientos!$C$2:$C$5000,"Retorno reparación")-SUMIFS(Movimientos!$F$2:$F$5000,Movimientos!$D$2:$D$5000,$A296,Movimientos!$C$2:$C$5000,"Baja desde reparación")</f>
        <v>0</v>
      </c>
      <c r="S296" s="45">
        <f>P296-Q296-R296</f>
        <v>1</v>
      </c>
    </row>
    <row r="297" spans="1:19">
      <c r="A297" s="15" t="s">
        <v>1375</v>
      </c>
      <c r="B297" s="15" t="s">
        <v>1376</v>
      </c>
      <c r="C297" s="42" t="s">
        <v>1377</v>
      </c>
      <c r="D297" s="15" t="s">
        <v>101</v>
      </c>
      <c r="E297" s="42" t="s">
        <v>1378</v>
      </c>
      <c r="F297" s="43">
        <v>1</v>
      </c>
      <c r="G297" s="15" t="s">
        <v>1374</v>
      </c>
      <c r="H297" s="44">
        <v>6</v>
      </c>
      <c r="I297" s="15" t="s">
        <v>104</v>
      </c>
      <c r="J297" s="15" t="s">
        <v>33</v>
      </c>
      <c r="K297" s="15" t="s">
        <v>35</v>
      </c>
      <c r="L297" s="15"/>
      <c r="M297" s="15" t="s">
        <v>38</v>
      </c>
      <c r="N297" s="15"/>
      <c r="O297" s="15"/>
      <c r="P297" s="45">
        <f>H297+SUMIFS(Movimientos!$F$2:$F$5000,Movimientos!$D$2:$D$5000,$A297,Movimientos!$C$2:$C$5000,"Ingreso inventario")+SUMIFS(Movimientos!$F$2:$F$5000,Movimientos!$D$2:$D$5000,$A297,Movimientos!$C$2:$C$5000,"Ajuste")-SUMIFS(Movimientos!$F$2:$F$5000,Movimientos!$D$2:$D$5000,$A297,Movimientos!$C$2:$C$5000,"Consumido en evento")-SUMIFS(Movimientos!$F$2:$F$5000,Movimientos!$D$2:$D$5000,$A297,Movimientos!$C$2:$C$5000,"Consumo interno")-SUMIFS(Movimientos!$F$2:$F$5000,Movimientos!$D$2:$D$5000,$A297,Movimientos!$C$2:$C$5000,"Baja")-SUMIFS(Movimientos!$F$2:$F$5000,Movimientos!$D$2:$D$5000,$A297,Movimientos!$C$2:$C$5000,"Baja desde reparación")</f>
        <v>6</v>
      </c>
      <c r="Q297" s="45">
        <f>SUMIFS(Movimientos!$F$2:$F$5000,Movimientos!$D$2:$D$5000,$A297,Movimientos!$C$2:$C$5000,"Salida alquiler")-SUMIFS(Movimientos!$F$2:$F$5000,Movimientos!$D$2:$D$5000,$A297,Movimientos!$C$2:$C$5000,"Retorno alquiler")-SUMIFS(Movimientos!$F$2:$F$5000,Movimientos!$D$2:$D$5000,$A297,Movimientos!$C$2:$C$5000,"Consumido en evento")-SUMIFS(Movimientos!$F$2:$F$5000,Movimientos!$D$2:$D$5000,$A297,Movimientos!$C$2:$C$5000,"A reparación")</f>
        <v>0</v>
      </c>
      <c r="R297" s="45">
        <f>SUMIFS(Movimientos!$F$2:$F$5000,Movimientos!$D$2:$D$5000,$A297,Movimientos!$C$2:$C$5000,"A reparación")-SUMIFS(Movimientos!$F$2:$F$5000,Movimientos!$D$2:$D$5000,$A297,Movimientos!$C$2:$C$5000,"Retorno reparación")-SUMIFS(Movimientos!$F$2:$F$5000,Movimientos!$D$2:$D$5000,$A297,Movimientos!$C$2:$C$5000,"Baja desde reparación")</f>
        <v>0</v>
      </c>
      <c r="S297" s="45">
        <f>P297-Q297-R297</f>
        <v>6</v>
      </c>
    </row>
    <row r="298" spans="1:19">
      <c r="A298" s="15" t="s">
        <v>1379</v>
      </c>
      <c r="B298" s="15" t="s">
        <v>1380</v>
      </c>
      <c r="C298" s="42" t="s">
        <v>1381</v>
      </c>
      <c r="D298" s="15" t="s">
        <v>101</v>
      </c>
      <c r="E298" s="42" t="s">
        <v>1382</v>
      </c>
      <c r="F298" s="43">
        <v>1</v>
      </c>
      <c r="G298" s="15" t="s">
        <v>1374</v>
      </c>
      <c r="H298" s="44">
        <v>1</v>
      </c>
      <c r="I298" s="15" t="s">
        <v>104</v>
      </c>
      <c r="J298" s="15" t="s">
        <v>33</v>
      </c>
      <c r="K298" s="15" t="s">
        <v>35</v>
      </c>
      <c r="L298" s="15"/>
      <c r="M298" s="15" t="s">
        <v>38</v>
      </c>
      <c r="N298" s="15"/>
      <c r="O298" s="15"/>
      <c r="P298" s="45">
        <f>H298+SUMIFS(Movimientos!$F$2:$F$5000,Movimientos!$D$2:$D$5000,$A298,Movimientos!$C$2:$C$5000,"Ingreso inventario")+SUMIFS(Movimientos!$F$2:$F$5000,Movimientos!$D$2:$D$5000,$A298,Movimientos!$C$2:$C$5000,"Ajuste")-SUMIFS(Movimientos!$F$2:$F$5000,Movimientos!$D$2:$D$5000,$A298,Movimientos!$C$2:$C$5000,"Consumido en evento")-SUMIFS(Movimientos!$F$2:$F$5000,Movimientos!$D$2:$D$5000,$A298,Movimientos!$C$2:$C$5000,"Consumo interno")-SUMIFS(Movimientos!$F$2:$F$5000,Movimientos!$D$2:$D$5000,$A298,Movimientos!$C$2:$C$5000,"Baja")-SUMIFS(Movimientos!$F$2:$F$5000,Movimientos!$D$2:$D$5000,$A298,Movimientos!$C$2:$C$5000,"Baja desde reparación")</f>
        <v>1</v>
      </c>
      <c r="Q298" s="45">
        <f>SUMIFS(Movimientos!$F$2:$F$5000,Movimientos!$D$2:$D$5000,$A298,Movimientos!$C$2:$C$5000,"Salida alquiler")-SUMIFS(Movimientos!$F$2:$F$5000,Movimientos!$D$2:$D$5000,$A298,Movimientos!$C$2:$C$5000,"Retorno alquiler")-SUMIFS(Movimientos!$F$2:$F$5000,Movimientos!$D$2:$D$5000,$A298,Movimientos!$C$2:$C$5000,"Consumido en evento")-SUMIFS(Movimientos!$F$2:$F$5000,Movimientos!$D$2:$D$5000,$A298,Movimientos!$C$2:$C$5000,"A reparación")</f>
        <v>0</v>
      </c>
      <c r="R298" s="45">
        <f>SUMIFS(Movimientos!$F$2:$F$5000,Movimientos!$D$2:$D$5000,$A298,Movimientos!$C$2:$C$5000,"A reparación")-SUMIFS(Movimientos!$F$2:$F$5000,Movimientos!$D$2:$D$5000,$A298,Movimientos!$C$2:$C$5000,"Retorno reparación")-SUMIFS(Movimientos!$F$2:$F$5000,Movimientos!$D$2:$D$5000,$A298,Movimientos!$C$2:$C$5000,"Baja desde reparación")</f>
        <v>0</v>
      </c>
      <c r="S298" s="45">
        <f>P298-Q298-R298</f>
        <v>1</v>
      </c>
    </row>
    <row r="299" spans="1:19">
      <c r="A299" s="15" t="s">
        <v>1383</v>
      </c>
      <c r="B299" s="15" t="s">
        <v>1384</v>
      </c>
      <c r="C299" s="42" t="s">
        <v>1385</v>
      </c>
      <c r="D299" s="15" t="s">
        <v>101</v>
      </c>
      <c r="E299" s="42" t="s">
        <v>1386</v>
      </c>
      <c r="F299" s="43">
        <v>1</v>
      </c>
      <c r="G299" s="15" t="s">
        <v>1374</v>
      </c>
      <c r="H299" s="44">
        <v>4</v>
      </c>
      <c r="I299" s="15" t="s">
        <v>104</v>
      </c>
      <c r="J299" s="15" t="s">
        <v>33</v>
      </c>
      <c r="K299" s="15" t="s">
        <v>35</v>
      </c>
      <c r="L299" s="15"/>
      <c r="M299" s="15" t="s">
        <v>38</v>
      </c>
      <c r="N299" s="15"/>
      <c r="O299" s="15"/>
      <c r="P299" s="45">
        <f>H299+SUMIFS(Movimientos!$F$2:$F$5000,Movimientos!$D$2:$D$5000,$A299,Movimientos!$C$2:$C$5000,"Ingreso inventario")+SUMIFS(Movimientos!$F$2:$F$5000,Movimientos!$D$2:$D$5000,$A299,Movimientos!$C$2:$C$5000,"Ajuste")-SUMIFS(Movimientos!$F$2:$F$5000,Movimientos!$D$2:$D$5000,$A299,Movimientos!$C$2:$C$5000,"Consumido en evento")-SUMIFS(Movimientos!$F$2:$F$5000,Movimientos!$D$2:$D$5000,$A299,Movimientos!$C$2:$C$5000,"Consumo interno")-SUMIFS(Movimientos!$F$2:$F$5000,Movimientos!$D$2:$D$5000,$A299,Movimientos!$C$2:$C$5000,"Baja")-SUMIFS(Movimientos!$F$2:$F$5000,Movimientos!$D$2:$D$5000,$A299,Movimientos!$C$2:$C$5000,"Baja desde reparación")</f>
        <v>4</v>
      </c>
      <c r="Q299" s="45">
        <f>SUMIFS(Movimientos!$F$2:$F$5000,Movimientos!$D$2:$D$5000,$A299,Movimientos!$C$2:$C$5000,"Salida alquiler")-SUMIFS(Movimientos!$F$2:$F$5000,Movimientos!$D$2:$D$5000,$A299,Movimientos!$C$2:$C$5000,"Retorno alquiler")-SUMIFS(Movimientos!$F$2:$F$5000,Movimientos!$D$2:$D$5000,$A299,Movimientos!$C$2:$C$5000,"Consumido en evento")-SUMIFS(Movimientos!$F$2:$F$5000,Movimientos!$D$2:$D$5000,$A299,Movimientos!$C$2:$C$5000,"A reparación")</f>
        <v>0</v>
      </c>
      <c r="R299" s="45">
        <f>SUMIFS(Movimientos!$F$2:$F$5000,Movimientos!$D$2:$D$5000,$A299,Movimientos!$C$2:$C$5000,"A reparación")-SUMIFS(Movimientos!$F$2:$F$5000,Movimientos!$D$2:$D$5000,$A299,Movimientos!$C$2:$C$5000,"Retorno reparación")-SUMIFS(Movimientos!$F$2:$F$5000,Movimientos!$D$2:$D$5000,$A299,Movimientos!$C$2:$C$5000,"Baja desde reparación")</f>
        <v>0</v>
      </c>
      <c r="S299" s="45">
        <f>P299-Q299-R299</f>
        <v>4</v>
      </c>
    </row>
    <row r="300" spans="1:19">
      <c r="A300" s="15" t="s">
        <v>1387</v>
      </c>
      <c r="B300" s="15" t="s">
        <v>1388</v>
      </c>
      <c r="C300" s="42" t="s">
        <v>1389</v>
      </c>
      <c r="D300" s="15" t="s">
        <v>101</v>
      </c>
      <c r="E300" s="42" t="s">
        <v>1390</v>
      </c>
      <c r="F300" s="43">
        <v>1</v>
      </c>
      <c r="G300" s="15" t="s">
        <v>1374</v>
      </c>
      <c r="H300" s="44">
        <v>100</v>
      </c>
      <c r="I300" s="15" t="s">
        <v>104</v>
      </c>
      <c r="J300" s="15" t="s">
        <v>33</v>
      </c>
      <c r="K300" s="15" t="s">
        <v>35</v>
      </c>
      <c r="L300" s="15" t="s">
        <v>1391</v>
      </c>
      <c r="M300" s="15" t="s">
        <v>38</v>
      </c>
      <c r="N300" s="15"/>
      <c r="O300" s="15"/>
      <c r="P300" s="45">
        <f>H300+SUMIFS(Movimientos!$F$2:$F$5000,Movimientos!$D$2:$D$5000,$A300,Movimientos!$C$2:$C$5000,"Ingreso inventario")+SUMIFS(Movimientos!$F$2:$F$5000,Movimientos!$D$2:$D$5000,$A300,Movimientos!$C$2:$C$5000,"Ajuste")-SUMIFS(Movimientos!$F$2:$F$5000,Movimientos!$D$2:$D$5000,$A300,Movimientos!$C$2:$C$5000,"Consumido en evento")-SUMIFS(Movimientos!$F$2:$F$5000,Movimientos!$D$2:$D$5000,$A300,Movimientos!$C$2:$C$5000,"Consumo interno")-SUMIFS(Movimientos!$F$2:$F$5000,Movimientos!$D$2:$D$5000,$A300,Movimientos!$C$2:$C$5000,"Baja")-SUMIFS(Movimientos!$F$2:$F$5000,Movimientos!$D$2:$D$5000,$A300,Movimientos!$C$2:$C$5000,"Baja desde reparación")</f>
        <v>100</v>
      </c>
      <c r="Q300" s="45">
        <f>SUMIFS(Movimientos!$F$2:$F$5000,Movimientos!$D$2:$D$5000,$A300,Movimientos!$C$2:$C$5000,"Salida alquiler")-SUMIFS(Movimientos!$F$2:$F$5000,Movimientos!$D$2:$D$5000,$A300,Movimientos!$C$2:$C$5000,"Retorno alquiler")-SUMIFS(Movimientos!$F$2:$F$5000,Movimientos!$D$2:$D$5000,$A300,Movimientos!$C$2:$C$5000,"Consumido en evento")-SUMIFS(Movimientos!$F$2:$F$5000,Movimientos!$D$2:$D$5000,$A300,Movimientos!$C$2:$C$5000,"A reparación")</f>
        <v>0</v>
      </c>
      <c r="R300" s="45">
        <f>SUMIFS(Movimientos!$F$2:$F$5000,Movimientos!$D$2:$D$5000,$A300,Movimientos!$C$2:$C$5000,"A reparación")-SUMIFS(Movimientos!$F$2:$F$5000,Movimientos!$D$2:$D$5000,$A300,Movimientos!$C$2:$C$5000,"Retorno reparación")-SUMIFS(Movimientos!$F$2:$F$5000,Movimientos!$D$2:$D$5000,$A300,Movimientos!$C$2:$C$5000,"Baja desde reparación")</f>
        <v>0</v>
      </c>
      <c r="S300" s="45">
        <f>P300-Q300-R300</f>
        <v>100</v>
      </c>
    </row>
    <row r="301" spans="1:19">
      <c r="A301" s="15" t="s">
        <v>1392</v>
      </c>
      <c r="B301" s="15" t="s">
        <v>1393</v>
      </c>
      <c r="C301" s="42" t="s">
        <v>1394</v>
      </c>
      <c r="D301" s="15" t="s">
        <v>101</v>
      </c>
      <c r="E301" s="42" t="s">
        <v>1395</v>
      </c>
      <c r="F301" s="43">
        <v>1</v>
      </c>
      <c r="G301" s="15" t="s">
        <v>1374</v>
      </c>
      <c r="H301" s="44">
        <v>6</v>
      </c>
      <c r="I301" s="15" t="s">
        <v>104</v>
      </c>
      <c r="J301" s="15" t="s">
        <v>33</v>
      </c>
      <c r="K301" s="15" t="s">
        <v>35</v>
      </c>
      <c r="L301" s="15"/>
      <c r="M301" s="15" t="s">
        <v>38</v>
      </c>
      <c r="N301" s="15"/>
      <c r="O301" s="15"/>
      <c r="P301" s="45">
        <f>H301+SUMIFS(Movimientos!$F$2:$F$5000,Movimientos!$D$2:$D$5000,$A301,Movimientos!$C$2:$C$5000,"Ingreso inventario")+SUMIFS(Movimientos!$F$2:$F$5000,Movimientos!$D$2:$D$5000,$A301,Movimientos!$C$2:$C$5000,"Ajuste")-SUMIFS(Movimientos!$F$2:$F$5000,Movimientos!$D$2:$D$5000,$A301,Movimientos!$C$2:$C$5000,"Consumido en evento")-SUMIFS(Movimientos!$F$2:$F$5000,Movimientos!$D$2:$D$5000,$A301,Movimientos!$C$2:$C$5000,"Consumo interno")-SUMIFS(Movimientos!$F$2:$F$5000,Movimientos!$D$2:$D$5000,$A301,Movimientos!$C$2:$C$5000,"Baja")-SUMIFS(Movimientos!$F$2:$F$5000,Movimientos!$D$2:$D$5000,$A301,Movimientos!$C$2:$C$5000,"Baja desde reparación")</f>
        <v>6</v>
      </c>
      <c r="Q301" s="45">
        <f>SUMIFS(Movimientos!$F$2:$F$5000,Movimientos!$D$2:$D$5000,$A301,Movimientos!$C$2:$C$5000,"Salida alquiler")-SUMIFS(Movimientos!$F$2:$F$5000,Movimientos!$D$2:$D$5000,$A301,Movimientos!$C$2:$C$5000,"Retorno alquiler")-SUMIFS(Movimientos!$F$2:$F$5000,Movimientos!$D$2:$D$5000,$A301,Movimientos!$C$2:$C$5000,"Consumido en evento")-SUMIFS(Movimientos!$F$2:$F$5000,Movimientos!$D$2:$D$5000,$A301,Movimientos!$C$2:$C$5000,"A reparación")</f>
        <v>0</v>
      </c>
      <c r="R301" s="45">
        <f>SUMIFS(Movimientos!$F$2:$F$5000,Movimientos!$D$2:$D$5000,$A301,Movimientos!$C$2:$C$5000,"A reparación")-SUMIFS(Movimientos!$F$2:$F$5000,Movimientos!$D$2:$D$5000,$A301,Movimientos!$C$2:$C$5000,"Retorno reparación")-SUMIFS(Movimientos!$F$2:$F$5000,Movimientos!$D$2:$D$5000,$A301,Movimientos!$C$2:$C$5000,"Baja desde reparación")</f>
        <v>0</v>
      </c>
      <c r="S301" s="45">
        <f>P301-Q301-R301</f>
        <v>6</v>
      </c>
    </row>
    <row r="302" spans="1:19">
      <c r="A302" s="15" t="s">
        <v>1396</v>
      </c>
      <c r="B302" s="15" t="s">
        <v>1397</v>
      </c>
      <c r="C302" s="42" t="s">
        <v>1398</v>
      </c>
      <c r="D302" s="15" t="s">
        <v>101</v>
      </c>
      <c r="E302" s="42" t="s">
        <v>1399</v>
      </c>
      <c r="F302" s="43">
        <v>1</v>
      </c>
      <c r="G302" s="15" t="s">
        <v>976</v>
      </c>
      <c r="H302" s="44">
        <v>6</v>
      </c>
      <c r="I302" s="15" t="s">
        <v>104</v>
      </c>
      <c r="J302" s="15" t="s">
        <v>33</v>
      </c>
      <c r="K302" s="15" t="s">
        <v>35</v>
      </c>
      <c r="L302" s="15"/>
      <c r="M302" s="15" t="s">
        <v>38</v>
      </c>
      <c r="N302" s="15"/>
      <c r="O302" s="15"/>
      <c r="P302" s="45">
        <f>H302+SUMIFS(Movimientos!$F$2:$F$5000,Movimientos!$D$2:$D$5000,$A302,Movimientos!$C$2:$C$5000,"Ingreso inventario")+SUMIFS(Movimientos!$F$2:$F$5000,Movimientos!$D$2:$D$5000,$A302,Movimientos!$C$2:$C$5000,"Ajuste")-SUMIFS(Movimientos!$F$2:$F$5000,Movimientos!$D$2:$D$5000,$A302,Movimientos!$C$2:$C$5000,"Consumido en evento")-SUMIFS(Movimientos!$F$2:$F$5000,Movimientos!$D$2:$D$5000,$A302,Movimientos!$C$2:$C$5000,"Consumo interno")-SUMIFS(Movimientos!$F$2:$F$5000,Movimientos!$D$2:$D$5000,$A302,Movimientos!$C$2:$C$5000,"Baja")-SUMIFS(Movimientos!$F$2:$F$5000,Movimientos!$D$2:$D$5000,$A302,Movimientos!$C$2:$C$5000,"Baja desde reparación")</f>
        <v>6</v>
      </c>
      <c r="Q302" s="45">
        <f>SUMIFS(Movimientos!$F$2:$F$5000,Movimientos!$D$2:$D$5000,$A302,Movimientos!$C$2:$C$5000,"Salida alquiler")-SUMIFS(Movimientos!$F$2:$F$5000,Movimientos!$D$2:$D$5000,$A302,Movimientos!$C$2:$C$5000,"Retorno alquiler")-SUMIFS(Movimientos!$F$2:$F$5000,Movimientos!$D$2:$D$5000,$A302,Movimientos!$C$2:$C$5000,"Consumido en evento")-SUMIFS(Movimientos!$F$2:$F$5000,Movimientos!$D$2:$D$5000,$A302,Movimientos!$C$2:$C$5000,"A reparación")</f>
        <v>0</v>
      </c>
      <c r="R302" s="45">
        <f>SUMIFS(Movimientos!$F$2:$F$5000,Movimientos!$D$2:$D$5000,$A302,Movimientos!$C$2:$C$5000,"A reparación")-SUMIFS(Movimientos!$F$2:$F$5000,Movimientos!$D$2:$D$5000,$A302,Movimientos!$C$2:$C$5000,"Retorno reparación")-SUMIFS(Movimientos!$F$2:$F$5000,Movimientos!$D$2:$D$5000,$A302,Movimientos!$C$2:$C$5000,"Baja desde reparación")</f>
        <v>0</v>
      </c>
      <c r="S302" s="45">
        <f>P302-Q302-R302</f>
        <v>6</v>
      </c>
    </row>
    <row r="303" spans="1:19">
      <c r="A303" s="15" t="s">
        <v>1400</v>
      </c>
      <c r="B303" s="15" t="s">
        <v>1401</v>
      </c>
      <c r="C303" s="42" t="s">
        <v>1402</v>
      </c>
      <c r="D303" s="15" t="s">
        <v>101</v>
      </c>
      <c r="E303" s="42" t="s">
        <v>1403</v>
      </c>
      <c r="F303" s="43">
        <v>1</v>
      </c>
      <c r="G303" s="15" t="s">
        <v>1404</v>
      </c>
      <c r="H303" s="44">
        <v>2</v>
      </c>
      <c r="I303" s="15" t="s">
        <v>104</v>
      </c>
      <c r="J303" s="15" t="s">
        <v>33</v>
      </c>
      <c r="K303" s="15" t="s">
        <v>35</v>
      </c>
      <c r="L303" s="15" t="s">
        <v>1405</v>
      </c>
      <c r="M303" s="15" t="s">
        <v>38</v>
      </c>
      <c r="N303" s="15"/>
      <c r="O303" s="15"/>
      <c r="P303" s="45">
        <f>H303+SUMIFS(Movimientos!$F$2:$F$5000,Movimientos!$D$2:$D$5000,$A303,Movimientos!$C$2:$C$5000,"Ingreso inventario")+SUMIFS(Movimientos!$F$2:$F$5000,Movimientos!$D$2:$D$5000,$A303,Movimientos!$C$2:$C$5000,"Ajuste")-SUMIFS(Movimientos!$F$2:$F$5000,Movimientos!$D$2:$D$5000,$A303,Movimientos!$C$2:$C$5000,"Consumido en evento")-SUMIFS(Movimientos!$F$2:$F$5000,Movimientos!$D$2:$D$5000,$A303,Movimientos!$C$2:$C$5000,"Consumo interno")-SUMIFS(Movimientos!$F$2:$F$5000,Movimientos!$D$2:$D$5000,$A303,Movimientos!$C$2:$C$5000,"Baja")-SUMIFS(Movimientos!$F$2:$F$5000,Movimientos!$D$2:$D$5000,$A303,Movimientos!$C$2:$C$5000,"Baja desde reparación")</f>
        <v>2</v>
      </c>
      <c r="Q303" s="45">
        <f>SUMIFS(Movimientos!$F$2:$F$5000,Movimientos!$D$2:$D$5000,$A303,Movimientos!$C$2:$C$5000,"Salida alquiler")-SUMIFS(Movimientos!$F$2:$F$5000,Movimientos!$D$2:$D$5000,$A303,Movimientos!$C$2:$C$5000,"Retorno alquiler")-SUMIFS(Movimientos!$F$2:$F$5000,Movimientos!$D$2:$D$5000,$A303,Movimientos!$C$2:$C$5000,"Consumido en evento")-SUMIFS(Movimientos!$F$2:$F$5000,Movimientos!$D$2:$D$5000,$A303,Movimientos!$C$2:$C$5000,"A reparación")</f>
        <v>0</v>
      </c>
      <c r="R303" s="45">
        <f>SUMIFS(Movimientos!$F$2:$F$5000,Movimientos!$D$2:$D$5000,$A303,Movimientos!$C$2:$C$5000,"A reparación")-SUMIFS(Movimientos!$F$2:$F$5000,Movimientos!$D$2:$D$5000,$A303,Movimientos!$C$2:$C$5000,"Retorno reparación")-SUMIFS(Movimientos!$F$2:$F$5000,Movimientos!$D$2:$D$5000,$A303,Movimientos!$C$2:$C$5000,"Baja desde reparación")</f>
        <v>0</v>
      </c>
      <c r="S303" s="45">
        <f>P303-Q303-R303</f>
        <v>2</v>
      </c>
    </row>
    <row r="304" spans="1:19">
      <c r="A304" s="15" t="s">
        <v>1406</v>
      </c>
      <c r="B304" s="15" t="s">
        <v>1407</v>
      </c>
      <c r="C304" s="42" t="s">
        <v>1408</v>
      </c>
      <c r="D304" s="15" t="s">
        <v>101</v>
      </c>
      <c r="E304" s="42" t="s">
        <v>1409</v>
      </c>
      <c r="F304" s="43">
        <v>1</v>
      </c>
      <c r="G304" s="15" t="s">
        <v>1404</v>
      </c>
      <c r="H304" s="44">
        <v>1</v>
      </c>
      <c r="I304" s="15" t="s">
        <v>104</v>
      </c>
      <c r="J304" s="15" t="s">
        <v>33</v>
      </c>
      <c r="K304" s="15" t="s">
        <v>35</v>
      </c>
      <c r="L304" s="15"/>
      <c r="M304" s="15" t="s">
        <v>38</v>
      </c>
      <c r="N304" s="15"/>
      <c r="O304" s="15"/>
      <c r="P304" s="45">
        <f>H304+SUMIFS(Movimientos!$F$2:$F$5000,Movimientos!$D$2:$D$5000,$A304,Movimientos!$C$2:$C$5000,"Ingreso inventario")+SUMIFS(Movimientos!$F$2:$F$5000,Movimientos!$D$2:$D$5000,$A304,Movimientos!$C$2:$C$5000,"Ajuste")-SUMIFS(Movimientos!$F$2:$F$5000,Movimientos!$D$2:$D$5000,$A304,Movimientos!$C$2:$C$5000,"Consumido en evento")-SUMIFS(Movimientos!$F$2:$F$5000,Movimientos!$D$2:$D$5000,$A304,Movimientos!$C$2:$C$5000,"Consumo interno")-SUMIFS(Movimientos!$F$2:$F$5000,Movimientos!$D$2:$D$5000,$A304,Movimientos!$C$2:$C$5000,"Baja")-SUMIFS(Movimientos!$F$2:$F$5000,Movimientos!$D$2:$D$5000,$A304,Movimientos!$C$2:$C$5000,"Baja desde reparación")</f>
        <v>1</v>
      </c>
      <c r="Q304" s="45">
        <f>SUMIFS(Movimientos!$F$2:$F$5000,Movimientos!$D$2:$D$5000,$A304,Movimientos!$C$2:$C$5000,"Salida alquiler")-SUMIFS(Movimientos!$F$2:$F$5000,Movimientos!$D$2:$D$5000,$A304,Movimientos!$C$2:$C$5000,"Retorno alquiler")-SUMIFS(Movimientos!$F$2:$F$5000,Movimientos!$D$2:$D$5000,$A304,Movimientos!$C$2:$C$5000,"Consumido en evento")-SUMIFS(Movimientos!$F$2:$F$5000,Movimientos!$D$2:$D$5000,$A304,Movimientos!$C$2:$C$5000,"A reparación")</f>
        <v>0</v>
      </c>
      <c r="R304" s="45">
        <f>SUMIFS(Movimientos!$F$2:$F$5000,Movimientos!$D$2:$D$5000,$A304,Movimientos!$C$2:$C$5000,"A reparación")-SUMIFS(Movimientos!$F$2:$F$5000,Movimientos!$D$2:$D$5000,$A304,Movimientos!$C$2:$C$5000,"Retorno reparación")-SUMIFS(Movimientos!$F$2:$F$5000,Movimientos!$D$2:$D$5000,$A304,Movimientos!$C$2:$C$5000,"Baja desde reparación")</f>
        <v>0</v>
      </c>
      <c r="S304" s="45">
        <f>P304-Q304-R304</f>
        <v>1</v>
      </c>
    </row>
    <row r="305" spans="1:19">
      <c r="A305" s="15" t="s">
        <v>1410</v>
      </c>
      <c r="B305" s="15" t="s">
        <v>1411</v>
      </c>
      <c r="C305" s="42" t="s">
        <v>1412</v>
      </c>
      <c r="D305" s="15" t="s">
        <v>101</v>
      </c>
      <c r="E305" s="42" t="s">
        <v>1413</v>
      </c>
      <c r="F305" s="43">
        <v>1</v>
      </c>
      <c r="G305" s="15" t="s">
        <v>1414</v>
      </c>
      <c r="H305" s="44">
        <v>1</v>
      </c>
      <c r="I305" s="15" t="s">
        <v>104</v>
      </c>
      <c r="J305" s="15" t="s">
        <v>33</v>
      </c>
      <c r="K305" s="15" t="s">
        <v>35</v>
      </c>
      <c r="L305" s="15"/>
      <c r="M305" s="15" t="s">
        <v>38</v>
      </c>
      <c r="N305" s="15"/>
      <c r="O305" s="15"/>
      <c r="P305" s="45">
        <f>H305+SUMIFS(Movimientos!$F$2:$F$5000,Movimientos!$D$2:$D$5000,$A305,Movimientos!$C$2:$C$5000,"Ingreso inventario")+SUMIFS(Movimientos!$F$2:$F$5000,Movimientos!$D$2:$D$5000,$A305,Movimientos!$C$2:$C$5000,"Ajuste")-SUMIFS(Movimientos!$F$2:$F$5000,Movimientos!$D$2:$D$5000,$A305,Movimientos!$C$2:$C$5000,"Consumido en evento")-SUMIFS(Movimientos!$F$2:$F$5000,Movimientos!$D$2:$D$5000,$A305,Movimientos!$C$2:$C$5000,"Consumo interno")-SUMIFS(Movimientos!$F$2:$F$5000,Movimientos!$D$2:$D$5000,$A305,Movimientos!$C$2:$C$5000,"Baja")-SUMIFS(Movimientos!$F$2:$F$5000,Movimientos!$D$2:$D$5000,$A305,Movimientos!$C$2:$C$5000,"Baja desde reparación")</f>
        <v>1</v>
      </c>
      <c r="Q305" s="45">
        <f>SUMIFS(Movimientos!$F$2:$F$5000,Movimientos!$D$2:$D$5000,$A305,Movimientos!$C$2:$C$5000,"Salida alquiler")-SUMIFS(Movimientos!$F$2:$F$5000,Movimientos!$D$2:$D$5000,$A305,Movimientos!$C$2:$C$5000,"Retorno alquiler")-SUMIFS(Movimientos!$F$2:$F$5000,Movimientos!$D$2:$D$5000,$A305,Movimientos!$C$2:$C$5000,"Consumido en evento")-SUMIFS(Movimientos!$F$2:$F$5000,Movimientos!$D$2:$D$5000,$A305,Movimientos!$C$2:$C$5000,"A reparación")</f>
        <v>0</v>
      </c>
      <c r="R305" s="45">
        <f>SUMIFS(Movimientos!$F$2:$F$5000,Movimientos!$D$2:$D$5000,$A305,Movimientos!$C$2:$C$5000,"A reparación")-SUMIFS(Movimientos!$F$2:$F$5000,Movimientos!$D$2:$D$5000,$A305,Movimientos!$C$2:$C$5000,"Retorno reparación")-SUMIFS(Movimientos!$F$2:$F$5000,Movimientos!$D$2:$D$5000,$A305,Movimientos!$C$2:$C$5000,"Baja desde reparación")</f>
        <v>0</v>
      </c>
      <c r="S305" s="45">
        <f>P305-Q305-R305</f>
        <v>1</v>
      </c>
    </row>
    <row r="306" spans="1:19">
      <c r="A306" s="15" t="s">
        <v>1415</v>
      </c>
      <c r="B306" s="15" t="s">
        <v>1416</v>
      </c>
      <c r="C306" s="42" t="s">
        <v>1417</v>
      </c>
      <c r="D306" s="15" t="s">
        <v>101</v>
      </c>
      <c r="E306" s="42" t="s">
        <v>1418</v>
      </c>
      <c r="F306" s="43">
        <v>1</v>
      </c>
      <c r="G306" s="15" t="s">
        <v>1414</v>
      </c>
      <c r="H306" s="44">
        <v>1</v>
      </c>
      <c r="I306" s="15" t="s">
        <v>104</v>
      </c>
      <c r="J306" s="15" t="s">
        <v>33</v>
      </c>
      <c r="K306" s="15" t="s">
        <v>35</v>
      </c>
      <c r="L306" s="15"/>
      <c r="M306" s="15" t="s">
        <v>38</v>
      </c>
      <c r="N306" s="15"/>
      <c r="O306" s="15"/>
      <c r="P306" s="45">
        <f>H306+SUMIFS(Movimientos!$F$2:$F$5000,Movimientos!$D$2:$D$5000,$A306,Movimientos!$C$2:$C$5000,"Ingreso inventario")+SUMIFS(Movimientos!$F$2:$F$5000,Movimientos!$D$2:$D$5000,$A306,Movimientos!$C$2:$C$5000,"Ajuste")-SUMIFS(Movimientos!$F$2:$F$5000,Movimientos!$D$2:$D$5000,$A306,Movimientos!$C$2:$C$5000,"Consumido en evento")-SUMIFS(Movimientos!$F$2:$F$5000,Movimientos!$D$2:$D$5000,$A306,Movimientos!$C$2:$C$5000,"Consumo interno")-SUMIFS(Movimientos!$F$2:$F$5000,Movimientos!$D$2:$D$5000,$A306,Movimientos!$C$2:$C$5000,"Baja")-SUMIFS(Movimientos!$F$2:$F$5000,Movimientos!$D$2:$D$5000,$A306,Movimientos!$C$2:$C$5000,"Baja desde reparación")</f>
        <v>1</v>
      </c>
      <c r="Q306" s="45">
        <f>SUMIFS(Movimientos!$F$2:$F$5000,Movimientos!$D$2:$D$5000,$A306,Movimientos!$C$2:$C$5000,"Salida alquiler")-SUMIFS(Movimientos!$F$2:$F$5000,Movimientos!$D$2:$D$5000,$A306,Movimientos!$C$2:$C$5000,"Retorno alquiler")-SUMIFS(Movimientos!$F$2:$F$5000,Movimientos!$D$2:$D$5000,$A306,Movimientos!$C$2:$C$5000,"Consumido en evento")-SUMIFS(Movimientos!$F$2:$F$5000,Movimientos!$D$2:$D$5000,$A306,Movimientos!$C$2:$C$5000,"A reparación")</f>
        <v>0</v>
      </c>
      <c r="R306" s="45">
        <f>SUMIFS(Movimientos!$F$2:$F$5000,Movimientos!$D$2:$D$5000,$A306,Movimientos!$C$2:$C$5000,"A reparación")-SUMIFS(Movimientos!$F$2:$F$5000,Movimientos!$D$2:$D$5000,$A306,Movimientos!$C$2:$C$5000,"Retorno reparación")-SUMIFS(Movimientos!$F$2:$F$5000,Movimientos!$D$2:$D$5000,$A306,Movimientos!$C$2:$C$5000,"Baja desde reparación")</f>
        <v>0</v>
      </c>
      <c r="S306" s="45">
        <f>P306-Q306-R306</f>
        <v>1</v>
      </c>
    </row>
    <row r="307" spans="1:19">
      <c r="A307" s="15" t="s">
        <v>1419</v>
      </c>
      <c r="B307" s="15" t="s">
        <v>1420</v>
      </c>
      <c r="C307" s="42" t="s">
        <v>1421</v>
      </c>
      <c r="D307" s="15" t="s">
        <v>101</v>
      </c>
      <c r="E307" s="42" t="s">
        <v>1422</v>
      </c>
      <c r="F307" s="43">
        <v>1</v>
      </c>
      <c r="G307" s="15" t="s">
        <v>1215</v>
      </c>
      <c r="H307" s="44">
        <v>2</v>
      </c>
      <c r="I307" s="15" t="s">
        <v>104</v>
      </c>
      <c r="J307" s="15" t="s">
        <v>33</v>
      </c>
      <c r="K307" s="15" t="s">
        <v>35</v>
      </c>
      <c r="L307" s="15" t="s">
        <v>1423</v>
      </c>
      <c r="M307" s="15" t="s">
        <v>38</v>
      </c>
      <c r="N307" s="15"/>
      <c r="O307" s="15"/>
      <c r="P307" s="45">
        <f>H307+SUMIFS(Movimientos!$F$2:$F$5000,Movimientos!$D$2:$D$5000,$A307,Movimientos!$C$2:$C$5000,"Ingreso inventario")+SUMIFS(Movimientos!$F$2:$F$5000,Movimientos!$D$2:$D$5000,$A307,Movimientos!$C$2:$C$5000,"Ajuste")-SUMIFS(Movimientos!$F$2:$F$5000,Movimientos!$D$2:$D$5000,$A307,Movimientos!$C$2:$C$5000,"Consumido en evento")-SUMIFS(Movimientos!$F$2:$F$5000,Movimientos!$D$2:$D$5000,$A307,Movimientos!$C$2:$C$5000,"Consumo interno")-SUMIFS(Movimientos!$F$2:$F$5000,Movimientos!$D$2:$D$5000,$A307,Movimientos!$C$2:$C$5000,"Baja")-SUMIFS(Movimientos!$F$2:$F$5000,Movimientos!$D$2:$D$5000,$A307,Movimientos!$C$2:$C$5000,"Baja desde reparación")</f>
        <v>2</v>
      </c>
      <c r="Q307" s="45">
        <f>SUMIFS(Movimientos!$F$2:$F$5000,Movimientos!$D$2:$D$5000,$A307,Movimientos!$C$2:$C$5000,"Salida alquiler")-SUMIFS(Movimientos!$F$2:$F$5000,Movimientos!$D$2:$D$5000,$A307,Movimientos!$C$2:$C$5000,"Retorno alquiler")-SUMIFS(Movimientos!$F$2:$F$5000,Movimientos!$D$2:$D$5000,$A307,Movimientos!$C$2:$C$5000,"Consumido en evento")-SUMIFS(Movimientos!$F$2:$F$5000,Movimientos!$D$2:$D$5000,$A307,Movimientos!$C$2:$C$5000,"A reparación")</f>
        <v>0</v>
      </c>
      <c r="R307" s="45">
        <f>SUMIFS(Movimientos!$F$2:$F$5000,Movimientos!$D$2:$D$5000,$A307,Movimientos!$C$2:$C$5000,"A reparación")-SUMIFS(Movimientos!$F$2:$F$5000,Movimientos!$D$2:$D$5000,$A307,Movimientos!$C$2:$C$5000,"Retorno reparación")-SUMIFS(Movimientos!$F$2:$F$5000,Movimientos!$D$2:$D$5000,$A307,Movimientos!$C$2:$C$5000,"Baja desde reparación")</f>
        <v>0</v>
      </c>
      <c r="S307" s="45">
        <f>P307-Q307-R307</f>
        <v>2</v>
      </c>
    </row>
    <row r="308" spans="1:19">
      <c r="A308" s="15" t="s">
        <v>1424</v>
      </c>
      <c r="B308" s="15" t="s">
        <v>1425</v>
      </c>
      <c r="C308" s="42" t="s">
        <v>1426</v>
      </c>
      <c r="D308" s="15" t="s">
        <v>101</v>
      </c>
      <c r="E308" s="42" t="s">
        <v>1427</v>
      </c>
      <c r="F308" s="43">
        <v>1</v>
      </c>
      <c r="G308" s="15" t="s">
        <v>168</v>
      </c>
      <c r="H308" s="44">
        <v>2</v>
      </c>
      <c r="I308" s="15" t="s">
        <v>104</v>
      </c>
      <c r="J308" s="15" t="s">
        <v>33</v>
      </c>
      <c r="K308" s="15" t="s">
        <v>35</v>
      </c>
      <c r="L308" s="15"/>
      <c r="M308" s="15" t="s">
        <v>38</v>
      </c>
      <c r="N308" s="15"/>
      <c r="O308" s="15"/>
      <c r="P308" s="45">
        <f>H308+SUMIFS(Movimientos!$F$2:$F$5000,Movimientos!$D$2:$D$5000,$A308,Movimientos!$C$2:$C$5000,"Ingreso inventario")+SUMIFS(Movimientos!$F$2:$F$5000,Movimientos!$D$2:$D$5000,$A308,Movimientos!$C$2:$C$5000,"Ajuste")-SUMIFS(Movimientos!$F$2:$F$5000,Movimientos!$D$2:$D$5000,$A308,Movimientos!$C$2:$C$5000,"Consumido en evento")-SUMIFS(Movimientos!$F$2:$F$5000,Movimientos!$D$2:$D$5000,$A308,Movimientos!$C$2:$C$5000,"Consumo interno")-SUMIFS(Movimientos!$F$2:$F$5000,Movimientos!$D$2:$D$5000,$A308,Movimientos!$C$2:$C$5000,"Baja")-SUMIFS(Movimientos!$F$2:$F$5000,Movimientos!$D$2:$D$5000,$A308,Movimientos!$C$2:$C$5000,"Baja desde reparación")</f>
        <v>2</v>
      </c>
      <c r="Q308" s="45">
        <f>SUMIFS(Movimientos!$F$2:$F$5000,Movimientos!$D$2:$D$5000,$A308,Movimientos!$C$2:$C$5000,"Salida alquiler")-SUMIFS(Movimientos!$F$2:$F$5000,Movimientos!$D$2:$D$5000,$A308,Movimientos!$C$2:$C$5000,"Retorno alquiler")-SUMIFS(Movimientos!$F$2:$F$5000,Movimientos!$D$2:$D$5000,$A308,Movimientos!$C$2:$C$5000,"Consumido en evento")-SUMIFS(Movimientos!$F$2:$F$5000,Movimientos!$D$2:$D$5000,$A308,Movimientos!$C$2:$C$5000,"A reparación")</f>
        <v>0</v>
      </c>
      <c r="R308" s="45">
        <f>SUMIFS(Movimientos!$F$2:$F$5000,Movimientos!$D$2:$D$5000,$A308,Movimientos!$C$2:$C$5000,"A reparación")-SUMIFS(Movimientos!$F$2:$F$5000,Movimientos!$D$2:$D$5000,$A308,Movimientos!$C$2:$C$5000,"Retorno reparación")-SUMIFS(Movimientos!$F$2:$F$5000,Movimientos!$D$2:$D$5000,$A308,Movimientos!$C$2:$C$5000,"Baja desde reparación")</f>
        <v>0</v>
      </c>
      <c r="S308" s="45">
        <f>P308-Q308-R308</f>
        <v>2</v>
      </c>
    </row>
    <row r="309" spans="1:19">
      <c r="A309" s="15" t="s">
        <v>1428</v>
      </c>
      <c r="B309" s="15" t="s">
        <v>1429</v>
      </c>
      <c r="C309" s="42" t="s">
        <v>1430</v>
      </c>
      <c r="D309" s="15" t="s">
        <v>101</v>
      </c>
      <c r="E309" s="42" t="s">
        <v>1431</v>
      </c>
      <c r="F309" s="43">
        <v>1</v>
      </c>
      <c r="G309" s="15" t="s">
        <v>168</v>
      </c>
      <c r="H309" s="44">
        <v>6</v>
      </c>
      <c r="I309" s="15" t="s">
        <v>104</v>
      </c>
      <c r="J309" s="15" t="s">
        <v>33</v>
      </c>
      <c r="K309" s="15" t="s">
        <v>35</v>
      </c>
      <c r="L309" s="15"/>
      <c r="M309" s="15" t="s">
        <v>38</v>
      </c>
      <c r="N309" s="15"/>
      <c r="O309" s="15"/>
      <c r="P309" s="45">
        <f>H309+SUMIFS(Movimientos!$F$2:$F$5000,Movimientos!$D$2:$D$5000,$A309,Movimientos!$C$2:$C$5000,"Ingreso inventario")+SUMIFS(Movimientos!$F$2:$F$5000,Movimientos!$D$2:$D$5000,$A309,Movimientos!$C$2:$C$5000,"Ajuste")-SUMIFS(Movimientos!$F$2:$F$5000,Movimientos!$D$2:$D$5000,$A309,Movimientos!$C$2:$C$5000,"Consumido en evento")-SUMIFS(Movimientos!$F$2:$F$5000,Movimientos!$D$2:$D$5000,$A309,Movimientos!$C$2:$C$5000,"Consumo interno")-SUMIFS(Movimientos!$F$2:$F$5000,Movimientos!$D$2:$D$5000,$A309,Movimientos!$C$2:$C$5000,"Baja")-SUMIFS(Movimientos!$F$2:$F$5000,Movimientos!$D$2:$D$5000,$A309,Movimientos!$C$2:$C$5000,"Baja desde reparación")</f>
        <v>6</v>
      </c>
      <c r="Q309" s="45">
        <f>SUMIFS(Movimientos!$F$2:$F$5000,Movimientos!$D$2:$D$5000,$A309,Movimientos!$C$2:$C$5000,"Salida alquiler")-SUMIFS(Movimientos!$F$2:$F$5000,Movimientos!$D$2:$D$5000,$A309,Movimientos!$C$2:$C$5000,"Retorno alquiler")-SUMIFS(Movimientos!$F$2:$F$5000,Movimientos!$D$2:$D$5000,$A309,Movimientos!$C$2:$C$5000,"Consumido en evento")-SUMIFS(Movimientos!$F$2:$F$5000,Movimientos!$D$2:$D$5000,$A309,Movimientos!$C$2:$C$5000,"A reparación")</f>
        <v>0</v>
      </c>
      <c r="R309" s="45">
        <f>SUMIFS(Movimientos!$F$2:$F$5000,Movimientos!$D$2:$D$5000,$A309,Movimientos!$C$2:$C$5000,"A reparación")-SUMIFS(Movimientos!$F$2:$F$5000,Movimientos!$D$2:$D$5000,$A309,Movimientos!$C$2:$C$5000,"Retorno reparación")-SUMIFS(Movimientos!$F$2:$F$5000,Movimientos!$D$2:$D$5000,$A309,Movimientos!$C$2:$C$5000,"Baja desde reparación")</f>
        <v>0</v>
      </c>
      <c r="S309" s="45">
        <f>P309-Q309-R309</f>
        <v>6</v>
      </c>
    </row>
    <row r="310" spans="1:19">
      <c r="A310" s="15" t="s">
        <v>1432</v>
      </c>
      <c r="B310" s="15" t="s">
        <v>1433</v>
      </c>
      <c r="C310" s="42" t="s">
        <v>1434</v>
      </c>
      <c r="D310" s="15" t="s">
        <v>101</v>
      </c>
      <c r="E310" s="42" t="s">
        <v>1435</v>
      </c>
      <c r="F310" s="43">
        <v>1</v>
      </c>
      <c r="G310" s="15" t="s">
        <v>594</v>
      </c>
      <c r="H310" s="44">
        <v>7</v>
      </c>
      <c r="I310" s="15" t="s">
        <v>104</v>
      </c>
      <c r="J310" s="15" t="s">
        <v>33</v>
      </c>
      <c r="K310" s="15" t="s">
        <v>35</v>
      </c>
      <c r="L310" s="15"/>
      <c r="M310" s="15" t="s">
        <v>38</v>
      </c>
      <c r="N310" s="15"/>
      <c r="O310" s="15"/>
      <c r="P310" s="45">
        <f>H310+SUMIFS(Movimientos!$F$2:$F$5000,Movimientos!$D$2:$D$5000,$A310,Movimientos!$C$2:$C$5000,"Ingreso inventario")+SUMIFS(Movimientos!$F$2:$F$5000,Movimientos!$D$2:$D$5000,$A310,Movimientos!$C$2:$C$5000,"Ajuste")-SUMIFS(Movimientos!$F$2:$F$5000,Movimientos!$D$2:$D$5000,$A310,Movimientos!$C$2:$C$5000,"Consumido en evento")-SUMIFS(Movimientos!$F$2:$F$5000,Movimientos!$D$2:$D$5000,$A310,Movimientos!$C$2:$C$5000,"Consumo interno")-SUMIFS(Movimientos!$F$2:$F$5000,Movimientos!$D$2:$D$5000,$A310,Movimientos!$C$2:$C$5000,"Baja")-SUMIFS(Movimientos!$F$2:$F$5000,Movimientos!$D$2:$D$5000,$A310,Movimientos!$C$2:$C$5000,"Baja desde reparación")</f>
        <v>7</v>
      </c>
      <c r="Q310" s="45">
        <f>SUMIFS(Movimientos!$F$2:$F$5000,Movimientos!$D$2:$D$5000,$A310,Movimientos!$C$2:$C$5000,"Salida alquiler")-SUMIFS(Movimientos!$F$2:$F$5000,Movimientos!$D$2:$D$5000,$A310,Movimientos!$C$2:$C$5000,"Retorno alquiler")-SUMIFS(Movimientos!$F$2:$F$5000,Movimientos!$D$2:$D$5000,$A310,Movimientos!$C$2:$C$5000,"Consumido en evento")-SUMIFS(Movimientos!$F$2:$F$5000,Movimientos!$D$2:$D$5000,$A310,Movimientos!$C$2:$C$5000,"A reparación")</f>
        <v>0</v>
      </c>
      <c r="R310" s="45">
        <f>SUMIFS(Movimientos!$F$2:$F$5000,Movimientos!$D$2:$D$5000,$A310,Movimientos!$C$2:$C$5000,"A reparación")-SUMIFS(Movimientos!$F$2:$F$5000,Movimientos!$D$2:$D$5000,$A310,Movimientos!$C$2:$C$5000,"Retorno reparación")-SUMIFS(Movimientos!$F$2:$F$5000,Movimientos!$D$2:$D$5000,$A310,Movimientos!$C$2:$C$5000,"Baja desde reparación")</f>
        <v>0</v>
      </c>
      <c r="S310" s="45">
        <f>P310-Q310-R310</f>
        <v>7</v>
      </c>
    </row>
    <row r="311" spans="1:19">
      <c r="A311" s="15" t="s">
        <v>1436</v>
      </c>
      <c r="B311" s="15" t="s">
        <v>1437</v>
      </c>
      <c r="C311" s="42" t="s">
        <v>1438</v>
      </c>
      <c r="D311" s="15" t="s">
        <v>101</v>
      </c>
      <c r="E311" s="42" t="s">
        <v>1439</v>
      </c>
      <c r="F311" s="43">
        <v>1</v>
      </c>
      <c r="G311" s="15" t="s">
        <v>594</v>
      </c>
      <c r="H311" s="44">
        <v>1</v>
      </c>
      <c r="I311" s="15" t="s">
        <v>104</v>
      </c>
      <c r="J311" s="15" t="s">
        <v>33</v>
      </c>
      <c r="K311" s="15" t="s">
        <v>35</v>
      </c>
      <c r="L311" s="15"/>
      <c r="M311" s="15" t="s">
        <v>38</v>
      </c>
      <c r="N311" s="15"/>
      <c r="O311" s="15"/>
      <c r="P311" s="45">
        <f>H311+SUMIFS(Movimientos!$F$2:$F$5000,Movimientos!$D$2:$D$5000,$A311,Movimientos!$C$2:$C$5000,"Ingreso inventario")+SUMIFS(Movimientos!$F$2:$F$5000,Movimientos!$D$2:$D$5000,$A311,Movimientos!$C$2:$C$5000,"Ajuste")-SUMIFS(Movimientos!$F$2:$F$5000,Movimientos!$D$2:$D$5000,$A311,Movimientos!$C$2:$C$5000,"Consumido en evento")-SUMIFS(Movimientos!$F$2:$F$5000,Movimientos!$D$2:$D$5000,$A311,Movimientos!$C$2:$C$5000,"Consumo interno")-SUMIFS(Movimientos!$F$2:$F$5000,Movimientos!$D$2:$D$5000,$A311,Movimientos!$C$2:$C$5000,"Baja")-SUMIFS(Movimientos!$F$2:$F$5000,Movimientos!$D$2:$D$5000,$A311,Movimientos!$C$2:$C$5000,"Baja desde reparación")</f>
        <v>1</v>
      </c>
      <c r="Q311" s="45">
        <f>SUMIFS(Movimientos!$F$2:$F$5000,Movimientos!$D$2:$D$5000,$A311,Movimientos!$C$2:$C$5000,"Salida alquiler")-SUMIFS(Movimientos!$F$2:$F$5000,Movimientos!$D$2:$D$5000,$A311,Movimientos!$C$2:$C$5000,"Retorno alquiler")-SUMIFS(Movimientos!$F$2:$F$5000,Movimientos!$D$2:$D$5000,$A311,Movimientos!$C$2:$C$5000,"Consumido en evento")-SUMIFS(Movimientos!$F$2:$F$5000,Movimientos!$D$2:$D$5000,$A311,Movimientos!$C$2:$C$5000,"A reparación")</f>
        <v>0</v>
      </c>
      <c r="R311" s="45">
        <f>SUMIFS(Movimientos!$F$2:$F$5000,Movimientos!$D$2:$D$5000,$A311,Movimientos!$C$2:$C$5000,"A reparación")-SUMIFS(Movimientos!$F$2:$F$5000,Movimientos!$D$2:$D$5000,$A311,Movimientos!$C$2:$C$5000,"Retorno reparación")-SUMIFS(Movimientos!$F$2:$F$5000,Movimientos!$D$2:$D$5000,$A311,Movimientos!$C$2:$C$5000,"Baja desde reparación")</f>
        <v>0</v>
      </c>
      <c r="S311" s="45">
        <f>P311-Q311-R311</f>
        <v>1</v>
      </c>
    </row>
    <row r="312" spans="1:19">
      <c r="A312" s="15" t="s">
        <v>1440</v>
      </c>
      <c r="B312" s="15" t="s">
        <v>1441</v>
      </c>
      <c r="C312" s="42" t="s">
        <v>1442</v>
      </c>
      <c r="D312" s="15" t="s">
        <v>101</v>
      </c>
      <c r="E312" s="42" t="s">
        <v>1443</v>
      </c>
      <c r="F312" s="43">
        <v>1</v>
      </c>
      <c r="G312" s="15" t="s">
        <v>168</v>
      </c>
      <c r="H312" s="44">
        <v>1</v>
      </c>
      <c r="I312" s="15" t="s">
        <v>104</v>
      </c>
      <c r="J312" s="15" t="s">
        <v>33</v>
      </c>
      <c r="K312" s="15" t="s">
        <v>35</v>
      </c>
      <c r="L312" s="15" t="s">
        <v>1444</v>
      </c>
      <c r="M312" s="15" t="s">
        <v>38</v>
      </c>
      <c r="N312" s="15"/>
      <c r="O312" s="15"/>
      <c r="P312" s="45">
        <f>H312+SUMIFS(Movimientos!$F$2:$F$5000,Movimientos!$D$2:$D$5000,$A312,Movimientos!$C$2:$C$5000,"Ingreso inventario")+SUMIFS(Movimientos!$F$2:$F$5000,Movimientos!$D$2:$D$5000,$A312,Movimientos!$C$2:$C$5000,"Ajuste")-SUMIFS(Movimientos!$F$2:$F$5000,Movimientos!$D$2:$D$5000,$A312,Movimientos!$C$2:$C$5000,"Consumido en evento")-SUMIFS(Movimientos!$F$2:$F$5000,Movimientos!$D$2:$D$5000,$A312,Movimientos!$C$2:$C$5000,"Consumo interno")-SUMIFS(Movimientos!$F$2:$F$5000,Movimientos!$D$2:$D$5000,$A312,Movimientos!$C$2:$C$5000,"Baja")-SUMIFS(Movimientos!$F$2:$F$5000,Movimientos!$D$2:$D$5000,$A312,Movimientos!$C$2:$C$5000,"Baja desde reparación")</f>
        <v>1</v>
      </c>
      <c r="Q312" s="45">
        <f>SUMIFS(Movimientos!$F$2:$F$5000,Movimientos!$D$2:$D$5000,$A312,Movimientos!$C$2:$C$5000,"Salida alquiler")-SUMIFS(Movimientos!$F$2:$F$5000,Movimientos!$D$2:$D$5000,$A312,Movimientos!$C$2:$C$5000,"Retorno alquiler")-SUMIFS(Movimientos!$F$2:$F$5000,Movimientos!$D$2:$D$5000,$A312,Movimientos!$C$2:$C$5000,"Consumido en evento")-SUMIFS(Movimientos!$F$2:$F$5000,Movimientos!$D$2:$D$5000,$A312,Movimientos!$C$2:$C$5000,"A reparación")</f>
        <v>0</v>
      </c>
      <c r="R312" s="45">
        <f>SUMIFS(Movimientos!$F$2:$F$5000,Movimientos!$D$2:$D$5000,$A312,Movimientos!$C$2:$C$5000,"A reparación")-SUMIFS(Movimientos!$F$2:$F$5000,Movimientos!$D$2:$D$5000,$A312,Movimientos!$C$2:$C$5000,"Retorno reparación")-SUMIFS(Movimientos!$F$2:$F$5000,Movimientos!$D$2:$D$5000,$A312,Movimientos!$C$2:$C$5000,"Baja desde reparación")</f>
        <v>0</v>
      </c>
      <c r="S312" s="45">
        <f>P312-Q312-R312</f>
        <v>1</v>
      </c>
    </row>
    <row r="313" spans="1:19">
      <c r="A313" s="15" t="s">
        <v>1445</v>
      </c>
      <c r="B313" s="15" t="s">
        <v>1446</v>
      </c>
      <c r="C313" s="42" t="s">
        <v>1447</v>
      </c>
      <c r="D313" s="15" t="s">
        <v>101</v>
      </c>
      <c r="E313" s="42" t="s">
        <v>1448</v>
      </c>
      <c r="F313" s="43">
        <v>1</v>
      </c>
      <c r="G313" s="15" t="s">
        <v>158</v>
      </c>
      <c r="H313" s="44">
        <v>2</v>
      </c>
      <c r="I313" s="15" t="s">
        <v>104</v>
      </c>
      <c r="J313" s="15" t="s">
        <v>33</v>
      </c>
      <c r="K313" s="15" t="s">
        <v>35</v>
      </c>
      <c r="L313" s="15"/>
      <c r="M313" s="15" t="s">
        <v>38</v>
      </c>
      <c r="N313" s="15"/>
      <c r="O313" s="15"/>
      <c r="P313" s="45">
        <f>H313+SUMIFS(Movimientos!$F$2:$F$5000,Movimientos!$D$2:$D$5000,$A313,Movimientos!$C$2:$C$5000,"Ingreso inventario")+SUMIFS(Movimientos!$F$2:$F$5000,Movimientos!$D$2:$D$5000,$A313,Movimientos!$C$2:$C$5000,"Ajuste")-SUMIFS(Movimientos!$F$2:$F$5000,Movimientos!$D$2:$D$5000,$A313,Movimientos!$C$2:$C$5000,"Consumido en evento")-SUMIFS(Movimientos!$F$2:$F$5000,Movimientos!$D$2:$D$5000,$A313,Movimientos!$C$2:$C$5000,"Consumo interno")-SUMIFS(Movimientos!$F$2:$F$5000,Movimientos!$D$2:$D$5000,$A313,Movimientos!$C$2:$C$5000,"Baja")-SUMIFS(Movimientos!$F$2:$F$5000,Movimientos!$D$2:$D$5000,$A313,Movimientos!$C$2:$C$5000,"Baja desde reparación")</f>
        <v>2</v>
      </c>
      <c r="Q313" s="45">
        <f>SUMIFS(Movimientos!$F$2:$F$5000,Movimientos!$D$2:$D$5000,$A313,Movimientos!$C$2:$C$5000,"Salida alquiler")-SUMIFS(Movimientos!$F$2:$F$5000,Movimientos!$D$2:$D$5000,$A313,Movimientos!$C$2:$C$5000,"Retorno alquiler")-SUMIFS(Movimientos!$F$2:$F$5000,Movimientos!$D$2:$D$5000,$A313,Movimientos!$C$2:$C$5000,"Consumido en evento")-SUMIFS(Movimientos!$F$2:$F$5000,Movimientos!$D$2:$D$5000,$A313,Movimientos!$C$2:$C$5000,"A reparación")</f>
        <v>0</v>
      </c>
      <c r="R313" s="45">
        <f>SUMIFS(Movimientos!$F$2:$F$5000,Movimientos!$D$2:$D$5000,$A313,Movimientos!$C$2:$C$5000,"A reparación")-SUMIFS(Movimientos!$F$2:$F$5000,Movimientos!$D$2:$D$5000,$A313,Movimientos!$C$2:$C$5000,"Retorno reparación")-SUMIFS(Movimientos!$F$2:$F$5000,Movimientos!$D$2:$D$5000,$A313,Movimientos!$C$2:$C$5000,"Baja desde reparación")</f>
        <v>0</v>
      </c>
      <c r="S313" s="45">
        <f>P313-Q313-R313</f>
        <v>2</v>
      </c>
    </row>
    <row r="314" spans="1:19">
      <c r="A314" s="15" t="s">
        <v>1449</v>
      </c>
      <c r="B314" s="15" t="s">
        <v>1450</v>
      </c>
      <c r="C314" s="42" t="s">
        <v>1451</v>
      </c>
      <c r="D314" s="15" t="s">
        <v>101</v>
      </c>
      <c r="E314" s="42" t="s">
        <v>1452</v>
      </c>
      <c r="F314" s="43">
        <v>1</v>
      </c>
      <c r="G314" s="15" t="s">
        <v>594</v>
      </c>
      <c r="H314" s="44">
        <v>3</v>
      </c>
      <c r="I314" s="15" t="s">
        <v>104</v>
      </c>
      <c r="J314" s="15" t="s">
        <v>33</v>
      </c>
      <c r="K314" s="15" t="s">
        <v>35</v>
      </c>
      <c r="L314" s="15" t="s">
        <v>1453</v>
      </c>
      <c r="M314" s="15" t="s">
        <v>38</v>
      </c>
      <c r="N314" s="15"/>
      <c r="O314" s="15"/>
      <c r="P314" s="45">
        <f>H314+SUMIFS(Movimientos!$F$2:$F$5000,Movimientos!$D$2:$D$5000,$A314,Movimientos!$C$2:$C$5000,"Ingreso inventario")+SUMIFS(Movimientos!$F$2:$F$5000,Movimientos!$D$2:$D$5000,$A314,Movimientos!$C$2:$C$5000,"Ajuste")-SUMIFS(Movimientos!$F$2:$F$5000,Movimientos!$D$2:$D$5000,$A314,Movimientos!$C$2:$C$5000,"Consumido en evento")-SUMIFS(Movimientos!$F$2:$F$5000,Movimientos!$D$2:$D$5000,$A314,Movimientos!$C$2:$C$5000,"Consumo interno")-SUMIFS(Movimientos!$F$2:$F$5000,Movimientos!$D$2:$D$5000,$A314,Movimientos!$C$2:$C$5000,"Baja")-SUMIFS(Movimientos!$F$2:$F$5000,Movimientos!$D$2:$D$5000,$A314,Movimientos!$C$2:$C$5000,"Baja desde reparación")</f>
        <v>3</v>
      </c>
      <c r="Q314" s="45">
        <f>SUMIFS(Movimientos!$F$2:$F$5000,Movimientos!$D$2:$D$5000,$A314,Movimientos!$C$2:$C$5000,"Salida alquiler")-SUMIFS(Movimientos!$F$2:$F$5000,Movimientos!$D$2:$D$5000,$A314,Movimientos!$C$2:$C$5000,"Retorno alquiler")-SUMIFS(Movimientos!$F$2:$F$5000,Movimientos!$D$2:$D$5000,$A314,Movimientos!$C$2:$C$5000,"Consumido en evento")-SUMIFS(Movimientos!$F$2:$F$5000,Movimientos!$D$2:$D$5000,$A314,Movimientos!$C$2:$C$5000,"A reparación")</f>
        <v>0</v>
      </c>
      <c r="R314" s="45">
        <f>SUMIFS(Movimientos!$F$2:$F$5000,Movimientos!$D$2:$D$5000,$A314,Movimientos!$C$2:$C$5000,"A reparación")-SUMIFS(Movimientos!$F$2:$F$5000,Movimientos!$D$2:$D$5000,$A314,Movimientos!$C$2:$C$5000,"Retorno reparación")-SUMIFS(Movimientos!$F$2:$F$5000,Movimientos!$D$2:$D$5000,$A314,Movimientos!$C$2:$C$5000,"Baja desde reparación")</f>
        <v>0</v>
      </c>
      <c r="S314" s="45">
        <f>P314-Q314-R314</f>
        <v>3</v>
      </c>
    </row>
    <row r="315" spans="1:19">
      <c r="A315" s="15" t="s">
        <v>1454</v>
      </c>
      <c r="B315" s="15" t="s">
        <v>1455</v>
      </c>
      <c r="C315" s="42" t="s">
        <v>1456</v>
      </c>
      <c r="D315" s="15" t="s">
        <v>101</v>
      </c>
      <c r="E315" s="42" t="s">
        <v>1457</v>
      </c>
      <c r="F315" s="43">
        <v>1</v>
      </c>
      <c r="G315" s="15" t="s">
        <v>183</v>
      </c>
      <c r="H315" s="44">
        <v>8</v>
      </c>
      <c r="I315" s="15" t="s">
        <v>104</v>
      </c>
      <c r="J315" s="15" t="s">
        <v>33</v>
      </c>
      <c r="K315" s="15" t="s">
        <v>35</v>
      </c>
      <c r="L315" s="15"/>
      <c r="M315" s="15" t="s">
        <v>38</v>
      </c>
      <c r="N315" s="15"/>
      <c r="O315" s="15"/>
      <c r="P315" s="45">
        <f>H315+SUMIFS(Movimientos!$F$2:$F$5000,Movimientos!$D$2:$D$5000,$A315,Movimientos!$C$2:$C$5000,"Ingreso inventario")+SUMIFS(Movimientos!$F$2:$F$5000,Movimientos!$D$2:$D$5000,$A315,Movimientos!$C$2:$C$5000,"Ajuste")-SUMIFS(Movimientos!$F$2:$F$5000,Movimientos!$D$2:$D$5000,$A315,Movimientos!$C$2:$C$5000,"Consumido en evento")-SUMIFS(Movimientos!$F$2:$F$5000,Movimientos!$D$2:$D$5000,$A315,Movimientos!$C$2:$C$5000,"Consumo interno")-SUMIFS(Movimientos!$F$2:$F$5000,Movimientos!$D$2:$D$5000,$A315,Movimientos!$C$2:$C$5000,"Baja")-SUMIFS(Movimientos!$F$2:$F$5000,Movimientos!$D$2:$D$5000,$A315,Movimientos!$C$2:$C$5000,"Baja desde reparación")</f>
        <v>8</v>
      </c>
      <c r="Q315" s="45">
        <f>SUMIFS(Movimientos!$F$2:$F$5000,Movimientos!$D$2:$D$5000,$A315,Movimientos!$C$2:$C$5000,"Salida alquiler")-SUMIFS(Movimientos!$F$2:$F$5000,Movimientos!$D$2:$D$5000,$A315,Movimientos!$C$2:$C$5000,"Retorno alquiler")-SUMIFS(Movimientos!$F$2:$F$5000,Movimientos!$D$2:$D$5000,$A315,Movimientos!$C$2:$C$5000,"Consumido en evento")-SUMIFS(Movimientos!$F$2:$F$5000,Movimientos!$D$2:$D$5000,$A315,Movimientos!$C$2:$C$5000,"A reparación")</f>
        <v>0</v>
      </c>
      <c r="R315" s="45">
        <f>SUMIFS(Movimientos!$F$2:$F$5000,Movimientos!$D$2:$D$5000,$A315,Movimientos!$C$2:$C$5000,"A reparación")-SUMIFS(Movimientos!$F$2:$F$5000,Movimientos!$D$2:$D$5000,$A315,Movimientos!$C$2:$C$5000,"Retorno reparación")-SUMIFS(Movimientos!$F$2:$F$5000,Movimientos!$D$2:$D$5000,$A315,Movimientos!$C$2:$C$5000,"Baja desde reparación")</f>
        <v>0</v>
      </c>
      <c r="S315" s="45">
        <f>P315-Q315-R315</f>
        <v>8</v>
      </c>
    </row>
    <row r="316" spans="1:19">
      <c r="A316" s="15" t="s">
        <v>1458</v>
      </c>
      <c r="B316" s="15" t="s">
        <v>1459</v>
      </c>
      <c r="C316" s="42" t="s">
        <v>1460</v>
      </c>
      <c r="D316" s="15" t="s">
        <v>101</v>
      </c>
      <c r="E316" s="42" t="s">
        <v>1461</v>
      </c>
      <c r="F316" s="43">
        <v>1</v>
      </c>
      <c r="G316" s="15" t="s">
        <v>1462</v>
      </c>
      <c r="H316" s="44">
        <v>6</v>
      </c>
      <c r="I316" s="15" t="s">
        <v>104</v>
      </c>
      <c r="J316" s="15" t="s">
        <v>33</v>
      </c>
      <c r="K316" s="15" t="s">
        <v>35</v>
      </c>
      <c r="L316" s="15"/>
      <c r="M316" s="15" t="s">
        <v>38</v>
      </c>
      <c r="N316" s="15"/>
      <c r="O316" s="15"/>
      <c r="P316" s="45">
        <f>H316+SUMIFS(Movimientos!$F$2:$F$5000,Movimientos!$D$2:$D$5000,$A316,Movimientos!$C$2:$C$5000,"Ingreso inventario")+SUMIFS(Movimientos!$F$2:$F$5000,Movimientos!$D$2:$D$5000,$A316,Movimientos!$C$2:$C$5000,"Ajuste")-SUMIFS(Movimientos!$F$2:$F$5000,Movimientos!$D$2:$D$5000,$A316,Movimientos!$C$2:$C$5000,"Consumido en evento")-SUMIFS(Movimientos!$F$2:$F$5000,Movimientos!$D$2:$D$5000,$A316,Movimientos!$C$2:$C$5000,"Consumo interno")-SUMIFS(Movimientos!$F$2:$F$5000,Movimientos!$D$2:$D$5000,$A316,Movimientos!$C$2:$C$5000,"Baja")-SUMIFS(Movimientos!$F$2:$F$5000,Movimientos!$D$2:$D$5000,$A316,Movimientos!$C$2:$C$5000,"Baja desde reparación")</f>
        <v>6</v>
      </c>
      <c r="Q316" s="45">
        <f>SUMIFS(Movimientos!$F$2:$F$5000,Movimientos!$D$2:$D$5000,$A316,Movimientos!$C$2:$C$5000,"Salida alquiler")-SUMIFS(Movimientos!$F$2:$F$5000,Movimientos!$D$2:$D$5000,$A316,Movimientos!$C$2:$C$5000,"Retorno alquiler")-SUMIFS(Movimientos!$F$2:$F$5000,Movimientos!$D$2:$D$5000,$A316,Movimientos!$C$2:$C$5000,"Consumido en evento")-SUMIFS(Movimientos!$F$2:$F$5000,Movimientos!$D$2:$D$5000,$A316,Movimientos!$C$2:$C$5000,"A reparación")</f>
        <v>0</v>
      </c>
      <c r="R316" s="45">
        <f>SUMIFS(Movimientos!$F$2:$F$5000,Movimientos!$D$2:$D$5000,$A316,Movimientos!$C$2:$C$5000,"A reparación")-SUMIFS(Movimientos!$F$2:$F$5000,Movimientos!$D$2:$D$5000,$A316,Movimientos!$C$2:$C$5000,"Retorno reparación")-SUMIFS(Movimientos!$F$2:$F$5000,Movimientos!$D$2:$D$5000,$A316,Movimientos!$C$2:$C$5000,"Baja desde reparación")</f>
        <v>0</v>
      </c>
      <c r="S316" s="45">
        <f>P316-Q316-R316</f>
        <v>6</v>
      </c>
    </row>
    <row r="317" spans="1:19">
      <c r="A317" s="15" t="s">
        <v>1463</v>
      </c>
      <c r="B317" s="15" t="s">
        <v>1464</v>
      </c>
      <c r="C317" s="42" t="s">
        <v>1465</v>
      </c>
      <c r="D317" s="15" t="s">
        <v>101</v>
      </c>
      <c r="E317" s="42" t="s">
        <v>1466</v>
      </c>
      <c r="F317" s="43">
        <v>1</v>
      </c>
      <c r="G317" s="15" t="s">
        <v>1462</v>
      </c>
      <c r="H317" s="44">
        <v>2</v>
      </c>
      <c r="I317" s="15" t="s">
        <v>104</v>
      </c>
      <c r="J317" s="15" t="s">
        <v>33</v>
      </c>
      <c r="K317" s="15" t="s">
        <v>35</v>
      </c>
      <c r="L317" s="15"/>
      <c r="M317" s="15" t="s">
        <v>38</v>
      </c>
      <c r="N317" s="15"/>
      <c r="O317" s="15"/>
      <c r="P317" s="45">
        <f>H317+SUMIFS(Movimientos!$F$2:$F$5000,Movimientos!$D$2:$D$5000,$A317,Movimientos!$C$2:$C$5000,"Ingreso inventario")+SUMIFS(Movimientos!$F$2:$F$5000,Movimientos!$D$2:$D$5000,$A317,Movimientos!$C$2:$C$5000,"Ajuste")-SUMIFS(Movimientos!$F$2:$F$5000,Movimientos!$D$2:$D$5000,$A317,Movimientos!$C$2:$C$5000,"Consumido en evento")-SUMIFS(Movimientos!$F$2:$F$5000,Movimientos!$D$2:$D$5000,$A317,Movimientos!$C$2:$C$5000,"Consumo interno")-SUMIFS(Movimientos!$F$2:$F$5000,Movimientos!$D$2:$D$5000,$A317,Movimientos!$C$2:$C$5000,"Baja")-SUMIFS(Movimientos!$F$2:$F$5000,Movimientos!$D$2:$D$5000,$A317,Movimientos!$C$2:$C$5000,"Baja desde reparación")</f>
        <v>2</v>
      </c>
      <c r="Q317" s="45">
        <f>SUMIFS(Movimientos!$F$2:$F$5000,Movimientos!$D$2:$D$5000,$A317,Movimientos!$C$2:$C$5000,"Salida alquiler")-SUMIFS(Movimientos!$F$2:$F$5000,Movimientos!$D$2:$D$5000,$A317,Movimientos!$C$2:$C$5000,"Retorno alquiler")-SUMIFS(Movimientos!$F$2:$F$5000,Movimientos!$D$2:$D$5000,$A317,Movimientos!$C$2:$C$5000,"Consumido en evento")-SUMIFS(Movimientos!$F$2:$F$5000,Movimientos!$D$2:$D$5000,$A317,Movimientos!$C$2:$C$5000,"A reparación")</f>
        <v>0</v>
      </c>
      <c r="R317" s="45">
        <f>SUMIFS(Movimientos!$F$2:$F$5000,Movimientos!$D$2:$D$5000,$A317,Movimientos!$C$2:$C$5000,"A reparación")-SUMIFS(Movimientos!$F$2:$F$5000,Movimientos!$D$2:$D$5000,$A317,Movimientos!$C$2:$C$5000,"Retorno reparación")-SUMIFS(Movimientos!$F$2:$F$5000,Movimientos!$D$2:$D$5000,$A317,Movimientos!$C$2:$C$5000,"Baja desde reparación")</f>
        <v>0</v>
      </c>
      <c r="S317" s="45">
        <f>P317-Q317-R317</f>
        <v>2</v>
      </c>
    </row>
    <row r="318" spans="1:19">
      <c r="A318" s="15" t="s">
        <v>1467</v>
      </c>
      <c r="B318" s="15" t="s">
        <v>1468</v>
      </c>
      <c r="C318" s="42" t="s">
        <v>1469</v>
      </c>
      <c r="D318" s="15" t="s">
        <v>101</v>
      </c>
      <c r="E318" s="42" t="s">
        <v>1470</v>
      </c>
      <c r="F318" s="43">
        <v>1</v>
      </c>
      <c r="G318" s="15" t="s">
        <v>1471</v>
      </c>
      <c r="H318" s="44">
        <v>2</v>
      </c>
      <c r="I318" s="15" t="s">
        <v>104</v>
      </c>
      <c r="J318" s="15" t="s">
        <v>33</v>
      </c>
      <c r="K318" s="15" t="s">
        <v>35</v>
      </c>
      <c r="L318" s="15"/>
      <c r="M318" s="15" t="s">
        <v>38</v>
      </c>
      <c r="N318" s="15"/>
      <c r="O318" s="15"/>
      <c r="P318" s="45">
        <f>H318+SUMIFS(Movimientos!$F$2:$F$5000,Movimientos!$D$2:$D$5000,$A318,Movimientos!$C$2:$C$5000,"Ingreso inventario")+SUMIFS(Movimientos!$F$2:$F$5000,Movimientos!$D$2:$D$5000,$A318,Movimientos!$C$2:$C$5000,"Ajuste")-SUMIFS(Movimientos!$F$2:$F$5000,Movimientos!$D$2:$D$5000,$A318,Movimientos!$C$2:$C$5000,"Consumido en evento")-SUMIFS(Movimientos!$F$2:$F$5000,Movimientos!$D$2:$D$5000,$A318,Movimientos!$C$2:$C$5000,"Consumo interno")-SUMIFS(Movimientos!$F$2:$F$5000,Movimientos!$D$2:$D$5000,$A318,Movimientos!$C$2:$C$5000,"Baja")-SUMIFS(Movimientos!$F$2:$F$5000,Movimientos!$D$2:$D$5000,$A318,Movimientos!$C$2:$C$5000,"Baja desde reparación")</f>
        <v>2</v>
      </c>
      <c r="Q318" s="45">
        <f>SUMIFS(Movimientos!$F$2:$F$5000,Movimientos!$D$2:$D$5000,$A318,Movimientos!$C$2:$C$5000,"Salida alquiler")-SUMIFS(Movimientos!$F$2:$F$5000,Movimientos!$D$2:$D$5000,$A318,Movimientos!$C$2:$C$5000,"Retorno alquiler")-SUMIFS(Movimientos!$F$2:$F$5000,Movimientos!$D$2:$D$5000,$A318,Movimientos!$C$2:$C$5000,"Consumido en evento")-SUMIFS(Movimientos!$F$2:$F$5000,Movimientos!$D$2:$D$5000,$A318,Movimientos!$C$2:$C$5000,"A reparación")</f>
        <v>0</v>
      </c>
      <c r="R318" s="45">
        <f>SUMIFS(Movimientos!$F$2:$F$5000,Movimientos!$D$2:$D$5000,$A318,Movimientos!$C$2:$C$5000,"A reparación")-SUMIFS(Movimientos!$F$2:$F$5000,Movimientos!$D$2:$D$5000,$A318,Movimientos!$C$2:$C$5000,"Retorno reparación")-SUMIFS(Movimientos!$F$2:$F$5000,Movimientos!$D$2:$D$5000,$A318,Movimientos!$C$2:$C$5000,"Baja desde reparación")</f>
        <v>0</v>
      </c>
      <c r="S318" s="45">
        <f>P318-Q318-R318</f>
        <v>2</v>
      </c>
    </row>
    <row r="319" spans="1:19">
      <c r="A319" s="15" t="s">
        <v>1472</v>
      </c>
      <c r="B319" s="15" t="s">
        <v>1473</v>
      </c>
      <c r="C319" s="42" t="s">
        <v>1474</v>
      </c>
      <c r="D319" s="15" t="s">
        <v>101</v>
      </c>
      <c r="E319" s="42" t="s">
        <v>1475</v>
      </c>
      <c r="F319" s="43">
        <v>1</v>
      </c>
      <c r="G319" s="15" t="s">
        <v>1471</v>
      </c>
      <c r="H319" s="44">
        <v>2</v>
      </c>
      <c r="I319" s="15" t="s">
        <v>104</v>
      </c>
      <c r="J319" s="15" t="s">
        <v>33</v>
      </c>
      <c r="K319" s="15" t="s">
        <v>35</v>
      </c>
      <c r="L319" s="15"/>
      <c r="M319" s="15" t="s">
        <v>38</v>
      </c>
      <c r="N319" s="15"/>
      <c r="O319" s="15"/>
      <c r="P319" s="45">
        <f>H319+SUMIFS(Movimientos!$F$2:$F$5000,Movimientos!$D$2:$D$5000,$A319,Movimientos!$C$2:$C$5000,"Ingreso inventario")+SUMIFS(Movimientos!$F$2:$F$5000,Movimientos!$D$2:$D$5000,$A319,Movimientos!$C$2:$C$5000,"Ajuste")-SUMIFS(Movimientos!$F$2:$F$5000,Movimientos!$D$2:$D$5000,$A319,Movimientos!$C$2:$C$5000,"Consumido en evento")-SUMIFS(Movimientos!$F$2:$F$5000,Movimientos!$D$2:$D$5000,$A319,Movimientos!$C$2:$C$5000,"Consumo interno")-SUMIFS(Movimientos!$F$2:$F$5000,Movimientos!$D$2:$D$5000,$A319,Movimientos!$C$2:$C$5000,"Baja")-SUMIFS(Movimientos!$F$2:$F$5000,Movimientos!$D$2:$D$5000,$A319,Movimientos!$C$2:$C$5000,"Baja desde reparación")</f>
        <v>2</v>
      </c>
      <c r="Q319" s="45">
        <f>SUMIFS(Movimientos!$F$2:$F$5000,Movimientos!$D$2:$D$5000,$A319,Movimientos!$C$2:$C$5000,"Salida alquiler")-SUMIFS(Movimientos!$F$2:$F$5000,Movimientos!$D$2:$D$5000,$A319,Movimientos!$C$2:$C$5000,"Retorno alquiler")-SUMIFS(Movimientos!$F$2:$F$5000,Movimientos!$D$2:$D$5000,$A319,Movimientos!$C$2:$C$5000,"Consumido en evento")-SUMIFS(Movimientos!$F$2:$F$5000,Movimientos!$D$2:$D$5000,$A319,Movimientos!$C$2:$C$5000,"A reparación")</f>
        <v>0</v>
      </c>
      <c r="R319" s="45">
        <f>SUMIFS(Movimientos!$F$2:$F$5000,Movimientos!$D$2:$D$5000,$A319,Movimientos!$C$2:$C$5000,"A reparación")-SUMIFS(Movimientos!$F$2:$F$5000,Movimientos!$D$2:$D$5000,$A319,Movimientos!$C$2:$C$5000,"Retorno reparación")-SUMIFS(Movimientos!$F$2:$F$5000,Movimientos!$D$2:$D$5000,$A319,Movimientos!$C$2:$C$5000,"Baja desde reparación")</f>
        <v>0</v>
      </c>
      <c r="S319" s="45">
        <f>P319-Q319-R319</f>
        <v>2</v>
      </c>
    </row>
    <row r="320" spans="1:19">
      <c r="A320" s="15" t="s">
        <v>1476</v>
      </c>
      <c r="B320" s="15" t="s">
        <v>1477</v>
      </c>
      <c r="C320" s="42" t="s">
        <v>1478</v>
      </c>
      <c r="D320" s="15" t="s">
        <v>101</v>
      </c>
      <c r="E320" s="42" t="s">
        <v>1479</v>
      </c>
      <c r="F320" s="43">
        <v>1</v>
      </c>
      <c r="G320" s="15" t="s">
        <v>1471</v>
      </c>
      <c r="H320" s="44">
        <v>4</v>
      </c>
      <c r="I320" s="15" t="s">
        <v>104</v>
      </c>
      <c r="J320" s="15" t="s">
        <v>33</v>
      </c>
      <c r="K320" s="15" t="s">
        <v>35</v>
      </c>
      <c r="L320" s="15"/>
      <c r="M320" s="15" t="s">
        <v>38</v>
      </c>
      <c r="N320" s="15"/>
      <c r="O320" s="15"/>
      <c r="P320" s="45">
        <f>H320+SUMIFS(Movimientos!$F$2:$F$5000,Movimientos!$D$2:$D$5000,$A320,Movimientos!$C$2:$C$5000,"Ingreso inventario")+SUMIFS(Movimientos!$F$2:$F$5000,Movimientos!$D$2:$D$5000,$A320,Movimientos!$C$2:$C$5000,"Ajuste")-SUMIFS(Movimientos!$F$2:$F$5000,Movimientos!$D$2:$D$5000,$A320,Movimientos!$C$2:$C$5000,"Consumido en evento")-SUMIFS(Movimientos!$F$2:$F$5000,Movimientos!$D$2:$D$5000,$A320,Movimientos!$C$2:$C$5000,"Consumo interno")-SUMIFS(Movimientos!$F$2:$F$5000,Movimientos!$D$2:$D$5000,$A320,Movimientos!$C$2:$C$5000,"Baja")-SUMIFS(Movimientos!$F$2:$F$5000,Movimientos!$D$2:$D$5000,$A320,Movimientos!$C$2:$C$5000,"Baja desde reparación")</f>
        <v>4</v>
      </c>
      <c r="Q320" s="45">
        <f>SUMIFS(Movimientos!$F$2:$F$5000,Movimientos!$D$2:$D$5000,$A320,Movimientos!$C$2:$C$5000,"Salida alquiler")-SUMIFS(Movimientos!$F$2:$F$5000,Movimientos!$D$2:$D$5000,$A320,Movimientos!$C$2:$C$5000,"Retorno alquiler")-SUMIFS(Movimientos!$F$2:$F$5000,Movimientos!$D$2:$D$5000,$A320,Movimientos!$C$2:$C$5000,"Consumido en evento")-SUMIFS(Movimientos!$F$2:$F$5000,Movimientos!$D$2:$D$5000,$A320,Movimientos!$C$2:$C$5000,"A reparación")</f>
        <v>0</v>
      </c>
      <c r="R320" s="45">
        <f>SUMIFS(Movimientos!$F$2:$F$5000,Movimientos!$D$2:$D$5000,$A320,Movimientos!$C$2:$C$5000,"A reparación")-SUMIFS(Movimientos!$F$2:$F$5000,Movimientos!$D$2:$D$5000,$A320,Movimientos!$C$2:$C$5000,"Retorno reparación")-SUMIFS(Movimientos!$F$2:$F$5000,Movimientos!$D$2:$D$5000,$A320,Movimientos!$C$2:$C$5000,"Baja desde reparación")</f>
        <v>0</v>
      </c>
      <c r="S320" s="45">
        <f>P320-Q320-R320</f>
        <v>4</v>
      </c>
    </row>
    <row r="321" spans="1:19">
      <c r="A321" s="15" t="s">
        <v>1480</v>
      </c>
      <c r="B321" s="15" t="s">
        <v>1481</v>
      </c>
      <c r="C321" s="42" t="s">
        <v>1482</v>
      </c>
      <c r="D321" s="15" t="s">
        <v>101</v>
      </c>
      <c r="E321" s="42" t="s">
        <v>1483</v>
      </c>
      <c r="F321" s="43">
        <v>1</v>
      </c>
      <c r="G321" s="15" t="s">
        <v>1471</v>
      </c>
      <c r="H321" s="44">
        <v>8</v>
      </c>
      <c r="I321" s="15" t="s">
        <v>104</v>
      </c>
      <c r="J321" s="15" t="s">
        <v>33</v>
      </c>
      <c r="K321" s="15" t="s">
        <v>35</v>
      </c>
      <c r="L321" s="15"/>
      <c r="M321" s="15" t="s">
        <v>38</v>
      </c>
      <c r="N321" s="15"/>
      <c r="O321" s="15"/>
      <c r="P321" s="45">
        <f>H321+SUMIFS(Movimientos!$F$2:$F$5000,Movimientos!$D$2:$D$5000,$A321,Movimientos!$C$2:$C$5000,"Ingreso inventario")+SUMIFS(Movimientos!$F$2:$F$5000,Movimientos!$D$2:$D$5000,$A321,Movimientos!$C$2:$C$5000,"Ajuste")-SUMIFS(Movimientos!$F$2:$F$5000,Movimientos!$D$2:$D$5000,$A321,Movimientos!$C$2:$C$5000,"Consumido en evento")-SUMIFS(Movimientos!$F$2:$F$5000,Movimientos!$D$2:$D$5000,$A321,Movimientos!$C$2:$C$5000,"Consumo interno")-SUMIFS(Movimientos!$F$2:$F$5000,Movimientos!$D$2:$D$5000,$A321,Movimientos!$C$2:$C$5000,"Baja")-SUMIFS(Movimientos!$F$2:$F$5000,Movimientos!$D$2:$D$5000,$A321,Movimientos!$C$2:$C$5000,"Baja desde reparación")</f>
        <v>8</v>
      </c>
      <c r="Q321" s="45">
        <f>SUMIFS(Movimientos!$F$2:$F$5000,Movimientos!$D$2:$D$5000,$A321,Movimientos!$C$2:$C$5000,"Salida alquiler")-SUMIFS(Movimientos!$F$2:$F$5000,Movimientos!$D$2:$D$5000,$A321,Movimientos!$C$2:$C$5000,"Retorno alquiler")-SUMIFS(Movimientos!$F$2:$F$5000,Movimientos!$D$2:$D$5000,$A321,Movimientos!$C$2:$C$5000,"Consumido en evento")-SUMIFS(Movimientos!$F$2:$F$5000,Movimientos!$D$2:$D$5000,$A321,Movimientos!$C$2:$C$5000,"A reparación")</f>
        <v>0</v>
      </c>
      <c r="R321" s="45">
        <f>SUMIFS(Movimientos!$F$2:$F$5000,Movimientos!$D$2:$D$5000,$A321,Movimientos!$C$2:$C$5000,"A reparación")-SUMIFS(Movimientos!$F$2:$F$5000,Movimientos!$D$2:$D$5000,$A321,Movimientos!$C$2:$C$5000,"Retorno reparación")-SUMIFS(Movimientos!$F$2:$F$5000,Movimientos!$D$2:$D$5000,$A321,Movimientos!$C$2:$C$5000,"Baja desde reparación")</f>
        <v>0</v>
      </c>
      <c r="S321" s="45">
        <f>P321-Q321-R321</f>
        <v>8</v>
      </c>
    </row>
    <row r="322" spans="1:19">
      <c r="A322" s="15" t="s">
        <v>1484</v>
      </c>
      <c r="B322" s="15" t="s">
        <v>1485</v>
      </c>
      <c r="C322" s="42" t="s">
        <v>1486</v>
      </c>
      <c r="D322" s="15" t="s">
        <v>101</v>
      </c>
      <c r="E322" s="42" t="s">
        <v>1487</v>
      </c>
      <c r="F322" s="43">
        <v>1</v>
      </c>
      <c r="G322" s="15" t="s">
        <v>1180</v>
      </c>
      <c r="H322" s="44">
        <v>1</v>
      </c>
      <c r="I322" s="15" t="s">
        <v>104</v>
      </c>
      <c r="J322" s="15" t="s">
        <v>33</v>
      </c>
      <c r="K322" s="15" t="s">
        <v>35</v>
      </c>
      <c r="L322" s="15" t="s">
        <v>1488</v>
      </c>
      <c r="M322" s="15" t="s">
        <v>38</v>
      </c>
      <c r="N322" s="15"/>
      <c r="O322" s="15"/>
      <c r="P322" s="45">
        <f>H322+SUMIFS(Movimientos!$F$2:$F$5000,Movimientos!$D$2:$D$5000,$A322,Movimientos!$C$2:$C$5000,"Ingreso inventario")+SUMIFS(Movimientos!$F$2:$F$5000,Movimientos!$D$2:$D$5000,$A322,Movimientos!$C$2:$C$5000,"Ajuste")-SUMIFS(Movimientos!$F$2:$F$5000,Movimientos!$D$2:$D$5000,$A322,Movimientos!$C$2:$C$5000,"Consumido en evento")-SUMIFS(Movimientos!$F$2:$F$5000,Movimientos!$D$2:$D$5000,$A322,Movimientos!$C$2:$C$5000,"Consumo interno")-SUMIFS(Movimientos!$F$2:$F$5000,Movimientos!$D$2:$D$5000,$A322,Movimientos!$C$2:$C$5000,"Baja")-SUMIFS(Movimientos!$F$2:$F$5000,Movimientos!$D$2:$D$5000,$A322,Movimientos!$C$2:$C$5000,"Baja desde reparación")</f>
        <v>1</v>
      </c>
      <c r="Q322" s="45">
        <f>SUMIFS(Movimientos!$F$2:$F$5000,Movimientos!$D$2:$D$5000,$A322,Movimientos!$C$2:$C$5000,"Salida alquiler")-SUMIFS(Movimientos!$F$2:$F$5000,Movimientos!$D$2:$D$5000,$A322,Movimientos!$C$2:$C$5000,"Retorno alquiler")-SUMIFS(Movimientos!$F$2:$F$5000,Movimientos!$D$2:$D$5000,$A322,Movimientos!$C$2:$C$5000,"Consumido en evento")-SUMIFS(Movimientos!$F$2:$F$5000,Movimientos!$D$2:$D$5000,$A322,Movimientos!$C$2:$C$5000,"A reparación")</f>
        <v>0</v>
      </c>
      <c r="R322" s="45">
        <f>SUMIFS(Movimientos!$F$2:$F$5000,Movimientos!$D$2:$D$5000,$A322,Movimientos!$C$2:$C$5000,"A reparación")-SUMIFS(Movimientos!$F$2:$F$5000,Movimientos!$D$2:$D$5000,$A322,Movimientos!$C$2:$C$5000,"Retorno reparación")-SUMIFS(Movimientos!$F$2:$F$5000,Movimientos!$D$2:$D$5000,$A322,Movimientos!$C$2:$C$5000,"Baja desde reparación")</f>
        <v>0</v>
      </c>
      <c r="S322" s="45">
        <f>P322-Q322-R322</f>
        <v>1</v>
      </c>
    </row>
    <row r="323" spans="1:19">
      <c r="A323" s="15" t="s">
        <v>1489</v>
      </c>
      <c r="B323" s="15" t="s">
        <v>1490</v>
      </c>
      <c r="C323" s="42" t="s">
        <v>1491</v>
      </c>
      <c r="D323" s="15" t="s">
        <v>101</v>
      </c>
      <c r="E323" s="42" t="s">
        <v>1492</v>
      </c>
      <c r="F323" s="43">
        <v>1</v>
      </c>
      <c r="G323" s="15" t="s">
        <v>1180</v>
      </c>
      <c r="H323" s="44">
        <v>1</v>
      </c>
      <c r="I323" s="15" t="s">
        <v>104</v>
      </c>
      <c r="J323" s="15" t="s">
        <v>33</v>
      </c>
      <c r="K323" s="15" t="s">
        <v>35</v>
      </c>
      <c r="L323" s="15"/>
      <c r="M323" s="15" t="s">
        <v>38</v>
      </c>
      <c r="N323" s="15"/>
      <c r="O323" s="15"/>
      <c r="P323" s="45">
        <f>H323+SUMIFS(Movimientos!$F$2:$F$5000,Movimientos!$D$2:$D$5000,$A323,Movimientos!$C$2:$C$5000,"Ingreso inventario")+SUMIFS(Movimientos!$F$2:$F$5000,Movimientos!$D$2:$D$5000,$A323,Movimientos!$C$2:$C$5000,"Ajuste")-SUMIFS(Movimientos!$F$2:$F$5000,Movimientos!$D$2:$D$5000,$A323,Movimientos!$C$2:$C$5000,"Consumido en evento")-SUMIFS(Movimientos!$F$2:$F$5000,Movimientos!$D$2:$D$5000,$A323,Movimientos!$C$2:$C$5000,"Consumo interno")-SUMIFS(Movimientos!$F$2:$F$5000,Movimientos!$D$2:$D$5000,$A323,Movimientos!$C$2:$C$5000,"Baja")-SUMIFS(Movimientos!$F$2:$F$5000,Movimientos!$D$2:$D$5000,$A323,Movimientos!$C$2:$C$5000,"Baja desde reparación")</f>
        <v>1</v>
      </c>
      <c r="Q323" s="45">
        <f>SUMIFS(Movimientos!$F$2:$F$5000,Movimientos!$D$2:$D$5000,$A323,Movimientos!$C$2:$C$5000,"Salida alquiler")-SUMIFS(Movimientos!$F$2:$F$5000,Movimientos!$D$2:$D$5000,$A323,Movimientos!$C$2:$C$5000,"Retorno alquiler")-SUMIFS(Movimientos!$F$2:$F$5000,Movimientos!$D$2:$D$5000,$A323,Movimientos!$C$2:$C$5000,"Consumido en evento")-SUMIFS(Movimientos!$F$2:$F$5000,Movimientos!$D$2:$D$5000,$A323,Movimientos!$C$2:$C$5000,"A reparación")</f>
        <v>0</v>
      </c>
      <c r="R323" s="45">
        <f>SUMIFS(Movimientos!$F$2:$F$5000,Movimientos!$D$2:$D$5000,$A323,Movimientos!$C$2:$C$5000,"A reparación")-SUMIFS(Movimientos!$F$2:$F$5000,Movimientos!$D$2:$D$5000,$A323,Movimientos!$C$2:$C$5000,"Retorno reparación")-SUMIFS(Movimientos!$F$2:$F$5000,Movimientos!$D$2:$D$5000,$A323,Movimientos!$C$2:$C$5000,"Baja desde reparación")</f>
        <v>0</v>
      </c>
      <c r="S323" s="45">
        <f>P323-Q323-R323</f>
        <v>1</v>
      </c>
    </row>
    <row r="324" spans="1:19">
      <c r="A324" s="15" t="s">
        <v>1493</v>
      </c>
      <c r="B324" s="15" t="s">
        <v>1494</v>
      </c>
      <c r="C324" s="42" t="s">
        <v>1495</v>
      </c>
      <c r="D324" s="15" t="s">
        <v>101</v>
      </c>
      <c r="E324" s="42" t="s">
        <v>1496</v>
      </c>
      <c r="F324" s="43">
        <v>1</v>
      </c>
      <c r="G324" s="15" t="s">
        <v>1180</v>
      </c>
      <c r="H324" s="44">
        <v>3</v>
      </c>
      <c r="I324" s="15" t="s">
        <v>104</v>
      </c>
      <c r="J324" s="15" t="s">
        <v>33</v>
      </c>
      <c r="K324" s="15" t="s">
        <v>35</v>
      </c>
      <c r="L324" s="15"/>
      <c r="M324" s="15" t="s">
        <v>38</v>
      </c>
      <c r="N324" s="15"/>
      <c r="O324" s="15"/>
      <c r="P324" s="45">
        <f>H324+SUMIFS(Movimientos!$F$2:$F$5000,Movimientos!$D$2:$D$5000,$A324,Movimientos!$C$2:$C$5000,"Ingreso inventario")+SUMIFS(Movimientos!$F$2:$F$5000,Movimientos!$D$2:$D$5000,$A324,Movimientos!$C$2:$C$5000,"Ajuste")-SUMIFS(Movimientos!$F$2:$F$5000,Movimientos!$D$2:$D$5000,$A324,Movimientos!$C$2:$C$5000,"Consumido en evento")-SUMIFS(Movimientos!$F$2:$F$5000,Movimientos!$D$2:$D$5000,$A324,Movimientos!$C$2:$C$5000,"Consumo interno")-SUMIFS(Movimientos!$F$2:$F$5000,Movimientos!$D$2:$D$5000,$A324,Movimientos!$C$2:$C$5000,"Baja")-SUMIFS(Movimientos!$F$2:$F$5000,Movimientos!$D$2:$D$5000,$A324,Movimientos!$C$2:$C$5000,"Baja desde reparación")</f>
        <v>3</v>
      </c>
      <c r="Q324" s="45">
        <f>SUMIFS(Movimientos!$F$2:$F$5000,Movimientos!$D$2:$D$5000,$A324,Movimientos!$C$2:$C$5000,"Salida alquiler")-SUMIFS(Movimientos!$F$2:$F$5000,Movimientos!$D$2:$D$5000,$A324,Movimientos!$C$2:$C$5000,"Retorno alquiler")-SUMIFS(Movimientos!$F$2:$F$5000,Movimientos!$D$2:$D$5000,$A324,Movimientos!$C$2:$C$5000,"Consumido en evento")-SUMIFS(Movimientos!$F$2:$F$5000,Movimientos!$D$2:$D$5000,$A324,Movimientos!$C$2:$C$5000,"A reparación")</f>
        <v>0</v>
      </c>
      <c r="R324" s="45">
        <f>SUMIFS(Movimientos!$F$2:$F$5000,Movimientos!$D$2:$D$5000,$A324,Movimientos!$C$2:$C$5000,"A reparación")-SUMIFS(Movimientos!$F$2:$F$5000,Movimientos!$D$2:$D$5000,$A324,Movimientos!$C$2:$C$5000,"Retorno reparación")-SUMIFS(Movimientos!$F$2:$F$5000,Movimientos!$D$2:$D$5000,$A324,Movimientos!$C$2:$C$5000,"Baja desde reparación")</f>
        <v>0</v>
      </c>
      <c r="S324" s="45">
        <f>P324-Q324-R324</f>
        <v>3</v>
      </c>
    </row>
    <row r="325" spans="1:19">
      <c r="A325" s="15" t="s">
        <v>1497</v>
      </c>
      <c r="B325" s="15" t="s">
        <v>1498</v>
      </c>
      <c r="C325" s="42" t="s">
        <v>1499</v>
      </c>
      <c r="D325" s="15" t="s">
        <v>101</v>
      </c>
      <c r="E325" s="42" t="s">
        <v>1500</v>
      </c>
      <c r="F325" s="43">
        <v>1</v>
      </c>
      <c r="G325" s="15" t="s">
        <v>1501</v>
      </c>
      <c r="H325" s="44">
        <v>2</v>
      </c>
      <c r="I325" s="15" t="s">
        <v>104</v>
      </c>
      <c r="J325" s="15" t="s">
        <v>33</v>
      </c>
      <c r="K325" s="15" t="s">
        <v>35</v>
      </c>
      <c r="L325" s="15"/>
      <c r="M325" s="15" t="s">
        <v>38</v>
      </c>
      <c r="N325" s="15"/>
      <c r="O325" s="15"/>
      <c r="P325" s="45">
        <f>H325+SUMIFS(Movimientos!$F$2:$F$5000,Movimientos!$D$2:$D$5000,$A325,Movimientos!$C$2:$C$5000,"Ingreso inventario")+SUMIFS(Movimientos!$F$2:$F$5000,Movimientos!$D$2:$D$5000,$A325,Movimientos!$C$2:$C$5000,"Ajuste")-SUMIFS(Movimientos!$F$2:$F$5000,Movimientos!$D$2:$D$5000,$A325,Movimientos!$C$2:$C$5000,"Consumido en evento")-SUMIFS(Movimientos!$F$2:$F$5000,Movimientos!$D$2:$D$5000,$A325,Movimientos!$C$2:$C$5000,"Consumo interno")-SUMIFS(Movimientos!$F$2:$F$5000,Movimientos!$D$2:$D$5000,$A325,Movimientos!$C$2:$C$5000,"Baja")-SUMIFS(Movimientos!$F$2:$F$5000,Movimientos!$D$2:$D$5000,$A325,Movimientos!$C$2:$C$5000,"Baja desde reparación")</f>
        <v>2</v>
      </c>
      <c r="Q325" s="45">
        <f>SUMIFS(Movimientos!$F$2:$F$5000,Movimientos!$D$2:$D$5000,$A325,Movimientos!$C$2:$C$5000,"Salida alquiler")-SUMIFS(Movimientos!$F$2:$F$5000,Movimientos!$D$2:$D$5000,$A325,Movimientos!$C$2:$C$5000,"Retorno alquiler")-SUMIFS(Movimientos!$F$2:$F$5000,Movimientos!$D$2:$D$5000,$A325,Movimientos!$C$2:$C$5000,"Consumido en evento")-SUMIFS(Movimientos!$F$2:$F$5000,Movimientos!$D$2:$D$5000,$A325,Movimientos!$C$2:$C$5000,"A reparación")</f>
        <v>0</v>
      </c>
      <c r="R325" s="45">
        <f>SUMIFS(Movimientos!$F$2:$F$5000,Movimientos!$D$2:$D$5000,$A325,Movimientos!$C$2:$C$5000,"A reparación")-SUMIFS(Movimientos!$F$2:$F$5000,Movimientos!$D$2:$D$5000,$A325,Movimientos!$C$2:$C$5000,"Retorno reparación")-SUMIFS(Movimientos!$F$2:$F$5000,Movimientos!$D$2:$D$5000,$A325,Movimientos!$C$2:$C$5000,"Baja desde reparación")</f>
        <v>0</v>
      </c>
      <c r="S325" s="45">
        <f>P325-Q325-R325</f>
        <v>2</v>
      </c>
    </row>
    <row r="326" spans="1:19">
      <c r="A326" s="15" t="s">
        <v>1502</v>
      </c>
      <c r="B326" s="15" t="s">
        <v>1503</v>
      </c>
      <c r="C326" s="42" t="s">
        <v>1504</v>
      </c>
      <c r="D326" s="15" t="s">
        <v>101</v>
      </c>
      <c r="E326" s="42" t="s">
        <v>1505</v>
      </c>
      <c r="F326" s="43">
        <v>1</v>
      </c>
      <c r="G326" s="15" t="s">
        <v>1501</v>
      </c>
      <c r="H326" s="44">
        <v>8</v>
      </c>
      <c r="I326" s="15" t="s">
        <v>104</v>
      </c>
      <c r="J326" s="15" t="s">
        <v>33</v>
      </c>
      <c r="K326" s="15" t="s">
        <v>35</v>
      </c>
      <c r="L326" s="15"/>
      <c r="M326" s="15" t="s">
        <v>38</v>
      </c>
      <c r="N326" s="15"/>
      <c r="O326" s="15"/>
      <c r="P326" s="45">
        <f>H326+SUMIFS(Movimientos!$F$2:$F$5000,Movimientos!$D$2:$D$5000,$A326,Movimientos!$C$2:$C$5000,"Ingreso inventario")+SUMIFS(Movimientos!$F$2:$F$5000,Movimientos!$D$2:$D$5000,$A326,Movimientos!$C$2:$C$5000,"Ajuste")-SUMIFS(Movimientos!$F$2:$F$5000,Movimientos!$D$2:$D$5000,$A326,Movimientos!$C$2:$C$5000,"Consumido en evento")-SUMIFS(Movimientos!$F$2:$F$5000,Movimientos!$D$2:$D$5000,$A326,Movimientos!$C$2:$C$5000,"Consumo interno")-SUMIFS(Movimientos!$F$2:$F$5000,Movimientos!$D$2:$D$5000,$A326,Movimientos!$C$2:$C$5000,"Baja")-SUMIFS(Movimientos!$F$2:$F$5000,Movimientos!$D$2:$D$5000,$A326,Movimientos!$C$2:$C$5000,"Baja desde reparación")</f>
        <v>8</v>
      </c>
      <c r="Q326" s="45">
        <f>SUMIFS(Movimientos!$F$2:$F$5000,Movimientos!$D$2:$D$5000,$A326,Movimientos!$C$2:$C$5000,"Salida alquiler")-SUMIFS(Movimientos!$F$2:$F$5000,Movimientos!$D$2:$D$5000,$A326,Movimientos!$C$2:$C$5000,"Retorno alquiler")-SUMIFS(Movimientos!$F$2:$F$5000,Movimientos!$D$2:$D$5000,$A326,Movimientos!$C$2:$C$5000,"Consumido en evento")-SUMIFS(Movimientos!$F$2:$F$5000,Movimientos!$D$2:$D$5000,$A326,Movimientos!$C$2:$C$5000,"A reparación")</f>
        <v>0</v>
      </c>
      <c r="R326" s="45">
        <f>SUMIFS(Movimientos!$F$2:$F$5000,Movimientos!$D$2:$D$5000,$A326,Movimientos!$C$2:$C$5000,"A reparación")-SUMIFS(Movimientos!$F$2:$F$5000,Movimientos!$D$2:$D$5000,$A326,Movimientos!$C$2:$C$5000,"Retorno reparación")-SUMIFS(Movimientos!$F$2:$F$5000,Movimientos!$D$2:$D$5000,$A326,Movimientos!$C$2:$C$5000,"Baja desde reparación")</f>
        <v>0</v>
      </c>
      <c r="S326" s="45">
        <f>P326-Q326-R326</f>
        <v>8</v>
      </c>
    </row>
    <row r="327" spans="1:19">
      <c r="A327" s="15" t="s">
        <v>1506</v>
      </c>
      <c r="B327" s="15" t="s">
        <v>1507</v>
      </c>
      <c r="C327" s="42" t="s">
        <v>1508</v>
      </c>
      <c r="D327" s="15" t="s">
        <v>101</v>
      </c>
      <c r="E327" s="42" t="s">
        <v>1509</v>
      </c>
      <c r="F327" s="43">
        <v>1</v>
      </c>
      <c r="G327" s="15" t="s">
        <v>1501</v>
      </c>
      <c r="H327" s="44">
        <v>2</v>
      </c>
      <c r="I327" s="15" t="s">
        <v>104</v>
      </c>
      <c r="J327" s="15" t="s">
        <v>33</v>
      </c>
      <c r="K327" s="15" t="s">
        <v>35</v>
      </c>
      <c r="L327" s="15"/>
      <c r="M327" s="15" t="s">
        <v>38</v>
      </c>
      <c r="N327" s="15"/>
      <c r="O327" s="15"/>
      <c r="P327" s="45">
        <f>H327+SUMIFS(Movimientos!$F$2:$F$5000,Movimientos!$D$2:$D$5000,$A327,Movimientos!$C$2:$C$5000,"Ingreso inventario")+SUMIFS(Movimientos!$F$2:$F$5000,Movimientos!$D$2:$D$5000,$A327,Movimientos!$C$2:$C$5000,"Ajuste")-SUMIFS(Movimientos!$F$2:$F$5000,Movimientos!$D$2:$D$5000,$A327,Movimientos!$C$2:$C$5000,"Consumido en evento")-SUMIFS(Movimientos!$F$2:$F$5000,Movimientos!$D$2:$D$5000,$A327,Movimientos!$C$2:$C$5000,"Consumo interno")-SUMIFS(Movimientos!$F$2:$F$5000,Movimientos!$D$2:$D$5000,$A327,Movimientos!$C$2:$C$5000,"Baja")-SUMIFS(Movimientos!$F$2:$F$5000,Movimientos!$D$2:$D$5000,$A327,Movimientos!$C$2:$C$5000,"Baja desde reparación")</f>
        <v>2</v>
      </c>
      <c r="Q327" s="45">
        <f>SUMIFS(Movimientos!$F$2:$F$5000,Movimientos!$D$2:$D$5000,$A327,Movimientos!$C$2:$C$5000,"Salida alquiler")-SUMIFS(Movimientos!$F$2:$F$5000,Movimientos!$D$2:$D$5000,$A327,Movimientos!$C$2:$C$5000,"Retorno alquiler")-SUMIFS(Movimientos!$F$2:$F$5000,Movimientos!$D$2:$D$5000,$A327,Movimientos!$C$2:$C$5000,"Consumido en evento")-SUMIFS(Movimientos!$F$2:$F$5000,Movimientos!$D$2:$D$5000,$A327,Movimientos!$C$2:$C$5000,"A reparación")</f>
        <v>0</v>
      </c>
      <c r="R327" s="45">
        <f>SUMIFS(Movimientos!$F$2:$F$5000,Movimientos!$D$2:$D$5000,$A327,Movimientos!$C$2:$C$5000,"A reparación")-SUMIFS(Movimientos!$F$2:$F$5000,Movimientos!$D$2:$D$5000,$A327,Movimientos!$C$2:$C$5000,"Retorno reparación")-SUMIFS(Movimientos!$F$2:$F$5000,Movimientos!$D$2:$D$5000,$A327,Movimientos!$C$2:$C$5000,"Baja desde reparación")</f>
        <v>0</v>
      </c>
      <c r="S327" s="45">
        <f>P327-Q327-R327</f>
        <v>2</v>
      </c>
    </row>
    <row r="328" spans="1:19">
      <c r="A328" s="15" t="s">
        <v>1510</v>
      </c>
      <c r="B328" s="15" t="s">
        <v>1511</v>
      </c>
      <c r="C328" s="42" t="s">
        <v>1512</v>
      </c>
      <c r="D328" s="15" t="s">
        <v>101</v>
      </c>
      <c r="E328" s="42" t="s">
        <v>1513</v>
      </c>
      <c r="F328" s="43">
        <v>1</v>
      </c>
      <c r="G328" s="15" t="s">
        <v>1501</v>
      </c>
      <c r="H328" s="44">
        <v>0</v>
      </c>
      <c r="I328" s="15" t="s">
        <v>104</v>
      </c>
      <c r="J328" s="15" t="s">
        <v>33</v>
      </c>
      <c r="K328" s="15" t="s">
        <v>35</v>
      </c>
      <c r="L328" s="15"/>
      <c r="M328" s="15" t="s">
        <v>38</v>
      </c>
      <c r="N328" s="15"/>
      <c r="O328" s="15"/>
      <c r="P328" s="45">
        <f>H328+SUMIFS(Movimientos!$F$2:$F$5000,Movimientos!$D$2:$D$5000,$A328,Movimientos!$C$2:$C$5000,"Ingreso inventario")+SUMIFS(Movimientos!$F$2:$F$5000,Movimientos!$D$2:$D$5000,$A328,Movimientos!$C$2:$C$5000,"Ajuste")-SUMIFS(Movimientos!$F$2:$F$5000,Movimientos!$D$2:$D$5000,$A328,Movimientos!$C$2:$C$5000,"Consumido en evento")-SUMIFS(Movimientos!$F$2:$F$5000,Movimientos!$D$2:$D$5000,$A328,Movimientos!$C$2:$C$5000,"Consumo interno")-SUMIFS(Movimientos!$F$2:$F$5000,Movimientos!$D$2:$D$5000,$A328,Movimientos!$C$2:$C$5000,"Baja")-SUMIFS(Movimientos!$F$2:$F$5000,Movimientos!$D$2:$D$5000,$A328,Movimientos!$C$2:$C$5000,"Baja desde reparación")</f>
        <v>0</v>
      </c>
      <c r="Q328" s="45">
        <f>SUMIFS(Movimientos!$F$2:$F$5000,Movimientos!$D$2:$D$5000,$A328,Movimientos!$C$2:$C$5000,"Salida alquiler")-SUMIFS(Movimientos!$F$2:$F$5000,Movimientos!$D$2:$D$5000,$A328,Movimientos!$C$2:$C$5000,"Retorno alquiler")-SUMIFS(Movimientos!$F$2:$F$5000,Movimientos!$D$2:$D$5000,$A328,Movimientos!$C$2:$C$5000,"Consumido en evento")-SUMIFS(Movimientos!$F$2:$F$5000,Movimientos!$D$2:$D$5000,$A328,Movimientos!$C$2:$C$5000,"A reparación")</f>
        <v>0</v>
      </c>
      <c r="R328" s="45">
        <f>SUMIFS(Movimientos!$F$2:$F$5000,Movimientos!$D$2:$D$5000,$A328,Movimientos!$C$2:$C$5000,"A reparación")-SUMIFS(Movimientos!$F$2:$F$5000,Movimientos!$D$2:$D$5000,$A328,Movimientos!$C$2:$C$5000,"Retorno reparación")-SUMIFS(Movimientos!$F$2:$F$5000,Movimientos!$D$2:$D$5000,$A328,Movimientos!$C$2:$C$5000,"Baja desde reparación")</f>
        <v>0</v>
      </c>
      <c r="S328" s="45">
        <f>P328-Q328-R328</f>
        <v>0</v>
      </c>
    </row>
    <row r="329" spans="1:19">
      <c r="A329" s="15" t="s">
        <v>1514</v>
      </c>
      <c r="B329" s="15" t="s">
        <v>1515</v>
      </c>
      <c r="C329" s="42" t="s">
        <v>1516</v>
      </c>
      <c r="D329" s="15" t="s">
        <v>101</v>
      </c>
      <c r="E329" s="42" t="s">
        <v>1517</v>
      </c>
      <c r="F329" s="43">
        <v>1</v>
      </c>
      <c r="G329" s="15" t="s">
        <v>1501</v>
      </c>
      <c r="H329" s="44">
        <v>2</v>
      </c>
      <c r="I329" s="15" t="s">
        <v>104</v>
      </c>
      <c r="J329" s="15" t="s">
        <v>33</v>
      </c>
      <c r="K329" s="15" t="s">
        <v>35</v>
      </c>
      <c r="L329" s="15"/>
      <c r="M329" s="15" t="s">
        <v>38</v>
      </c>
      <c r="N329" s="15"/>
      <c r="O329" s="15"/>
      <c r="P329" s="45">
        <f>H329+SUMIFS(Movimientos!$F$2:$F$5000,Movimientos!$D$2:$D$5000,$A329,Movimientos!$C$2:$C$5000,"Ingreso inventario")+SUMIFS(Movimientos!$F$2:$F$5000,Movimientos!$D$2:$D$5000,$A329,Movimientos!$C$2:$C$5000,"Ajuste")-SUMIFS(Movimientos!$F$2:$F$5000,Movimientos!$D$2:$D$5000,$A329,Movimientos!$C$2:$C$5000,"Consumido en evento")-SUMIFS(Movimientos!$F$2:$F$5000,Movimientos!$D$2:$D$5000,$A329,Movimientos!$C$2:$C$5000,"Consumo interno")-SUMIFS(Movimientos!$F$2:$F$5000,Movimientos!$D$2:$D$5000,$A329,Movimientos!$C$2:$C$5000,"Baja")-SUMIFS(Movimientos!$F$2:$F$5000,Movimientos!$D$2:$D$5000,$A329,Movimientos!$C$2:$C$5000,"Baja desde reparación")</f>
        <v>2</v>
      </c>
      <c r="Q329" s="45">
        <f>SUMIFS(Movimientos!$F$2:$F$5000,Movimientos!$D$2:$D$5000,$A329,Movimientos!$C$2:$C$5000,"Salida alquiler")-SUMIFS(Movimientos!$F$2:$F$5000,Movimientos!$D$2:$D$5000,$A329,Movimientos!$C$2:$C$5000,"Retorno alquiler")-SUMIFS(Movimientos!$F$2:$F$5000,Movimientos!$D$2:$D$5000,$A329,Movimientos!$C$2:$C$5000,"Consumido en evento")-SUMIFS(Movimientos!$F$2:$F$5000,Movimientos!$D$2:$D$5000,$A329,Movimientos!$C$2:$C$5000,"A reparación")</f>
        <v>0</v>
      </c>
      <c r="R329" s="45">
        <f>SUMIFS(Movimientos!$F$2:$F$5000,Movimientos!$D$2:$D$5000,$A329,Movimientos!$C$2:$C$5000,"A reparación")-SUMIFS(Movimientos!$F$2:$F$5000,Movimientos!$D$2:$D$5000,$A329,Movimientos!$C$2:$C$5000,"Retorno reparación")-SUMIFS(Movimientos!$F$2:$F$5000,Movimientos!$D$2:$D$5000,$A329,Movimientos!$C$2:$C$5000,"Baja desde reparación")</f>
        <v>0</v>
      </c>
      <c r="S329" s="45">
        <f>P329-Q329-R329</f>
        <v>2</v>
      </c>
    </row>
    <row r="330" spans="1:19">
      <c r="A330" s="15" t="s">
        <v>1518</v>
      </c>
      <c r="B330" s="15" t="s">
        <v>1519</v>
      </c>
      <c r="C330" s="42" t="s">
        <v>1520</v>
      </c>
      <c r="D330" s="15" t="s">
        <v>101</v>
      </c>
      <c r="E330" s="42" t="s">
        <v>1521</v>
      </c>
      <c r="F330" s="43">
        <v>1</v>
      </c>
      <c r="G330" s="15" t="s">
        <v>1374</v>
      </c>
      <c r="H330" s="44">
        <v>4</v>
      </c>
      <c r="I330" s="15" t="s">
        <v>104</v>
      </c>
      <c r="J330" s="15" t="s">
        <v>33</v>
      </c>
      <c r="K330" s="15" t="s">
        <v>35</v>
      </c>
      <c r="L330" s="15"/>
      <c r="M330" s="15" t="s">
        <v>38</v>
      </c>
      <c r="N330" s="15"/>
      <c r="O330" s="15"/>
      <c r="P330" s="45">
        <f>H330+SUMIFS(Movimientos!$F$2:$F$5000,Movimientos!$D$2:$D$5000,$A330,Movimientos!$C$2:$C$5000,"Ingreso inventario")+SUMIFS(Movimientos!$F$2:$F$5000,Movimientos!$D$2:$D$5000,$A330,Movimientos!$C$2:$C$5000,"Ajuste")-SUMIFS(Movimientos!$F$2:$F$5000,Movimientos!$D$2:$D$5000,$A330,Movimientos!$C$2:$C$5000,"Consumido en evento")-SUMIFS(Movimientos!$F$2:$F$5000,Movimientos!$D$2:$D$5000,$A330,Movimientos!$C$2:$C$5000,"Consumo interno")-SUMIFS(Movimientos!$F$2:$F$5000,Movimientos!$D$2:$D$5000,$A330,Movimientos!$C$2:$C$5000,"Baja")-SUMIFS(Movimientos!$F$2:$F$5000,Movimientos!$D$2:$D$5000,$A330,Movimientos!$C$2:$C$5000,"Baja desde reparación")</f>
        <v>4</v>
      </c>
      <c r="Q330" s="45">
        <f>SUMIFS(Movimientos!$F$2:$F$5000,Movimientos!$D$2:$D$5000,$A330,Movimientos!$C$2:$C$5000,"Salida alquiler")-SUMIFS(Movimientos!$F$2:$F$5000,Movimientos!$D$2:$D$5000,$A330,Movimientos!$C$2:$C$5000,"Retorno alquiler")-SUMIFS(Movimientos!$F$2:$F$5000,Movimientos!$D$2:$D$5000,$A330,Movimientos!$C$2:$C$5000,"Consumido en evento")-SUMIFS(Movimientos!$F$2:$F$5000,Movimientos!$D$2:$D$5000,$A330,Movimientos!$C$2:$C$5000,"A reparación")</f>
        <v>0</v>
      </c>
      <c r="R330" s="45">
        <f>SUMIFS(Movimientos!$F$2:$F$5000,Movimientos!$D$2:$D$5000,$A330,Movimientos!$C$2:$C$5000,"A reparación")-SUMIFS(Movimientos!$F$2:$F$5000,Movimientos!$D$2:$D$5000,$A330,Movimientos!$C$2:$C$5000,"Retorno reparación")-SUMIFS(Movimientos!$F$2:$F$5000,Movimientos!$D$2:$D$5000,$A330,Movimientos!$C$2:$C$5000,"Baja desde reparación")</f>
        <v>0</v>
      </c>
      <c r="S330" s="45">
        <f>P330-Q330-R330</f>
        <v>4</v>
      </c>
    </row>
    <row r="331" spans="1:19">
      <c r="A331" s="15" t="s">
        <v>1522</v>
      </c>
      <c r="B331" s="15" t="s">
        <v>1523</v>
      </c>
      <c r="C331" s="42" t="s">
        <v>1524</v>
      </c>
      <c r="D331" s="15" t="s">
        <v>101</v>
      </c>
      <c r="E331" s="42" t="s">
        <v>1525</v>
      </c>
      <c r="F331" s="43">
        <v>1</v>
      </c>
      <c r="G331" s="15" t="s">
        <v>1374</v>
      </c>
      <c r="H331" s="44">
        <v>4</v>
      </c>
      <c r="I331" s="15" t="s">
        <v>104</v>
      </c>
      <c r="J331" s="15" t="s">
        <v>33</v>
      </c>
      <c r="K331" s="15" t="s">
        <v>35</v>
      </c>
      <c r="L331" s="15"/>
      <c r="M331" s="15" t="s">
        <v>38</v>
      </c>
      <c r="N331" s="15"/>
      <c r="O331" s="15"/>
      <c r="P331" s="45">
        <f>H331+SUMIFS(Movimientos!$F$2:$F$5000,Movimientos!$D$2:$D$5000,$A331,Movimientos!$C$2:$C$5000,"Ingreso inventario")+SUMIFS(Movimientos!$F$2:$F$5000,Movimientos!$D$2:$D$5000,$A331,Movimientos!$C$2:$C$5000,"Ajuste")-SUMIFS(Movimientos!$F$2:$F$5000,Movimientos!$D$2:$D$5000,$A331,Movimientos!$C$2:$C$5000,"Consumido en evento")-SUMIFS(Movimientos!$F$2:$F$5000,Movimientos!$D$2:$D$5000,$A331,Movimientos!$C$2:$C$5000,"Consumo interno")-SUMIFS(Movimientos!$F$2:$F$5000,Movimientos!$D$2:$D$5000,$A331,Movimientos!$C$2:$C$5000,"Baja")-SUMIFS(Movimientos!$F$2:$F$5000,Movimientos!$D$2:$D$5000,$A331,Movimientos!$C$2:$C$5000,"Baja desde reparación")</f>
        <v>4</v>
      </c>
      <c r="Q331" s="45">
        <f>SUMIFS(Movimientos!$F$2:$F$5000,Movimientos!$D$2:$D$5000,$A331,Movimientos!$C$2:$C$5000,"Salida alquiler")-SUMIFS(Movimientos!$F$2:$F$5000,Movimientos!$D$2:$D$5000,$A331,Movimientos!$C$2:$C$5000,"Retorno alquiler")-SUMIFS(Movimientos!$F$2:$F$5000,Movimientos!$D$2:$D$5000,$A331,Movimientos!$C$2:$C$5000,"Consumido en evento")-SUMIFS(Movimientos!$F$2:$F$5000,Movimientos!$D$2:$D$5000,$A331,Movimientos!$C$2:$C$5000,"A reparación")</f>
        <v>0</v>
      </c>
      <c r="R331" s="45">
        <f>SUMIFS(Movimientos!$F$2:$F$5000,Movimientos!$D$2:$D$5000,$A331,Movimientos!$C$2:$C$5000,"A reparación")-SUMIFS(Movimientos!$F$2:$F$5000,Movimientos!$D$2:$D$5000,$A331,Movimientos!$C$2:$C$5000,"Retorno reparación")-SUMIFS(Movimientos!$F$2:$F$5000,Movimientos!$D$2:$D$5000,$A331,Movimientos!$C$2:$C$5000,"Baja desde reparación")</f>
        <v>0</v>
      </c>
      <c r="S331" s="45">
        <f>P331-Q331-R331</f>
        <v>4</v>
      </c>
    </row>
    <row r="332" spans="1:19">
      <c r="A332" s="15" t="s">
        <v>1526</v>
      </c>
      <c r="B332" s="15" t="s">
        <v>1527</v>
      </c>
      <c r="C332" s="42"/>
      <c r="D332" s="15" t="s">
        <v>101</v>
      </c>
      <c r="E332" s="42"/>
      <c r="F332" s="43">
        <v>1</v>
      </c>
      <c r="G332" s="15" t="s">
        <v>1528</v>
      </c>
      <c r="H332" s="44">
        <v>6</v>
      </c>
      <c r="I332" s="15" t="s">
        <v>104</v>
      </c>
      <c r="J332" s="15" t="s">
        <v>33</v>
      </c>
      <c r="K332" s="15" t="s">
        <v>35</v>
      </c>
      <c r="L332" s="15"/>
      <c r="M332" s="15" t="s">
        <v>38</v>
      </c>
      <c r="N332" s="15"/>
      <c r="O332" s="15"/>
      <c r="P332" s="45">
        <f>H332+SUMIFS(Movimientos!$F$2:$F$5000,Movimientos!$D$2:$D$5000,$A332,Movimientos!$C$2:$C$5000,"Ingreso inventario")+SUMIFS(Movimientos!$F$2:$F$5000,Movimientos!$D$2:$D$5000,$A332,Movimientos!$C$2:$C$5000,"Ajuste")-SUMIFS(Movimientos!$F$2:$F$5000,Movimientos!$D$2:$D$5000,$A332,Movimientos!$C$2:$C$5000,"Consumido en evento")-SUMIFS(Movimientos!$F$2:$F$5000,Movimientos!$D$2:$D$5000,$A332,Movimientos!$C$2:$C$5000,"Consumo interno")-SUMIFS(Movimientos!$F$2:$F$5000,Movimientos!$D$2:$D$5000,$A332,Movimientos!$C$2:$C$5000,"Baja")-SUMIFS(Movimientos!$F$2:$F$5000,Movimientos!$D$2:$D$5000,$A332,Movimientos!$C$2:$C$5000,"Baja desde reparación")</f>
        <v>6</v>
      </c>
      <c r="Q332" s="45">
        <f>SUMIFS(Movimientos!$F$2:$F$5000,Movimientos!$D$2:$D$5000,$A332,Movimientos!$C$2:$C$5000,"Salida alquiler")-SUMIFS(Movimientos!$F$2:$F$5000,Movimientos!$D$2:$D$5000,$A332,Movimientos!$C$2:$C$5000,"Retorno alquiler")-SUMIFS(Movimientos!$F$2:$F$5000,Movimientos!$D$2:$D$5000,$A332,Movimientos!$C$2:$C$5000,"Consumido en evento")-SUMIFS(Movimientos!$F$2:$F$5000,Movimientos!$D$2:$D$5000,$A332,Movimientos!$C$2:$C$5000,"A reparación")</f>
        <v>0</v>
      </c>
      <c r="R332" s="45">
        <f>SUMIFS(Movimientos!$F$2:$F$5000,Movimientos!$D$2:$D$5000,$A332,Movimientos!$C$2:$C$5000,"A reparación")-SUMIFS(Movimientos!$F$2:$F$5000,Movimientos!$D$2:$D$5000,$A332,Movimientos!$C$2:$C$5000,"Retorno reparación")-SUMIFS(Movimientos!$F$2:$F$5000,Movimientos!$D$2:$D$5000,$A332,Movimientos!$C$2:$C$5000,"Baja desde reparación")</f>
        <v>0</v>
      </c>
      <c r="S332" s="45">
        <f>P332-Q332-R332</f>
        <v>6</v>
      </c>
    </row>
    <row r="333" spans="1:19">
      <c r="A333" s="15" t="s">
        <v>1529</v>
      </c>
      <c r="B333" s="15" t="s">
        <v>1530</v>
      </c>
      <c r="C333" s="42"/>
      <c r="D333" s="15" t="s">
        <v>101</v>
      </c>
      <c r="E333" s="42"/>
      <c r="F333" s="43">
        <v>1</v>
      </c>
      <c r="G333" s="15" t="s">
        <v>1528</v>
      </c>
      <c r="H333" s="44">
        <v>2</v>
      </c>
      <c r="I333" s="15" t="s">
        <v>104</v>
      </c>
      <c r="J333" s="15" t="s">
        <v>33</v>
      </c>
      <c r="K333" s="15" t="s">
        <v>35</v>
      </c>
      <c r="L333" s="15"/>
      <c r="M333" s="15" t="s">
        <v>38</v>
      </c>
      <c r="N333" s="15"/>
      <c r="O333" s="15"/>
      <c r="P333" s="45">
        <f>H333+SUMIFS(Movimientos!$F$2:$F$5000,Movimientos!$D$2:$D$5000,$A333,Movimientos!$C$2:$C$5000,"Ingreso inventario")+SUMIFS(Movimientos!$F$2:$F$5000,Movimientos!$D$2:$D$5000,$A333,Movimientos!$C$2:$C$5000,"Ajuste")-SUMIFS(Movimientos!$F$2:$F$5000,Movimientos!$D$2:$D$5000,$A333,Movimientos!$C$2:$C$5000,"Consumido en evento")-SUMIFS(Movimientos!$F$2:$F$5000,Movimientos!$D$2:$D$5000,$A333,Movimientos!$C$2:$C$5000,"Consumo interno")-SUMIFS(Movimientos!$F$2:$F$5000,Movimientos!$D$2:$D$5000,$A333,Movimientos!$C$2:$C$5000,"Baja")-SUMIFS(Movimientos!$F$2:$F$5000,Movimientos!$D$2:$D$5000,$A333,Movimientos!$C$2:$C$5000,"Baja desde reparación")</f>
        <v>2</v>
      </c>
      <c r="Q333" s="45">
        <f>SUMIFS(Movimientos!$F$2:$F$5000,Movimientos!$D$2:$D$5000,$A333,Movimientos!$C$2:$C$5000,"Salida alquiler")-SUMIFS(Movimientos!$F$2:$F$5000,Movimientos!$D$2:$D$5000,$A333,Movimientos!$C$2:$C$5000,"Retorno alquiler")-SUMIFS(Movimientos!$F$2:$F$5000,Movimientos!$D$2:$D$5000,$A333,Movimientos!$C$2:$C$5000,"Consumido en evento")-SUMIFS(Movimientos!$F$2:$F$5000,Movimientos!$D$2:$D$5000,$A333,Movimientos!$C$2:$C$5000,"A reparación")</f>
        <v>0</v>
      </c>
      <c r="R333" s="45">
        <f>SUMIFS(Movimientos!$F$2:$F$5000,Movimientos!$D$2:$D$5000,$A333,Movimientos!$C$2:$C$5000,"A reparación")-SUMIFS(Movimientos!$F$2:$F$5000,Movimientos!$D$2:$D$5000,$A333,Movimientos!$C$2:$C$5000,"Retorno reparación")-SUMIFS(Movimientos!$F$2:$F$5000,Movimientos!$D$2:$D$5000,$A333,Movimientos!$C$2:$C$5000,"Baja desde reparación")</f>
        <v>0</v>
      </c>
      <c r="S333" s="45">
        <f>P333-Q333-R333</f>
        <v>2</v>
      </c>
    </row>
    <row r="334" spans="1:19">
      <c r="A334" s="15" t="s">
        <v>1531</v>
      </c>
      <c r="B334" s="15" t="s">
        <v>1532</v>
      </c>
      <c r="C334" s="42"/>
      <c r="D334" s="15" t="s">
        <v>101</v>
      </c>
      <c r="E334" s="42"/>
      <c r="F334" s="43">
        <v>1</v>
      </c>
      <c r="G334" s="15" t="s">
        <v>1528</v>
      </c>
      <c r="H334" s="44">
        <v>1</v>
      </c>
      <c r="I334" s="15" t="s">
        <v>104</v>
      </c>
      <c r="J334" s="15" t="s">
        <v>33</v>
      </c>
      <c r="K334" s="15" t="s">
        <v>35</v>
      </c>
      <c r="L334" s="15"/>
      <c r="M334" s="15" t="s">
        <v>38</v>
      </c>
      <c r="N334" s="15"/>
      <c r="O334" s="15"/>
      <c r="P334" s="45">
        <f>H334+SUMIFS(Movimientos!$F$2:$F$5000,Movimientos!$D$2:$D$5000,$A334,Movimientos!$C$2:$C$5000,"Ingreso inventario")+SUMIFS(Movimientos!$F$2:$F$5000,Movimientos!$D$2:$D$5000,$A334,Movimientos!$C$2:$C$5000,"Ajuste")-SUMIFS(Movimientos!$F$2:$F$5000,Movimientos!$D$2:$D$5000,$A334,Movimientos!$C$2:$C$5000,"Consumido en evento")-SUMIFS(Movimientos!$F$2:$F$5000,Movimientos!$D$2:$D$5000,$A334,Movimientos!$C$2:$C$5000,"Consumo interno")-SUMIFS(Movimientos!$F$2:$F$5000,Movimientos!$D$2:$D$5000,$A334,Movimientos!$C$2:$C$5000,"Baja")-SUMIFS(Movimientos!$F$2:$F$5000,Movimientos!$D$2:$D$5000,$A334,Movimientos!$C$2:$C$5000,"Baja desde reparación")</f>
        <v>1</v>
      </c>
      <c r="Q334" s="45">
        <f>SUMIFS(Movimientos!$F$2:$F$5000,Movimientos!$D$2:$D$5000,$A334,Movimientos!$C$2:$C$5000,"Salida alquiler")-SUMIFS(Movimientos!$F$2:$F$5000,Movimientos!$D$2:$D$5000,$A334,Movimientos!$C$2:$C$5000,"Retorno alquiler")-SUMIFS(Movimientos!$F$2:$F$5000,Movimientos!$D$2:$D$5000,$A334,Movimientos!$C$2:$C$5000,"Consumido en evento")-SUMIFS(Movimientos!$F$2:$F$5000,Movimientos!$D$2:$D$5000,$A334,Movimientos!$C$2:$C$5000,"A reparación")</f>
        <v>0</v>
      </c>
      <c r="R334" s="45">
        <f>SUMIFS(Movimientos!$F$2:$F$5000,Movimientos!$D$2:$D$5000,$A334,Movimientos!$C$2:$C$5000,"A reparación")-SUMIFS(Movimientos!$F$2:$F$5000,Movimientos!$D$2:$D$5000,$A334,Movimientos!$C$2:$C$5000,"Retorno reparación")-SUMIFS(Movimientos!$F$2:$F$5000,Movimientos!$D$2:$D$5000,$A334,Movimientos!$C$2:$C$5000,"Baja desde reparación")</f>
        <v>0</v>
      </c>
      <c r="S334" s="45">
        <f>P334-Q334-R334</f>
        <v>1</v>
      </c>
    </row>
    <row r="335" spans="1:19">
      <c r="A335" s="15" t="s">
        <v>1533</v>
      </c>
      <c r="B335" s="15" t="s">
        <v>1534</v>
      </c>
      <c r="C335" s="42"/>
      <c r="D335" s="15" t="s">
        <v>101</v>
      </c>
      <c r="E335" s="42"/>
      <c r="F335" s="43">
        <v>1</v>
      </c>
      <c r="G335" s="15" t="s">
        <v>1528</v>
      </c>
      <c r="H335" s="44">
        <v>1</v>
      </c>
      <c r="I335" s="15" t="s">
        <v>104</v>
      </c>
      <c r="J335" s="15" t="s">
        <v>33</v>
      </c>
      <c r="K335" s="15" t="s">
        <v>35</v>
      </c>
      <c r="L335" s="15"/>
      <c r="M335" s="15" t="s">
        <v>38</v>
      </c>
      <c r="N335" s="15"/>
      <c r="O335" s="15"/>
      <c r="P335" s="45">
        <f>H335+SUMIFS(Movimientos!$F$2:$F$5000,Movimientos!$D$2:$D$5000,$A335,Movimientos!$C$2:$C$5000,"Ingreso inventario")+SUMIFS(Movimientos!$F$2:$F$5000,Movimientos!$D$2:$D$5000,$A335,Movimientos!$C$2:$C$5000,"Ajuste")-SUMIFS(Movimientos!$F$2:$F$5000,Movimientos!$D$2:$D$5000,$A335,Movimientos!$C$2:$C$5000,"Consumido en evento")-SUMIFS(Movimientos!$F$2:$F$5000,Movimientos!$D$2:$D$5000,$A335,Movimientos!$C$2:$C$5000,"Consumo interno")-SUMIFS(Movimientos!$F$2:$F$5000,Movimientos!$D$2:$D$5000,$A335,Movimientos!$C$2:$C$5000,"Baja")-SUMIFS(Movimientos!$F$2:$F$5000,Movimientos!$D$2:$D$5000,$A335,Movimientos!$C$2:$C$5000,"Baja desde reparación")</f>
        <v>1</v>
      </c>
      <c r="Q335" s="45">
        <f>SUMIFS(Movimientos!$F$2:$F$5000,Movimientos!$D$2:$D$5000,$A335,Movimientos!$C$2:$C$5000,"Salida alquiler")-SUMIFS(Movimientos!$F$2:$F$5000,Movimientos!$D$2:$D$5000,$A335,Movimientos!$C$2:$C$5000,"Retorno alquiler")-SUMIFS(Movimientos!$F$2:$F$5000,Movimientos!$D$2:$D$5000,$A335,Movimientos!$C$2:$C$5000,"Consumido en evento")-SUMIFS(Movimientos!$F$2:$F$5000,Movimientos!$D$2:$D$5000,$A335,Movimientos!$C$2:$C$5000,"A reparación")</f>
        <v>0</v>
      </c>
      <c r="R335" s="45">
        <f>SUMIFS(Movimientos!$F$2:$F$5000,Movimientos!$D$2:$D$5000,$A335,Movimientos!$C$2:$C$5000,"A reparación")-SUMIFS(Movimientos!$F$2:$F$5000,Movimientos!$D$2:$D$5000,$A335,Movimientos!$C$2:$C$5000,"Retorno reparación")-SUMIFS(Movimientos!$F$2:$F$5000,Movimientos!$D$2:$D$5000,$A335,Movimientos!$C$2:$C$5000,"Baja desde reparación")</f>
        <v>0</v>
      </c>
      <c r="S335" s="45">
        <f>P335-Q335-R335</f>
        <v>1</v>
      </c>
    </row>
    <row r="336" spans="1:19">
      <c r="A336" s="15" t="s">
        <v>1535</v>
      </c>
      <c r="B336" s="15" t="s">
        <v>1536</v>
      </c>
      <c r="C336" s="42"/>
      <c r="D336" s="15" t="s">
        <v>101</v>
      </c>
      <c r="E336" s="42"/>
      <c r="F336" s="43">
        <v>1</v>
      </c>
      <c r="G336" s="15" t="s">
        <v>1528</v>
      </c>
      <c r="H336" s="44">
        <v>4</v>
      </c>
      <c r="I336" s="15" t="s">
        <v>104</v>
      </c>
      <c r="J336" s="15" t="s">
        <v>33</v>
      </c>
      <c r="K336" s="15" t="s">
        <v>35</v>
      </c>
      <c r="L336" s="15"/>
      <c r="M336" s="15" t="s">
        <v>38</v>
      </c>
      <c r="N336" s="15"/>
      <c r="O336" s="15"/>
      <c r="P336" s="45">
        <f>H336+SUMIFS(Movimientos!$F$2:$F$5000,Movimientos!$D$2:$D$5000,$A336,Movimientos!$C$2:$C$5000,"Ingreso inventario")+SUMIFS(Movimientos!$F$2:$F$5000,Movimientos!$D$2:$D$5000,$A336,Movimientos!$C$2:$C$5000,"Ajuste")-SUMIFS(Movimientos!$F$2:$F$5000,Movimientos!$D$2:$D$5000,$A336,Movimientos!$C$2:$C$5000,"Consumido en evento")-SUMIFS(Movimientos!$F$2:$F$5000,Movimientos!$D$2:$D$5000,$A336,Movimientos!$C$2:$C$5000,"Consumo interno")-SUMIFS(Movimientos!$F$2:$F$5000,Movimientos!$D$2:$D$5000,$A336,Movimientos!$C$2:$C$5000,"Baja")-SUMIFS(Movimientos!$F$2:$F$5000,Movimientos!$D$2:$D$5000,$A336,Movimientos!$C$2:$C$5000,"Baja desde reparación")</f>
        <v>4</v>
      </c>
      <c r="Q336" s="45">
        <f>SUMIFS(Movimientos!$F$2:$F$5000,Movimientos!$D$2:$D$5000,$A336,Movimientos!$C$2:$C$5000,"Salida alquiler")-SUMIFS(Movimientos!$F$2:$F$5000,Movimientos!$D$2:$D$5000,$A336,Movimientos!$C$2:$C$5000,"Retorno alquiler")-SUMIFS(Movimientos!$F$2:$F$5000,Movimientos!$D$2:$D$5000,$A336,Movimientos!$C$2:$C$5000,"Consumido en evento")-SUMIFS(Movimientos!$F$2:$F$5000,Movimientos!$D$2:$D$5000,$A336,Movimientos!$C$2:$C$5000,"A reparación")</f>
        <v>0</v>
      </c>
      <c r="R336" s="45">
        <f>SUMIFS(Movimientos!$F$2:$F$5000,Movimientos!$D$2:$D$5000,$A336,Movimientos!$C$2:$C$5000,"A reparación")-SUMIFS(Movimientos!$F$2:$F$5000,Movimientos!$D$2:$D$5000,$A336,Movimientos!$C$2:$C$5000,"Retorno reparación")-SUMIFS(Movimientos!$F$2:$F$5000,Movimientos!$D$2:$D$5000,$A336,Movimientos!$C$2:$C$5000,"Baja desde reparación")</f>
        <v>0</v>
      </c>
      <c r="S336" s="45">
        <f>P336-Q336-R336</f>
        <v>4</v>
      </c>
    </row>
    <row r="337" spans="1:19">
      <c r="A337" s="15" t="s">
        <v>1537</v>
      </c>
      <c r="B337" s="15" t="s">
        <v>1538</v>
      </c>
      <c r="C337" s="42"/>
      <c r="D337" s="15" t="s">
        <v>101</v>
      </c>
      <c r="E337" s="42"/>
      <c r="F337" s="43">
        <v>1</v>
      </c>
      <c r="G337" s="15" t="s">
        <v>1528</v>
      </c>
      <c r="H337" s="44">
        <v>4</v>
      </c>
      <c r="I337" s="15" t="s">
        <v>104</v>
      </c>
      <c r="J337" s="15" t="s">
        <v>33</v>
      </c>
      <c r="K337" s="15" t="s">
        <v>35</v>
      </c>
      <c r="L337" s="15"/>
      <c r="M337" s="15" t="s">
        <v>38</v>
      </c>
      <c r="N337" s="15"/>
      <c r="O337" s="15"/>
      <c r="P337" s="45">
        <f>H337+SUMIFS(Movimientos!$F$2:$F$5000,Movimientos!$D$2:$D$5000,$A337,Movimientos!$C$2:$C$5000,"Ingreso inventario")+SUMIFS(Movimientos!$F$2:$F$5000,Movimientos!$D$2:$D$5000,$A337,Movimientos!$C$2:$C$5000,"Ajuste")-SUMIFS(Movimientos!$F$2:$F$5000,Movimientos!$D$2:$D$5000,$A337,Movimientos!$C$2:$C$5000,"Consumido en evento")-SUMIFS(Movimientos!$F$2:$F$5000,Movimientos!$D$2:$D$5000,$A337,Movimientos!$C$2:$C$5000,"Consumo interno")-SUMIFS(Movimientos!$F$2:$F$5000,Movimientos!$D$2:$D$5000,$A337,Movimientos!$C$2:$C$5000,"Baja")-SUMIFS(Movimientos!$F$2:$F$5000,Movimientos!$D$2:$D$5000,$A337,Movimientos!$C$2:$C$5000,"Baja desde reparación")</f>
        <v>4</v>
      </c>
      <c r="Q337" s="45">
        <f>SUMIFS(Movimientos!$F$2:$F$5000,Movimientos!$D$2:$D$5000,$A337,Movimientos!$C$2:$C$5000,"Salida alquiler")-SUMIFS(Movimientos!$F$2:$F$5000,Movimientos!$D$2:$D$5000,$A337,Movimientos!$C$2:$C$5000,"Retorno alquiler")-SUMIFS(Movimientos!$F$2:$F$5000,Movimientos!$D$2:$D$5000,$A337,Movimientos!$C$2:$C$5000,"Consumido en evento")-SUMIFS(Movimientos!$F$2:$F$5000,Movimientos!$D$2:$D$5000,$A337,Movimientos!$C$2:$C$5000,"A reparación")</f>
        <v>0</v>
      </c>
      <c r="R337" s="45">
        <f>SUMIFS(Movimientos!$F$2:$F$5000,Movimientos!$D$2:$D$5000,$A337,Movimientos!$C$2:$C$5000,"A reparación")-SUMIFS(Movimientos!$F$2:$F$5000,Movimientos!$D$2:$D$5000,$A337,Movimientos!$C$2:$C$5000,"Retorno reparación")-SUMIFS(Movimientos!$F$2:$F$5000,Movimientos!$D$2:$D$5000,$A337,Movimientos!$C$2:$C$5000,"Baja desde reparación")</f>
        <v>0</v>
      </c>
      <c r="S337" s="45">
        <f>P337-Q337-R337</f>
        <v>4</v>
      </c>
    </row>
    <row r="338" spans="1:19">
      <c r="A338" s="15" t="s">
        <v>1539</v>
      </c>
      <c r="B338" s="15" t="s">
        <v>1540</v>
      </c>
      <c r="C338" s="42"/>
      <c r="D338" s="15" t="s">
        <v>101</v>
      </c>
      <c r="E338" s="42"/>
      <c r="F338" s="43">
        <v>1</v>
      </c>
      <c r="G338" s="15" t="s">
        <v>1528</v>
      </c>
      <c r="H338" s="44">
        <v>2</v>
      </c>
      <c r="I338" s="15" t="s">
        <v>104</v>
      </c>
      <c r="J338" s="15" t="s">
        <v>33</v>
      </c>
      <c r="K338" s="15" t="s">
        <v>35</v>
      </c>
      <c r="L338" s="15"/>
      <c r="M338" s="15" t="s">
        <v>38</v>
      </c>
      <c r="N338" s="15"/>
      <c r="O338" s="15"/>
      <c r="P338" s="45">
        <f>H338+SUMIFS(Movimientos!$F$2:$F$5000,Movimientos!$D$2:$D$5000,$A338,Movimientos!$C$2:$C$5000,"Ingreso inventario")+SUMIFS(Movimientos!$F$2:$F$5000,Movimientos!$D$2:$D$5000,$A338,Movimientos!$C$2:$C$5000,"Ajuste")-SUMIFS(Movimientos!$F$2:$F$5000,Movimientos!$D$2:$D$5000,$A338,Movimientos!$C$2:$C$5000,"Consumido en evento")-SUMIFS(Movimientos!$F$2:$F$5000,Movimientos!$D$2:$D$5000,$A338,Movimientos!$C$2:$C$5000,"Consumo interno")-SUMIFS(Movimientos!$F$2:$F$5000,Movimientos!$D$2:$D$5000,$A338,Movimientos!$C$2:$C$5000,"Baja")-SUMIFS(Movimientos!$F$2:$F$5000,Movimientos!$D$2:$D$5000,$A338,Movimientos!$C$2:$C$5000,"Baja desde reparación")</f>
        <v>2</v>
      </c>
      <c r="Q338" s="45">
        <f>SUMIFS(Movimientos!$F$2:$F$5000,Movimientos!$D$2:$D$5000,$A338,Movimientos!$C$2:$C$5000,"Salida alquiler")-SUMIFS(Movimientos!$F$2:$F$5000,Movimientos!$D$2:$D$5000,$A338,Movimientos!$C$2:$C$5000,"Retorno alquiler")-SUMIFS(Movimientos!$F$2:$F$5000,Movimientos!$D$2:$D$5000,$A338,Movimientos!$C$2:$C$5000,"Consumido en evento")-SUMIFS(Movimientos!$F$2:$F$5000,Movimientos!$D$2:$D$5000,$A338,Movimientos!$C$2:$C$5000,"A reparación")</f>
        <v>0</v>
      </c>
      <c r="R338" s="45">
        <f>SUMIFS(Movimientos!$F$2:$F$5000,Movimientos!$D$2:$D$5000,$A338,Movimientos!$C$2:$C$5000,"A reparación")-SUMIFS(Movimientos!$F$2:$F$5000,Movimientos!$D$2:$D$5000,$A338,Movimientos!$C$2:$C$5000,"Retorno reparación")-SUMIFS(Movimientos!$F$2:$F$5000,Movimientos!$D$2:$D$5000,$A338,Movimientos!$C$2:$C$5000,"Baja desde reparación")</f>
        <v>0</v>
      </c>
      <c r="S338" s="45">
        <f>P338-Q338-R338</f>
        <v>2</v>
      </c>
    </row>
    <row r="339" spans="1:19">
      <c r="A339" s="15" t="s">
        <v>1541</v>
      </c>
      <c r="B339" s="15" t="s">
        <v>1542</v>
      </c>
      <c r="C339" s="42"/>
      <c r="D339" s="15" t="s">
        <v>101</v>
      </c>
      <c r="E339" s="42"/>
      <c r="F339" s="43">
        <v>1</v>
      </c>
      <c r="G339" s="15" t="s">
        <v>1528</v>
      </c>
      <c r="H339" s="44">
        <v>20</v>
      </c>
      <c r="I339" s="15" t="s">
        <v>104</v>
      </c>
      <c r="J339" s="15" t="s">
        <v>33</v>
      </c>
      <c r="K339" s="15" t="s">
        <v>35</v>
      </c>
      <c r="L339" s="15"/>
      <c r="M339" s="15" t="s">
        <v>38</v>
      </c>
      <c r="N339" s="15"/>
      <c r="O339" s="15"/>
      <c r="P339" s="45">
        <f>H339+SUMIFS(Movimientos!$F$2:$F$5000,Movimientos!$D$2:$D$5000,$A339,Movimientos!$C$2:$C$5000,"Ingreso inventario")+SUMIFS(Movimientos!$F$2:$F$5000,Movimientos!$D$2:$D$5000,$A339,Movimientos!$C$2:$C$5000,"Ajuste")-SUMIFS(Movimientos!$F$2:$F$5000,Movimientos!$D$2:$D$5000,$A339,Movimientos!$C$2:$C$5000,"Consumido en evento")-SUMIFS(Movimientos!$F$2:$F$5000,Movimientos!$D$2:$D$5000,$A339,Movimientos!$C$2:$C$5000,"Consumo interno")-SUMIFS(Movimientos!$F$2:$F$5000,Movimientos!$D$2:$D$5000,$A339,Movimientos!$C$2:$C$5000,"Baja")-SUMIFS(Movimientos!$F$2:$F$5000,Movimientos!$D$2:$D$5000,$A339,Movimientos!$C$2:$C$5000,"Baja desde reparación")</f>
        <v>20</v>
      </c>
      <c r="Q339" s="45">
        <f>SUMIFS(Movimientos!$F$2:$F$5000,Movimientos!$D$2:$D$5000,$A339,Movimientos!$C$2:$C$5000,"Salida alquiler")-SUMIFS(Movimientos!$F$2:$F$5000,Movimientos!$D$2:$D$5000,$A339,Movimientos!$C$2:$C$5000,"Retorno alquiler")-SUMIFS(Movimientos!$F$2:$F$5000,Movimientos!$D$2:$D$5000,$A339,Movimientos!$C$2:$C$5000,"Consumido en evento")-SUMIFS(Movimientos!$F$2:$F$5000,Movimientos!$D$2:$D$5000,$A339,Movimientos!$C$2:$C$5000,"A reparación")</f>
        <v>0</v>
      </c>
      <c r="R339" s="45">
        <f>SUMIFS(Movimientos!$F$2:$F$5000,Movimientos!$D$2:$D$5000,$A339,Movimientos!$C$2:$C$5000,"A reparación")-SUMIFS(Movimientos!$F$2:$F$5000,Movimientos!$D$2:$D$5000,$A339,Movimientos!$C$2:$C$5000,"Retorno reparación")-SUMIFS(Movimientos!$F$2:$F$5000,Movimientos!$D$2:$D$5000,$A339,Movimientos!$C$2:$C$5000,"Baja desde reparación")</f>
        <v>0</v>
      </c>
      <c r="S339" s="45">
        <f>P339-Q339-R339</f>
        <v>20</v>
      </c>
    </row>
    <row r="340" spans="1:19">
      <c r="A340" s="15" t="s">
        <v>1543</v>
      </c>
      <c r="B340" s="15" t="s">
        <v>1544</v>
      </c>
      <c r="C340" s="42"/>
      <c r="D340" s="15" t="s">
        <v>101</v>
      </c>
      <c r="E340" s="42"/>
      <c r="F340" s="43">
        <v>1</v>
      </c>
      <c r="G340" s="15" t="s">
        <v>1528</v>
      </c>
      <c r="H340" s="44">
        <v>2</v>
      </c>
      <c r="I340" s="15" t="s">
        <v>104</v>
      </c>
      <c r="J340" s="15" t="s">
        <v>33</v>
      </c>
      <c r="K340" s="15" t="s">
        <v>35</v>
      </c>
      <c r="L340" s="15"/>
      <c r="M340" s="15" t="s">
        <v>38</v>
      </c>
      <c r="N340" s="15"/>
      <c r="O340" s="15"/>
      <c r="P340" s="45">
        <f>H340+SUMIFS(Movimientos!$F$2:$F$5000,Movimientos!$D$2:$D$5000,$A340,Movimientos!$C$2:$C$5000,"Ingreso inventario")+SUMIFS(Movimientos!$F$2:$F$5000,Movimientos!$D$2:$D$5000,$A340,Movimientos!$C$2:$C$5000,"Ajuste")-SUMIFS(Movimientos!$F$2:$F$5000,Movimientos!$D$2:$D$5000,$A340,Movimientos!$C$2:$C$5000,"Consumido en evento")-SUMIFS(Movimientos!$F$2:$F$5000,Movimientos!$D$2:$D$5000,$A340,Movimientos!$C$2:$C$5000,"Consumo interno")-SUMIFS(Movimientos!$F$2:$F$5000,Movimientos!$D$2:$D$5000,$A340,Movimientos!$C$2:$C$5000,"Baja")-SUMIFS(Movimientos!$F$2:$F$5000,Movimientos!$D$2:$D$5000,$A340,Movimientos!$C$2:$C$5000,"Baja desde reparación")</f>
        <v>2</v>
      </c>
      <c r="Q340" s="45">
        <f>SUMIFS(Movimientos!$F$2:$F$5000,Movimientos!$D$2:$D$5000,$A340,Movimientos!$C$2:$C$5000,"Salida alquiler")-SUMIFS(Movimientos!$F$2:$F$5000,Movimientos!$D$2:$D$5000,$A340,Movimientos!$C$2:$C$5000,"Retorno alquiler")-SUMIFS(Movimientos!$F$2:$F$5000,Movimientos!$D$2:$D$5000,$A340,Movimientos!$C$2:$C$5000,"Consumido en evento")-SUMIFS(Movimientos!$F$2:$F$5000,Movimientos!$D$2:$D$5000,$A340,Movimientos!$C$2:$C$5000,"A reparación")</f>
        <v>0</v>
      </c>
      <c r="R340" s="45">
        <f>SUMIFS(Movimientos!$F$2:$F$5000,Movimientos!$D$2:$D$5000,$A340,Movimientos!$C$2:$C$5000,"A reparación")-SUMIFS(Movimientos!$F$2:$F$5000,Movimientos!$D$2:$D$5000,$A340,Movimientos!$C$2:$C$5000,"Retorno reparación")-SUMIFS(Movimientos!$F$2:$F$5000,Movimientos!$D$2:$D$5000,$A340,Movimientos!$C$2:$C$5000,"Baja desde reparación")</f>
        <v>0</v>
      </c>
      <c r="S340" s="45">
        <f>P340-Q340-R340</f>
        <v>2</v>
      </c>
    </row>
    <row r="341" spans="1:19">
      <c r="A341" s="15" t="s">
        <v>1545</v>
      </c>
      <c r="B341" s="15" t="s">
        <v>1546</v>
      </c>
      <c r="C341" s="42"/>
      <c r="D341" s="15" t="s">
        <v>101</v>
      </c>
      <c r="E341" s="42"/>
      <c r="F341" s="43">
        <v>1</v>
      </c>
      <c r="G341" s="15" t="s">
        <v>1528</v>
      </c>
      <c r="H341" s="44">
        <v>8</v>
      </c>
      <c r="I341" s="15" t="s">
        <v>104</v>
      </c>
      <c r="J341" s="15" t="s">
        <v>33</v>
      </c>
      <c r="K341" s="15" t="s">
        <v>35</v>
      </c>
      <c r="L341" s="15"/>
      <c r="M341" s="15" t="s">
        <v>38</v>
      </c>
      <c r="N341" s="15"/>
      <c r="O341" s="15"/>
      <c r="P341" s="45">
        <f>H341+SUMIFS(Movimientos!$F$2:$F$5000,Movimientos!$D$2:$D$5000,$A341,Movimientos!$C$2:$C$5000,"Ingreso inventario")+SUMIFS(Movimientos!$F$2:$F$5000,Movimientos!$D$2:$D$5000,$A341,Movimientos!$C$2:$C$5000,"Ajuste")-SUMIFS(Movimientos!$F$2:$F$5000,Movimientos!$D$2:$D$5000,$A341,Movimientos!$C$2:$C$5000,"Consumido en evento")-SUMIFS(Movimientos!$F$2:$F$5000,Movimientos!$D$2:$D$5000,$A341,Movimientos!$C$2:$C$5000,"Consumo interno")-SUMIFS(Movimientos!$F$2:$F$5000,Movimientos!$D$2:$D$5000,$A341,Movimientos!$C$2:$C$5000,"Baja")-SUMIFS(Movimientos!$F$2:$F$5000,Movimientos!$D$2:$D$5000,$A341,Movimientos!$C$2:$C$5000,"Baja desde reparación")</f>
        <v>8</v>
      </c>
      <c r="Q341" s="45">
        <f>SUMIFS(Movimientos!$F$2:$F$5000,Movimientos!$D$2:$D$5000,$A341,Movimientos!$C$2:$C$5000,"Salida alquiler")-SUMIFS(Movimientos!$F$2:$F$5000,Movimientos!$D$2:$D$5000,$A341,Movimientos!$C$2:$C$5000,"Retorno alquiler")-SUMIFS(Movimientos!$F$2:$F$5000,Movimientos!$D$2:$D$5000,$A341,Movimientos!$C$2:$C$5000,"Consumido en evento")-SUMIFS(Movimientos!$F$2:$F$5000,Movimientos!$D$2:$D$5000,$A341,Movimientos!$C$2:$C$5000,"A reparación")</f>
        <v>0</v>
      </c>
      <c r="R341" s="45">
        <f>SUMIFS(Movimientos!$F$2:$F$5000,Movimientos!$D$2:$D$5000,$A341,Movimientos!$C$2:$C$5000,"A reparación")-SUMIFS(Movimientos!$F$2:$F$5000,Movimientos!$D$2:$D$5000,$A341,Movimientos!$C$2:$C$5000,"Retorno reparación")-SUMIFS(Movimientos!$F$2:$F$5000,Movimientos!$D$2:$D$5000,$A341,Movimientos!$C$2:$C$5000,"Baja desde reparación")</f>
        <v>0</v>
      </c>
      <c r="S341" s="45">
        <f>P341-Q341-R341</f>
        <v>8</v>
      </c>
    </row>
    <row r="342" spans="1:19">
      <c r="A342" s="15" t="s">
        <v>1547</v>
      </c>
      <c r="B342" s="15" t="s">
        <v>1548</v>
      </c>
      <c r="C342" s="42"/>
      <c r="D342" s="15" t="s">
        <v>101</v>
      </c>
      <c r="E342" s="42"/>
      <c r="F342" s="43">
        <v>1</v>
      </c>
      <c r="G342" s="15" t="s">
        <v>1528</v>
      </c>
      <c r="H342" s="44">
        <v>8</v>
      </c>
      <c r="I342" s="15" t="s">
        <v>104</v>
      </c>
      <c r="J342" s="15" t="s">
        <v>33</v>
      </c>
      <c r="K342" s="15" t="s">
        <v>35</v>
      </c>
      <c r="L342" s="15"/>
      <c r="M342" s="15" t="s">
        <v>38</v>
      </c>
      <c r="N342" s="15"/>
      <c r="O342" s="15"/>
      <c r="P342" s="45">
        <f>H342+SUMIFS(Movimientos!$F$2:$F$5000,Movimientos!$D$2:$D$5000,$A342,Movimientos!$C$2:$C$5000,"Ingreso inventario")+SUMIFS(Movimientos!$F$2:$F$5000,Movimientos!$D$2:$D$5000,$A342,Movimientos!$C$2:$C$5000,"Ajuste")-SUMIFS(Movimientos!$F$2:$F$5000,Movimientos!$D$2:$D$5000,$A342,Movimientos!$C$2:$C$5000,"Consumido en evento")-SUMIFS(Movimientos!$F$2:$F$5000,Movimientos!$D$2:$D$5000,$A342,Movimientos!$C$2:$C$5000,"Consumo interno")-SUMIFS(Movimientos!$F$2:$F$5000,Movimientos!$D$2:$D$5000,$A342,Movimientos!$C$2:$C$5000,"Baja")-SUMIFS(Movimientos!$F$2:$F$5000,Movimientos!$D$2:$D$5000,$A342,Movimientos!$C$2:$C$5000,"Baja desde reparación")</f>
        <v>8</v>
      </c>
      <c r="Q342" s="45">
        <f>SUMIFS(Movimientos!$F$2:$F$5000,Movimientos!$D$2:$D$5000,$A342,Movimientos!$C$2:$C$5000,"Salida alquiler")-SUMIFS(Movimientos!$F$2:$F$5000,Movimientos!$D$2:$D$5000,$A342,Movimientos!$C$2:$C$5000,"Retorno alquiler")-SUMIFS(Movimientos!$F$2:$F$5000,Movimientos!$D$2:$D$5000,$A342,Movimientos!$C$2:$C$5000,"Consumido en evento")-SUMIFS(Movimientos!$F$2:$F$5000,Movimientos!$D$2:$D$5000,$A342,Movimientos!$C$2:$C$5000,"A reparación")</f>
        <v>0</v>
      </c>
      <c r="R342" s="45">
        <f>SUMIFS(Movimientos!$F$2:$F$5000,Movimientos!$D$2:$D$5000,$A342,Movimientos!$C$2:$C$5000,"A reparación")-SUMIFS(Movimientos!$F$2:$F$5000,Movimientos!$D$2:$D$5000,$A342,Movimientos!$C$2:$C$5000,"Retorno reparación")-SUMIFS(Movimientos!$F$2:$F$5000,Movimientos!$D$2:$D$5000,$A342,Movimientos!$C$2:$C$5000,"Baja desde reparación")</f>
        <v>0</v>
      </c>
      <c r="S342" s="45">
        <f>P342-Q342-R342</f>
        <v>8</v>
      </c>
    </row>
    <row r="343" spans="1:19">
      <c r="A343" s="15" t="s">
        <v>1549</v>
      </c>
      <c r="B343" s="15" t="s">
        <v>1550</v>
      </c>
      <c r="C343" s="42"/>
      <c r="D343" s="15" t="s">
        <v>101</v>
      </c>
      <c r="E343" s="42"/>
      <c r="F343" s="43">
        <v>1</v>
      </c>
      <c r="G343" s="15" t="s">
        <v>1528</v>
      </c>
      <c r="H343" s="44">
        <v>12</v>
      </c>
      <c r="I343" s="15" t="s">
        <v>104</v>
      </c>
      <c r="J343" s="15" t="s">
        <v>33</v>
      </c>
      <c r="K343" s="15" t="s">
        <v>35</v>
      </c>
      <c r="L343" s="15"/>
      <c r="M343" s="15" t="s">
        <v>38</v>
      </c>
      <c r="N343" s="15"/>
      <c r="O343" s="15"/>
      <c r="P343" s="45">
        <f>H343+SUMIFS(Movimientos!$F$2:$F$5000,Movimientos!$D$2:$D$5000,$A343,Movimientos!$C$2:$C$5000,"Ingreso inventario")+SUMIFS(Movimientos!$F$2:$F$5000,Movimientos!$D$2:$D$5000,$A343,Movimientos!$C$2:$C$5000,"Ajuste")-SUMIFS(Movimientos!$F$2:$F$5000,Movimientos!$D$2:$D$5000,$A343,Movimientos!$C$2:$C$5000,"Consumido en evento")-SUMIFS(Movimientos!$F$2:$F$5000,Movimientos!$D$2:$D$5000,$A343,Movimientos!$C$2:$C$5000,"Consumo interno")-SUMIFS(Movimientos!$F$2:$F$5000,Movimientos!$D$2:$D$5000,$A343,Movimientos!$C$2:$C$5000,"Baja")-SUMIFS(Movimientos!$F$2:$F$5000,Movimientos!$D$2:$D$5000,$A343,Movimientos!$C$2:$C$5000,"Baja desde reparación")</f>
        <v>12</v>
      </c>
      <c r="Q343" s="45">
        <f>SUMIFS(Movimientos!$F$2:$F$5000,Movimientos!$D$2:$D$5000,$A343,Movimientos!$C$2:$C$5000,"Salida alquiler")-SUMIFS(Movimientos!$F$2:$F$5000,Movimientos!$D$2:$D$5000,$A343,Movimientos!$C$2:$C$5000,"Retorno alquiler")-SUMIFS(Movimientos!$F$2:$F$5000,Movimientos!$D$2:$D$5000,$A343,Movimientos!$C$2:$C$5000,"Consumido en evento")-SUMIFS(Movimientos!$F$2:$F$5000,Movimientos!$D$2:$D$5000,$A343,Movimientos!$C$2:$C$5000,"A reparación")</f>
        <v>0</v>
      </c>
      <c r="R343" s="45">
        <f>SUMIFS(Movimientos!$F$2:$F$5000,Movimientos!$D$2:$D$5000,$A343,Movimientos!$C$2:$C$5000,"A reparación")-SUMIFS(Movimientos!$F$2:$F$5000,Movimientos!$D$2:$D$5000,$A343,Movimientos!$C$2:$C$5000,"Retorno reparación")-SUMIFS(Movimientos!$F$2:$F$5000,Movimientos!$D$2:$D$5000,$A343,Movimientos!$C$2:$C$5000,"Baja desde reparación")</f>
        <v>0</v>
      </c>
      <c r="S343" s="45">
        <f>P343-Q343-R343</f>
        <v>12</v>
      </c>
    </row>
    <row r="344" spans="1:19">
      <c r="A344" s="15" t="s">
        <v>1551</v>
      </c>
      <c r="B344" s="15" t="s">
        <v>1552</v>
      </c>
      <c r="C344" s="42"/>
      <c r="D344" s="15" t="s">
        <v>101</v>
      </c>
      <c r="E344" s="42"/>
      <c r="F344" s="43">
        <v>1</v>
      </c>
      <c r="G344" s="15" t="s">
        <v>1528</v>
      </c>
      <c r="H344" s="44">
        <v>16</v>
      </c>
      <c r="I344" s="15" t="s">
        <v>104</v>
      </c>
      <c r="J344" s="15" t="s">
        <v>33</v>
      </c>
      <c r="K344" s="15" t="s">
        <v>35</v>
      </c>
      <c r="L344" s="15"/>
      <c r="M344" s="15" t="s">
        <v>38</v>
      </c>
      <c r="N344" s="15"/>
      <c r="O344" s="15"/>
      <c r="P344" s="45">
        <f>H344+SUMIFS(Movimientos!$F$2:$F$5000,Movimientos!$D$2:$D$5000,$A344,Movimientos!$C$2:$C$5000,"Ingreso inventario")+SUMIFS(Movimientos!$F$2:$F$5000,Movimientos!$D$2:$D$5000,$A344,Movimientos!$C$2:$C$5000,"Ajuste")-SUMIFS(Movimientos!$F$2:$F$5000,Movimientos!$D$2:$D$5000,$A344,Movimientos!$C$2:$C$5000,"Consumido en evento")-SUMIFS(Movimientos!$F$2:$F$5000,Movimientos!$D$2:$D$5000,$A344,Movimientos!$C$2:$C$5000,"Consumo interno")-SUMIFS(Movimientos!$F$2:$F$5000,Movimientos!$D$2:$D$5000,$A344,Movimientos!$C$2:$C$5000,"Baja")-SUMIFS(Movimientos!$F$2:$F$5000,Movimientos!$D$2:$D$5000,$A344,Movimientos!$C$2:$C$5000,"Baja desde reparación")</f>
        <v>16</v>
      </c>
      <c r="Q344" s="45">
        <f>SUMIFS(Movimientos!$F$2:$F$5000,Movimientos!$D$2:$D$5000,$A344,Movimientos!$C$2:$C$5000,"Salida alquiler")-SUMIFS(Movimientos!$F$2:$F$5000,Movimientos!$D$2:$D$5000,$A344,Movimientos!$C$2:$C$5000,"Retorno alquiler")-SUMIFS(Movimientos!$F$2:$F$5000,Movimientos!$D$2:$D$5000,$A344,Movimientos!$C$2:$C$5000,"Consumido en evento")-SUMIFS(Movimientos!$F$2:$F$5000,Movimientos!$D$2:$D$5000,$A344,Movimientos!$C$2:$C$5000,"A reparación")</f>
        <v>0</v>
      </c>
      <c r="R344" s="45">
        <f>SUMIFS(Movimientos!$F$2:$F$5000,Movimientos!$D$2:$D$5000,$A344,Movimientos!$C$2:$C$5000,"A reparación")-SUMIFS(Movimientos!$F$2:$F$5000,Movimientos!$D$2:$D$5000,$A344,Movimientos!$C$2:$C$5000,"Retorno reparación")-SUMIFS(Movimientos!$F$2:$F$5000,Movimientos!$D$2:$D$5000,$A344,Movimientos!$C$2:$C$5000,"Baja desde reparación")</f>
        <v>0</v>
      </c>
      <c r="S344" s="45">
        <f>P344-Q344-R344</f>
        <v>16</v>
      </c>
    </row>
    <row r="345" spans="1:19">
      <c r="A345" s="15" t="s">
        <v>1553</v>
      </c>
      <c r="B345" s="15" t="s">
        <v>1554</v>
      </c>
      <c r="C345" s="42"/>
      <c r="D345" s="15" t="s">
        <v>101</v>
      </c>
      <c r="E345" s="42"/>
      <c r="F345" s="43">
        <v>1</v>
      </c>
      <c r="G345" s="15" t="s">
        <v>558</v>
      </c>
      <c r="H345" s="44">
        <v>564</v>
      </c>
      <c r="I345" s="15" t="s">
        <v>559</v>
      </c>
      <c r="J345" s="15" t="s">
        <v>33</v>
      </c>
      <c r="K345" s="15" t="s">
        <v>35</v>
      </c>
      <c r="L345" s="15"/>
      <c r="M345" s="15" t="s">
        <v>38</v>
      </c>
      <c r="N345" s="15"/>
      <c r="O345" s="15"/>
      <c r="P345" s="45">
        <f>H345+SUMIFS(Movimientos!$F$2:$F$5000,Movimientos!$D$2:$D$5000,$A345,Movimientos!$C$2:$C$5000,"Ingreso inventario")+SUMIFS(Movimientos!$F$2:$F$5000,Movimientos!$D$2:$D$5000,$A345,Movimientos!$C$2:$C$5000,"Ajuste")-SUMIFS(Movimientos!$F$2:$F$5000,Movimientos!$D$2:$D$5000,$A345,Movimientos!$C$2:$C$5000,"Consumido en evento")-SUMIFS(Movimientos!$F$2:$F$5000,Movimientos!$D$2:$D$5000,$A345,Movimientos!$C$2:$C$5000,"Consumo interno")-SUMIFS(Movimientos!$F$2:$F$5000,Movimientos!$D$2:$D$5000,$A345,Movimientos!$C$2:$C$5000,"Baja")-SUMIFS(Movimientos!$F$2:$F$5000,Movimientos!$D$2:$D$5000,$A345,Movimientos!$C$2:$C$5000,"Baja desde reparación")</f>
        <v>564</v>
      </c>
      <c r="Q345" s="45">
        <f>SUMIFS(Movimientos!$F$2:$F$5000,Movimientos!$D$2:$D$5000,$A345,Movimientos!$C$2:$C$5000,"Salida alquiler")-SUMIFS(Movimientos!$F$2:$F$5000,Movimientos!$D$2:$D$5000,$A345,Movimientos!$C$2:$C$5000,"Retorno alquiler")-SUMIFS(Movimientos!$F$2:$F$5000,Movimientos!$D$2:$D$5000,$A345,Movimientos!$C$2:$C$5000,"Consumido en evento")-SUMIFS(Movimientos!$F$2:$F$5000,Movimientos!$D$2:$D$5000,$A345,Movimientos!$C$2:$C$5000,"A reparación")</f>
        <v>0</v>
      </c>
      <c r="R345" s="45">
        <f>SUMIFS(Movimientos!$F$2:$F$5000,Movimientos!$D$2:$D$5000,$A345,Movimientos!$C$2:$C$5000,"A reparación")-SUMIFS(Movimientos!$F$2:$F$5000,Movimientos!$D$2:$D$5000,$A345,Movimientos!$C$2:$C$5000,"Retorno reparación")-SUMIFS(Movimientos!$F$2:$F$5000,Movimientos!$D$2:$D$5000,$A345,Movimientos!$C$2:$C$5000,"Baja desde reparación")</f>
        <v>0</v>
      </c>
      <c r="S345" s="45">
        <f>P345-Q345-R345</f>
        <v>564</v>
      </c>
    </row>
    <row r="346" spans="1:19">
      <c r="A346" s="15" t="s">
        <v>1555</v>
      </c>
      <c r="B346" s="15" t="s">
        <v>1554</v>
      </c>
      <c r="C346" s="42"/>
      <c r="D346" s="15" t="s">
        <v>101</v>
      </c>
      <c r="E346" s="42"/>
      <c r="F346" s="43">
        <v>1</v>
      </c>
      <c r="G346" s="15" t="s">
        <v>558</v>
      </c>
      <c r="H346" s="44">
        <v>230</v>
      </c>
      <c r="I346" s="15" t="s">
        <v>559</v>
      </c>
      <c r="J346" s="15" t="s">
        <v>33</v>
      </c>
      <c r="K346" s="15" t="s">
        <v>35</v>
      </c>
      <c r="L346" s="15"/>
      <c r="M346" s="15" t="s">
        <v>38</v>
      </c>
      <c r="N346" s="15"/>
      <c r="O346" s="15"/>
      <c r="P346" s="45">
        <f>H346+SUMIFS(Movimientos!$F$2:$F$5000,Movimientos!$D$2:$D$5000,$A346,Movimientos!$C$2:$C$5000,"Ingreso inventario")+SUMIFS(Movimientos!$F$2:$F$5000,Movimientos!$D$2:$D$5000,$A346,Movimientos!$C$2:$C$5000,"Ajuste")-SUMIFS(Movimientos!$F$2:$F$5000,Movimientos!$D$2:$D$5000,$A346,Movimientos!$C$2:$C$5000,"Consumido en evento")-SUMIFS(Movimientos!$F$2:$F$5000,Movimientos!$D$2:$D$5000,$A346,Movimientos!$C$2:$C$5000,"Consumo interno")-SUMIFS(Movimientos!$F$2:$F$5000,Movimientos!$D$2:$D$5000,$A346,Movimientos!$C$2:$C$5000,"Baja")-SUMIFS(Movimientos!$F$2:$F$5000,Movimientos!$D$2:$D$5000,$A346,Movimientos!$C$2:$C$5000,"Baja desde reparación")</f>
        <v>230</v>
      </c>
      <c r="Q346" s="45">
        <f>SUMIFS(Movimientos!$F$2:$F$5000,Movimientos!$D$2:$D$5000,$A346,Movimientos!$C$2:$C$5000,"Salida alquiler")-SUMIFS(Movimientos!$F$2:$F$5000,Movimientos!$D$2:$D$5000,$A346,Movimientos!$C$2:$C$5000,"Retorno alquiler")-SUMIFS(Movimientos!$F$2:$F$5000,Movimientos!$D$2:$D$5000,$A346,Movimientos!$C$2:$C$5000,"Consumido en evento")-SUMIFS(Movimientos!$F$2:$F$5000,Movimientos!$D$2:$D$5000,$A346,Movimientos!$C$2:$C$5000,"A reparación")</f>
        <v>0</v>
      </c>
      <c r="R346" s="45">
        <f>SUMIFS(Movimientos!$F$2:$F$5000,Movimientos!$D$2:$D$5000,$A346,Movimientos!$C$2:$C$5000,"A reparación")-SUMIFS(Movimientos!$F$2:$F$5000,Movimientos!$D$2:$D$5000,$A346,Movimientos!$C$2:$C$5000,"Retorno reparación")-SUMIFS(Movimientos!$F$2:$F$5000,Movimientos!$D$2:$D$5000,$A346,Movimientos!$C$2:$C$5000,"Baja desde reparación")</f>
        <v>0</v>
      </c>
      <c r="S346" s="45">
        <f>P346-Q346-R346</f>
        <v>230</v>
      </c>
    </row>
    <row r="347" spans="1:19">
      <c r="A347" s="15" t="s">
        <v>1556</v>
      </c>
      <c r="B347" s="15" t="s">
        <v>1557</v>
      </c>
      <c r="C347" s="42"/>
      <c r="D347" s="15" t="s">
        <v>101</v>
      </c>
      <c r="E347" s="42"/>
      <c r="F347" s="43">
        <v>1</v>
      </c>
      <c r="G347" s="15" t="s">
        <v>558</v>
      </c>
      <c r="H347" s="44">
        <v>800</v>
      </c>
      <c r="I347" s="15" t="s">
        <v>559</v>
      </c>
      <c r="J347" s="15" t="s">
        <v>33</v>
      </c>
      <c r="K347" s="15" t="s">
        <v>35</v>
      </c>
      <c r="L347" s="15"/>
      <c r="M347" s="15" t="s">
        <v>38</v>
      </c>
      <c r="N347" s="15"/>
      <c r="O347" s="15"/>
      <c r="P347" s="45">
        <f>H347+SUMIFS(Movimientos!$F$2:$F$5000,Movimientos!$D$2:$D$5000,$A347,Movimientos!$C$2:$C$5000,"Ingreso inventario")+SUMIFS(Movimientos!$F$2:$F$5000,Movimientos!$D$2:$D$5000,$A347,Movimientos!$C$2:$C$5000,"Ajuste")-SUMIFS(Movimientos!$F$2:$F$5000,Movimientos!$D$2:$D$5000,$A347,Movimientos!$C$2:$C$5000,"Consumido en evento")-SUMIFS(Movimientos!$F$2:$F$5000,Movimientos!$D$2:$D$5000,$A347,Movimientos!$C$2:$C$5000,"Consumo interno")-SUMIFS(Movimientos!$F$2:$F$5000,Movimientos!$D$2:$D$5000,$A347,Movimientos!$C$2:$C$5000,"Baja")-SUMIFS(Movimientos!$F$2:$F$5000,Movimientos!$D$2:$D$5000,$A347,Movimientos!$C$2:$C$5000,"Baja desde reparación")</f>
        <v>800</v>
      </c>
      <c r="Q347" s="45">
        <f>SUMIFS(Movimientos!$F$2:$F$5000,Movimientos!$D$2:$D$5000,$A347,Movimientos!$C$2:$C$5000,"Salida alquiler")-SUMIFS(Movimientos!$F$2:$F$5000,Movimientos!$D$2:$D$5000,$A347,Movimientos!$C$2:$C$5000,"Retorno alquiler")-SUMIFS(Movimientos!$F$2:$F$5000,Movimientos!$D$2:$D$5000,$A347,Movimientos!$C$2:$C$5000,"Consumido en evento")-SUMIFS(Movimientos!$F$2:$F$5000,Movimientos!$D$2:$D$5000,$A347,Movimientos!$C$2:$C$5000,"A reparación")</f>
        <v>0</v>
      </c>
      <c r="R347" s="45">
        <f>SUMIFS(Movimientos!$F$2:$F$5000,Movimientos!$D$2:$D$5000,$A347,Movimientos!$C$2:$C$5000,"A reparación")-SUMIFS(Movimientos!$F$2:$F$5000,Movimientos!$D$2:$D$5000,$A347,Movimientos!$C$2:$C$5000,"Retorno reparación")-SUMIFS(Movimientos!$F$2:$F$5000,Movimientos!$D$2:$D$5000,$A347,Movimientos!$C$2:$C$5000,"Baja desde reparación")</f>
        <v>0</v>
      </c>
      <c r="S347" s="45">
        <f>P347-Q347-R347</f>
        <v>800</v>
      </c>
    </row>
    <row r="348" spans="1:19">
      <c r="A348" s="15" t="s">
        <v>1558</v>
      </c>
      <c r="B348" s="15" t="s">
        <v>1559</v>
      </c>
      <c r="C348" s="42" t="s">
        <v>1560</v>
      </c>
      <c r="D348" s="15" t="s">
        <v>101</v>
      </c>
      <c r="E348" s="42" t="s">
        <v>1561</v>
      </c>
      <c r="F348" s="43">
        <v>1</v>
      </c>
      <c r="G348" s="15" t="s">
        <v>241</v>
      </c>
      <c r="H348" s="44">
        <v>1</v>
      </c>
      <c r="I348" s="15" t="s">
        <v>104</v>
      </c>
      <c r="J348" s="15" t="s">
        <v>33</v>
      </c>
      <c r="K348" s="15" t="s">
        <v>35</v>
      </c>
      <c r="L348" s="15"/>
      <c r="M348" s="15" t="s">
        <v>38</v>
      </c>
      <c r="N348" s="15"/>
      <c r="O348" s="15"/>
      <c r="P348" s="45">
        <f>H348+SUMIFS(Movimientos!$F$2:$F$5000,Movimientos!$D$2:$D$5000,$A348,Movimientos!$C$2:$C$5000,"Ingreso inventario")+SUMIFS(Movimientos!$F$2:$F$5000,Movimientos!$D$2:$D$5000,$A348,Movimientos!$C$2:$C$5000,"Ajuste")-SUMIFS(Movimientos!$F$2:$F$5000,Movimientos!$D$2:$D$5000,$A348,Movimientos!$C$2:$C$5000,"Consumido en evento")-SUMIFS(Movimientos!$F$2:$F$5000,Movimientos!$D$2:$D$5000,$A348,Movimientos!$C$2:$C$5000,"Consumo interno")-SUMIFS(Movimientos!$F$2:$F$5000,Movimientos!$D$2:$D$5000,$A348,Movimientos!$C$2:$C$5000,"Baja")-SUMIFS(Movimientos!$F$2:$F$5000,Movimientos!$D$2:$D$5000,$A348,Movimientos!$C$2:$C$5000,"Baja desde reparación")</f>
        <v>1</v>
      </c>
      <c r="Q348" s="45">
        <f>SUMIFS(Movimientos!$F$2:$F$5000,Movimientos!$D$2:$D$5000,$A348,Movimientos!$C$2:$C$5000,"Salida alquiler")-SUMIFS(Movimientos!$F$2:$F$5000,Movimientos!$D$2:$D$5000,$A348,Movimientos!$C$2:$C$5000,"Retorno alquiler")-SUMIFS(Movimientos!$F$2:$F$5000,Movimientos!$D$2:$D$5000,$A348,Movimientos!$C$2:$C$5000,"Consumido en evento")-SUMIFS(Movimientos!$F$2:$F$5000,Movimientos!$D$2:$D$5000,$A348,Movimientos!$C$2:$C$5000,"A reparación")</f>
        <v>0</v>
      </c>
      <c r="R348" s="45">
        <f>SUMIFS(Movimientos!$F$2:$F$5000,Movimientos!$D$2:$D$5000,$A348,Movimientos!$C$2:$C$5000,"A reparación")-SUMIFS(Movimientos!$F$2:$F$5000,Movimientos!$D$2:$D$5000,$A348,Movimientos!$C$2:$C$5000,"Retorno reparación")-SUMIFS(Movimientos!$F$2:$F$5000,Movimientos!$D$2:$D$5000,$A348,Movimientos!$C$2:$C$5000,"Baja desde reparación")</f>
        <v>0</v>
      </c>
      <c r="S348" s="45">
        <f>P348-Q348-R348</f>
        <v>1</v>
      </c>
    </row>
    <row r="349" spans="1:19">
      <c r="A349" s="15" t="s">
        <v>1562</v>
      </c>
      <c r="B349" s="15" t="s">
        <v>1563</v>
      </c>
      <c r="C349" s="42" t="s">
        <v>1564</v>
      </c>
      <c r="D349" s="15" t="s">
        <v>101</v>
      </c>
      <c r="E349" s="42" t="s">
        <v>1565</v>
      </c>
      <c r="F349" s="43">
        <v>1</v>
      </c>
      <c r="G349" s="15" t="s">
        <v>241</v>
      </c>
      <c r="H349" s="44">
        <v>2</v>
      </c>
      <c r="I349" s="15" t="s">
        <v>104</v>
      </c>
      <c r="J349" s="15" t="s">
        <v>33</v>
      </c>
      <c r="K349" s="15" t="s">
        <v>35</v>
      </c>
      <c r="L349" s="15"/>
      <c r="M349" s="15" t="s">
        <v>38</v>
      </c>
      <c r="N349" s="15"/>
      <c r="O349" s="15"/>
      <c r="P349" s="45">
        <f>H349+SUMIFS(Movimientos!$F$2:$F$5000,Movimientos!$D$2:$D$5000,$A349,Movimientos!$C$2:$C$5000,"Ingreso inventario")+SUMIFS(Movimientos!$F$2:$F$5000,Movimientos!$D$2:$D$5000,$A349,Movimientos!$C$2:$C$5000,"Ajuste")-SUMIFS(Movimientos!$F$2:$F$5000,Movimientos!$D$2:$D$5000,$A349,Movimientos!$C$2:$C$5000,"Consumido en evento")-SUMIFS(Movimientos!$F$2:$F$5000,Movimientos!$D$2:$D$5000,$A349,Movimientos!$C$2:$C$5000,"Consumo interno")-SUMIFS(Movimientos!$F$2:$F$5000,Movimientos!$D$2:$D$5000,$A349,Movimientos!$C$2:$C$5000,"Baja")-SUMIFS(Movimientos!$F$2:$F$5000,Movimientos!$D$2:$D$5000,$A349,Movimientos!$C$2:$C$5000,"Baja desde reparación")</f>
        <v>2</v>
      </c>
      <c r="Q349" s="45">
        <f>SUMIFS(Movimientos!$F$2:$F$5000,Movimientos!$D$2:$D$5000,$A349,Movimientos!$C$2:$C$5000,"Salida alquiler")-SUMIFS(Movimientos!$F$2:$F$5000,Movimientos!$D$2:$D$5000,$A349,Movimientos!$C$2:$C$5000,"Retorno alquiler")-SUMIFS(Movimientos!$F$2:$F$5000,Movimientos!$D$2:$D$5000,$A349,Movimientos!$C$2:$C$5000,"Consumido en evento")-SUMIFS(Movimientos!$F$2:$F$5000,Movimientos!$D$2:$D$5000,$A349,Movimientos!$C$2:$C$5000,"A reparación")</f>
        <v>0</v>
      </c>
      <c r="R349" s="45">
        <f>SUMIFS(Movimientos!$F$2:$F$5000,Movimientos!$D$2:$D$5000,$A349,Movimientos!$C$2:$C$5000,"A reparación")-SUMIFS(Movimientos!$F$2:$F$5000,Movimientos!$D$2:$D$5000,$A349,Movimientos!$C$2:$C$5000,"Retorno reparación")-SUMIFS(Movimientos!$F$2:$F$5000,Movimientos!$D$2:$D$5000,$A349,Movimientos!$C$2:$C$5000,"Baja desde reparación")</f>
        <v>0</v>
      </c>
      <c r="S349" s="45">
        <f>P349-Q349-R349</f>
        <v>2</v>
      </c>
    </row>
    <row r="350" spans="1:19">
      <c r="A350" s="15" t="s">
        <v>1566</v>
      </c>
      <c r="B350" s="15" t="s">
        <v>1567</v>
      </c>
      <c r="C350" s="42" t="s">
        <v>1568</v>
      </c>
      <c r="D350" s="15" t="s">
        <v>101</v>
      </c>
      <c r="E350" s="42" t="s">
        <v>1569</v>
      </c>
      <c r="F350" s="43">
        <v>1</v>
      </c>
      <c r="G350" s="15" t="s">
        <v>1501</v>
      </c>
      <c r="H350" s="44">
        <v>1</v>
      </c>
      <c r="I350" s="15" t="s">
        <v>104</v>
      </c>
      <c r="J350" s="15" t="s">
        <v>33</v>
      </c>
      <c r="K350" s="15" t="s">
        <v>35</v>
      </c>
      <c r="L350" s="15"/>
      <c r="M350" s="15" t="s">
        <v>38</v>
      </c>
      <c r="N350" s="15"/>
      <c r="O350" s="15"/>
      <c r="P350" s="45">
        <f>H350+SUMIFS(Movimientos!$F$2:$F$5000,Movimientos!$D$2:$D$5000,$A350,Movimientos!$C$2:$C$5000,"Ingreso inventario")+SUMIFS(Movimientos!$F$2:$F$5000,Movimientos!$D$2:$D$5000,$A350,Movimientos!$C$2:$C$5000,"Ajuste")-SUMIFS(Movimientos!$F$2:$F$5000,Movimientos!$D$2:$D$5000,$A350,Movimientos!$C$2:$C$5000,"Consumido en evento")-SUMIFS(Movimientos!$F$2:$F$5000,Movimientos!$D$2:$D$5000,$A350,Movimientos!$C$2:$C$5000,"Consumo interno")-SUMIFS(Movimientos!$F$2:$F$5000,Movimientos!$D$2:$D$5000,$A350,Movimientos!$C$2:$C$5000,"Baja")-SUMIFS(Movimientos!$F$2:$F$5000,Movimientos!$D$2:$D$5000,$A350,Movimientos!$C$2:$C$5000,"Baja desde reparación")</f>
        <v>1</v>
      </c>
      <c r="Q350" s="45">
        <f>SUMIFS(Movimientos!$F$2:$F$5000,Movimientos!$D$2:$D$5000,$A350,Movimientos!$C$2:$C$5000,"Salida alquiler")-SUMIFS(Movimientos!$F$2:$F$5000,Movimientos!$D$2:$D$5000,$A350,Movimientos!$C$2:$C$5000,"Retorno alquiler")-SUMIFS(Movimientos!$F$2:$F$5000,Movimientos!$D$2:$D$5000,$A350,Movimientos!$C$2:$C$5000,"Consumido en evento")-SUMIFS(Movimientos!$F$2:$F$5000,Movimientos!$D$2:$D$5000,$A350,Movimientos!$C$2:$C$5000,"A reparación")</f>
        <v>0</v>
      </c>
      <c r="R350" s="45">
        <f>SUMIFS(Movimientos!$F$2:$F$5000,Movimientos!$D$2:$D$5000,$A350,Movimientos!$C$2:$C$5000,"A reparación")-SUMIFS(Movimientos!$F$2:$F$5000,Movimientos!$D$2:$D$5000,$A350,Movimientos!$C$2:$C$5000,"Retorno reparación")-SUMIFS(Movimientos!$F$2:$F$5000,Movimientos!$D$2:$D$5000,$A350,Movimientos!$C$2:$C$5000,"Baja desde reparación")</f>
        <v>0</v>
      </c>
      <c r="S350" s="45">
        <f>P350-Q350-R350</f>
        <v>1</v>
      </c>
    </row>
    <row r="351" spans="1:19">
      <c r="A351" s="15" t="s">
        <v>1570</v>
      </c>
      <c r="B351" s="15" t="s">
        <v>1571</v>
      </c>
      <c r="C351" s="42" t="s">
        <v>1572</v>
      </c>
      <c r="D351" s="15" t="s">
        <v>101</v>
      </c>
      <c r="E351" s="42" t="s">
        <v>1573</v>
      </c>
      <c r="F351" s="43">
        <v>1</v>
      </c>
      <c r="G351" s="15" t="s">
        <v>409</v>
      </c>
      <c r="H351" s="44">
        <v>1</v>
      </c>
      <c r="I351" s="15" t="s">
        <v>104</v>
      </c>
      <c r="J351" s="15" t="s">
        <v>33</v>
      </c>
      <c r="K351" s="15" t="s">
        <v>35</v>
      </c>
      <c r="L351" s="15"/>
      <c r="M351" s="15" t="s">
        <v>38</v>
      </c>
      <c r="N351" s="15"/>
      <c r="O351" s="15"/>
      <c r="P351" s="45">
        <f>H351+SUMIFS(Movimientos!$F$2:$F$5000,Movimientos!$D$2:$D$5000,$A351,Movimientos!$C$2:$C$5000,"Ingreso inventario")+SUMIFS(Movimientos!$F$2:$F$5000,Movimientos!$D$2:$D$5000,$A351,Movimientos!$C$2:$C$5000,"Ajuste")-SUMIFS(Movimientos!$F$2:$F$5000,Movimientos!$D$2:$D$5000,$A351,Movimientos!$C$2:$C$5000,"Consumido en evento")-SUMIFS(Movimientos!$F$2:$F$5000,Movimientos!$D$2:$D$5000,$A351,Movimientos!$C$2:$C$5000,"Consumo interno")-SUMIFS(Movimientos!$F$2:$F$5000,Movimientos!$D$2:$D$5000,$A351,Movimientos!$C$2:$C$5000,"Baja")-SUMIFS(Movimientos!$F$2:$F$5000,Movimientos!$D$2:$D$5000,$A351,Movimientos!$C$2:$C$5000,"Baja desde reparación")</f>
        <v>1</v>
      </c>
      <c r="Q351" s="45">
        <f>SUMIFS(Movimientos!$F$2:$F$5000,Movimientos!$D$2:$D$5000,$A351,Movimientos!$C$2:$C$5000,"Salida alquiler")-SUMIFS(Movimientos!$F$2:$F$5000,Movimientos!$D$2:$D$5000,$A351,Movimientos!$C$2:$C$5000,"Retorno alquiler")-SUMIFS(Movimientos!$F$2:$F$5000,Movimientos!$D$2:$D$5000,$A351,Movimientos!$C$2:$C$5000,"Consumido en evento")-SUMIFS(Movimientos!$F$2:$F$5000,Movimientos!$D$2:$D$5000,$A351,Movimientos!$C$2:$C$5000,"A reparación")</f>
        <v>0</v>
      </c>
      <c r="R351" s="45">
        <f>SUMIFS(Movimientos!$F$2:$F$5000,Movimientos!$D$2:$D$5000,$A351,Movimientos!$C$2:$C$5000,"A reparación")-SUMIFS(Movimientos!$F$2:$F$5000,Movimientos!$D$2:$D$5000,$A351,Movimientos!$C$2:$C$5000,"Retorno reparación")-SUMIFS(Movimientos!$F$2:$F$5000,Movimientos!$D$2:$D$5000,$A351,Movimientos!$C$2:$C$5000,"Baja desde reparación")</f>
        <v>0</v>
      </c>
      <c r="S351" s="45">
        <f>P351-Q351-R351</f>
        <v>1</v>
      </c>
    </row>
    <row r="352" spans="1:19">
      <c r="A352" s="15" t="s">
        <v>1574</v>
      </c>
      <c r="B352" s="15" t="s">
        <v>1575</v>
      </c>
      <c r="C352" s="42" t="s">
        <v>1576</v>
      </c>
      <c r="D352" s="15" t="s">
        <v>101</v>
      </c>
      <c r="E352" s="42" t="s">
        <v>1577</v>
      </c>
      <c r="F352" s="43">
        <v>1</v>
      </c>
      <c r="G352" s="15" t="s">
        <v>1578</v>
      </c>
      <c r="H352" s="44">
        <v>3</v>
      </c>
      <c r="I352" s="15" t="s">
        <v>104</v>
      </c>
      <c r="J352" s="15" t="s">
        <v>33</v>
      </c>
      <c r="K352" s="15" t="s">
        <v>35</v>
      </c>
      <c r="L352" s="15"/>
      <c r="M352" s="15" t="s">
        <v>38</v>
      </c>
      <c r="N352" s="15"/>
      <c r="O352" s="15"/>
      <c r="P352" s="45">
        <f>H352+SUMIFS(Movimientos!$F$2:$F$5000,Movimientos!$D$2:$D$5000,$A352,Movimientos!$C$2:$C$5000,"Ingreso inventario")+SUMIFS(Movimientos!$F$2:$F$5000,Movimientos!$D$2:$D$5000,$A352,Movimientos!$C$2:$C$5000,"Ajuste")-SUMIFS(Movimientos!$F$2:$F$5000,Movimientos!$D$2:$D$5000,$A352,Movimientos!$C$2:$C$5000,"Consumido en evento")-SUMIFS(Movimientos!$F$2:$F$5000,Movimientos!$D$2:$D$5000,$A352,Movimientos!$C$2:$C$5000,"Consumo interno")-SUMIFS(Movimientos!$F$2:$F$5000,Movimientos!$D$2:$D$5000,$A352,Movimientos!$C$2:$C$5000,"Baja")-SUMIFS(Movimientos!$F$2:$F$5000,Movimientos!$D$2:$D$5000,$A352,Movimientos!$C$2:$C$5000,"Baja desde reparación")</f>
        <v>3</v>
      </c>
      <c r="Q352" s="45">
        <f>SUMIFS(Movimientos!$F$2:$F$5000,Movimientos!$D$2:$D$5000,$A352,Movimientos!$C$2:$C$5000,"Salida alquiler")-SUMIFS(Movimientos!$F$2:$F$5000,Movimientos!$D$2:$D$5000,$A352,Movimientos!$C$2:$C$5000,"Retorno alquiler")-SUMIFS(Movimientos!$F$2:$F$5000,Movimientos!$D$2:$D$5000,$A352,Movimientos!$C$2:$C$5000,"Consumido en evento")-SUMIFS(Movimientos!$F$2:$F$5000,Movimientos!$D$2:$D$5000,$A352,Movimientos!$C$2:$C$5000,"A reparación")</f>
        <v>0</v>
      </c>
      <c r="R352" s="45">
        <f>SUMIFS(Movimientos!$F$2:$F$5000,Movimientos!$D$2:$D$5000,$A352,Movimientos!$C$2:$C$5000,"A reparación")-SUMIFS(Movimientos!$F$2:$F$5000,Movimientos!$D$2:$D$5000,$A352,Movimientos!$C$2:$C$5000,"Retorno reparación")-SUMIFS(Movimientos!$F$2:$F$5000,Movimientos!$D$2:$D$5000,$A352,Movimientos!$C$2:$C$5000,"Baja desde reparación")</f>
        <v>0</v>
      </c>
      <c r="S352" s="45">
        <f>P352-Q352-R352</f>
        <v>3</v>
      </c>
    </row>
    <row r="353" spans="1:19">
      <c r="A353" s="15" t="s">
        <v>1579</v>
      </c>
      <c r="B353" s="15" t="s">
        <v>1580</v>
      </c>
      <c r="C353" s="42" t="s">
        <v>1581</v>
      </c>
      <c r="D353" s="15" t="s">
        <v>101</v>
      </c>
      <c r="E353" s="42" t="s">
        <v>1582</v>
      </c>
      <c r="F353" s="43">
        <v>1</v>
      </c>
      <c r="G353" s="15" t="s">
        <v>1578</v>
      </c>
      <c r="H353" s="44">
        <v>1</v>
      </c>
      <c r="I353" s="15" t="s">
        <v>104</v>
      </c>
      <c r="J353" s="15" t="s">
        <v>33</v>
      </c>
      <c r="K353" s="15" t="s">
        <v>35</v>
      </c>
      <c r="L353" s="15"/>
      <c r="M353" s="15" t="s">
        <v>38</v>
      </c>
      <c r="N353" s="15"/>
      <c r="O353" s="15"/>
      <c r="P353" s="45">
        <f>H353+SUMIFS(Movimientos!$F$2:$F$5000,Movimientos!$D$2:$D$5000,$A353,Movimientos!$C$2:$C$5000,"Ingreso inventario")+SUMIFS(Movimientos!$F$2:$F$5000,Movimientos!$D$2:$D$5000,$A353,Movimientos!$C$2:$C$5000,"Ajuste")-SUMIFS(Movimientos!$F$2:$F$5000,Movimientos!$D$2:$D$5000,$A353,Movimientos!$C$2:$C$5000,"Consumido en evento")-SUMIFS(Movimientos!$F$2:$F$5000,Movimientos!$D$2:$D$5000,$A353,Movimientos!$C$2:$C$5000,"Consumo interno")-SUMIFS(Movimientos!$F$2:$F$5000,Movimientos!$D$2:$D$5000,$A353,Movimientos!$C$2:$C$5000,"Baja")-SUMIFS(Movimientos!$F$2:$F$5000,Movimientos!$D$2:$D$5000,$A353,Movimientos!$C$2:$C$5000,"Baja desde reparación")</f>
        <v>1</v>
      </c>
      <c r="Q353" s="45">
        <f>SUMIFS(Movimientos!$F$2:$F$5000,Movimientos!$D$2:$D$5000,$A353,Movimientos!$C$2:$C$5000,"Salida alquiler")-SUMIFS(Movimientos!$F$2:$F$5000,Movimientos!$D$2:$D$5000,$A353,Movimientos!$C$2:$C$5000,"Retorno alquiler")-SUMIFS(Movimientos!$F$2:$F$5000,Movimientos!$D$2:$D$5000,$A353,Movimientos!$C$2:$C$5000,"Consumido en evento")-SUMIFS(Movimientos!$F$2:$F$5000,Movimientos!$D$2:$D$5000,$A353,Movimientos!$C$2:$C$5000,"A reparación")</f>
        <v>0</v>
      </c>
      <c r="R353" s="45">
        <f>SUMIFS(Movimientos!$F$2:$F$5000,Movimientos!$D$2:$D$5000,$A353,Movimientos!$C$2:$C$5000,"A reparación")-SUMIFS(Movimientos!$F$2:$F$5000,Movimientos!$D$2:$D$5000,$A353,Movimientos!$C$2:$C$5000,"Retorno reparación")-SUMIFS(Movimientos!$F$2:$F$5000,Movimientos!$D$2:$D$5000,$A353,Movimientos!$C$2:$C$5000,"Baja desde reparación")</f>
        <v>0</v>
      </c>
      <c r="S353" s="45">
        <f>P353-Q353-R353</f>
        <v>1</v>
      </c>
    </row>
    <row r="354" spans="1:19">
      <c r="A354" s="15" t="s">
        <v>1583</v>
      </c>
      <c r="B354" s="15" t="s">
        <v>1584</v>
      </c>
      <c r="C354" s="42" t="s">
        <v>1585</v>
      </c>
      <c r="D354" s="15" t="s">
        <v>101</v>
      </c>
      <c r="E354" s="42" t="s">
        <v>1586</v>
      </c>
      <c r="F354" s="43">
        <v>1</v>
      </c>
      <c r="G354" s="15" t="s">
        <v>1578</v>
      </c>
      <c r="H354" s="44">
        <v>3</v>
      </c>
      <c r="I354" s="15" t="s">
        <v>104</v>
      </c>
      <c r="J354" s="15" t="s">
        <v>33</v>
      </c>
      <c r="K354" s="15" t="s">
        <v>35</v>
      </c>
      <c r="L354" s="15"/>
      <c r="M354" s="15" t="s">
        <v>38</v>
      </c>
      <c r="N354" s="15"/>
      <c r="O354" s="15"/>
      <c r="P354" s="45">
        <f>H354+SUMIFS(Movimientos!$F$2:$F$5000,Movimientos!$D$2:$D$5000,$A354,Movimientos!$C$2:$C$5000,"Ingreso inventario")+SUMIFS(Movimientos!$F$2:$F$5000,Movimientos!$D$2:$D$5000,$A354,Movimientos!$C$2:$C$5000,"Ajuste")-SUMIFS(Movimientos!$F$2:$F$5000,Movimientos!$D$2:$D$5000,$A354,Movimientos!$C$2:$C$5000,"Consumido en evento")-SUMIFS(Movimientos!$F$2:$F$5000,Movimientos!$D$2:$D$5000,$A354,Movimientos!$C$2:$C$5000,"Consumo interno")-SUMIFS(Movimientos!$F$2:$F$5000,Movimientos!$D$2:$D$5000,$A354,Movimientos!$C$2:$C$5000,"Baja")-SUMIFS(Movimientos!$F$2:$F$5000,Movimientos!$D$2:$D$5000,$A354,Movimientos!$C$2:$C$5000,"Baja desde reparación")</f>
        <v>3</v>
      </c>
      <c r="Q354" s="45">
        <f>SUMIFS(Movimientos!$F$2:$F$5000,Movimientos!$D$2:$D$5000,$A354,Movimientos!$C$2:$C$5000,"Salida alquiler")-SUMIFS(Movimientos!$F$2:$F$5000,Movimientos!$D$2:$D$5000,$A354,Movimientos!$C$2:$C$5000,"Retorno alquiler")-SUMIFS(Movimientos!$F$2:$F$5000,Movimientos!$D$2:$D$5000,$A354,Movimientos!$C$2:$C$5000,"Consumido en evento")-SUMIFS(Movimientos!$F$2:$F$5000,Movimientos!$D$2:$D$5000,$A354,Movimientos!$C$2:$C$5000,"A reparación")</f>
        <v>0</v>
      </c>
      <c r="R354" s="45">
        <f>SUMIFS(Movimientos!$F$2:$F$5000,Movimientos!$D$2:$D$5000,$A354,Movimientos!$C$2:$C$5000,"A reparación")-SUMIFS(Movimientos!$F$2:$F$5000,Movimientos!$D$2:$D$5000,$A354,Movimientos!$C$2:$C$5000,"Retorno reparación")-SUMIFS(Movimientos!$F$2:$F$5000,Movimientos!$D$2:$D$5000,$A354,Movimientos!$C$2:$C$5000,"Baja desde reparación")</f>
        <v>0</v>
      </c>
      <c r="S354" s="45">
        <f>P354-Q354-R354</f>
        <v>3</v>
      </c>
    </row>
    <row r="355" spans="1:19">
      <c r="A355" s="15" t="s">
        <v>1587</v>
      </c>
      <c r="B355" s="15" t="s">
        <v>1588</v>
      </c>
      <c r="C355" s="42" t="s">
        <v>1589</v>
      </c>
      <c r="D355" s="15" t="s">
        <v>101</v>
      </c>
      <c r="E355" s="42" t="s">
        <v>1590</v>
      </c>
      <c r="F355" s="43">
        <v>1</v>
      </c>
      <c r="G355" s="15" t="s">
        <v>1578</v>
      </c>
      <c r="H355" s="44">
        <v>1</v>
      </c>
      <c r="I355" s="15" t="s">
        <v>104</v>
      </c>
      <c r="J355" s="15" t="s">
        <v>33</v>
      </c>
      <c r="K355" s="15" t="s">
        <v>35</v>
      </c>
      <c r="L355" s="15"/>
      <c r="M355" s="15" t="s">
        <v>38</v>
      </c>
      <c r="N355" s="15"/>
      <c r="O355" s="15"/>
      <c r="P355" s="45">
        <f>H355+SUMIFS(Movimientos!$F$2:$F$5000,Movimientos!$D$2:$D$5000,$A355,Movimientos!$C$2:$C$5000,"Ingreso inventario")+SUMIFS(Movimientos!$F$2:$F$5000,Movimientos!$D$2:$D$5000,$A355,Movimientos!$C$2:$C$5000,"Ajuste")-SUMIFS(Movimientos!$F$2:$F$5000,Movimientos!$D$2:$D$5000,$A355,Movimientos!$C$2:$C$5000,"Consumido en evento")-SUMIFS(Movimientos!$F$2:$F$5000,Movimientos!$D$2:$D$5000,$A355,Movimientos!$C$2:$C$5000,"Consumo interno")-SUMIFS(Movimientos!$F$2:$F$5000,Movimientos!$D$2:$D$5000,$A355,Movimientos!$C$2:$C$5000,"Baja")-SUMIFS(Movimientos!$F$2:$F$5000,Movimientos!$D$2:$D$5000,$A355,Movimientos!$C$2:$C$5000,"Baja desde reparación")</f>
        <v>1</v>
      </c>
      <c r="Q355" s="45">
        <f>SUMIFS(Movimientos!$F$2:$F$5000,Movimientos!$D$2:$D$5000,$A355,Movimientos!$C$2:$C$5000,"Salida alquiler")-SUMIFS(Movimientos!$F$2:$F$5000,Movimientos!$D$2:$D$5000,$A355,Movimientos!$C$2:$C$5000,"Retorno alquiler")-SUMIFS(Movimientos!$F$2:$F$5000,Movimientos!$D$2:$D$5000,$A355,Movimientos!$C$2:$C$5000,"Consumido en evento")-SUMIFS(Movimientos!$F$2:$F$5000,Movimientos!$D$2:$D$5000,$A355,Movimientos!$C$2:$C$5000,"A reparación")</f>
        <v>0</v>
      </c>
      <c r="R355" s="45">
        <f>SUMIFS(Movimientos!$F$2:$F$5000,Movimientos!$D$2:$D$5000,$A355,Movimientos!$C$2:$C$5000,"A reparación")-SUMIFS(Movimientos!$F$2:$F$5000,Movimientos!$D$2:$D$5000,$A355,Movimientos!$C$2:$C$5000,"Retorno reparación")-SUMIFS(Movimientos!$F$2:$F$5000,Movimientos!$D$2:$D$5000,$A355,Movimientos!$C$2:$C$5000,"Baja desde reparación")</f>
        <v>0</v>
      </c>
      <c r="S355" s="45">
        <f>P355-Q355-R355</f>
        <v>1</v>
      </c>
    </row>
    <row r="356" spans="1:19">
      <c r="A356" s="15" t="s">
        <v>1591</v>
      </c>
      <c r="B356" s="15" t="s">
        <v>1592</v>
      </c>
      <c r="C356" s="42" t="s">
        <v>1593</v>
      </c>
      <c r="D356" s="15" t="s">
        <v>101</v>
      </c>
      <c r="E356" s="42" t="s">
        <v>1594</v>
      </c>
      <c r="F356" s="43">
        <v>1</v>
      </c>
      <c r="G356" s="15" t="s">
        <v>478</v>
      </c>
      <c r="H356" s="44">
        <v>3</v>
      </c>
      <c r="I356" s="15" t="s">
        <v>104</v>
      </c>
      <c r="J356" s="15" t="s">
        <v>33</v>
      </c>
      <c r="K356" s="15" t="s">
        <v>35</v>
      </c>
      <c r="L356" s="15"/>
      <c r="M356" s="15" t="s">
        <v>38</v>
      </c>
      <c r="N356" s="15"/>
      <c r="O356" s="15"/>
      <c r="P356" s="45">
        <f>H356+SUMIFS(Movimientos!$F$2:$F$5000,Movimientos!$D$2:$D$5000,$A356,Movimientos!$C$2:$C$5000,"Ingreso inventario")+SUMIFS(Movimientos!$F$2:$F$5000,Movimientos!$D$2:$D$5000,$A356,Movimientos!$C$2:$C$5000,"Ajuste")-SUMIFS(Movimientos!$F$2:$F$5000,Movimientos!$D$2:$D$5000,$A356,Movimientos!$C$2:$C$5000,"Consumido en evento")-SUMIFS(Movimientos!$F$2:$F$5000,Movimientos!$D$2:$D$5000,$A356,Movimientos!$C$2:$C$5000,"Consumo interno")-SUMIFS(Movimientos!$F$2:$F$5000,Movimientos!$D$2:$D$5000,$A356,Movimientos!$C$2:$C$5000,"Baja")-SUMIFS(Movimientos!$F$2:$F$5000,Movimientos!$D$2:$D$5000,$A356,Movimientos!$C$2:$C$5000,"Baja desde reparación")</f>
        <v>3</v>
      </c>
      <c r="Q356" s="45">
        <f>SUMIFS(Movimientos!$F$2:$F$5000,Movimientos!$D$2:$D$5000,$A356,Movimientos!$C$2:$C$5000,"Salida alquiler")-SUMIFS(Movimientos!$F$2:$F$5000,Movimientos!$D$2:$D$5000,$A356,Movimientos!$C$2:$C$5000,"Retorno alquiler")-SUMIFS(Movimientos!$F$2:$F$5000,Movimientos!$D$2:$D$5000,$A356,Movimientos!$C$2:$C$5000,"Consumido en evento")-SUMIFS(Movimientos!$F$2:$F$5000,Movimientos!$D$2:$D$5000,$A356,Movimientos!$C$2:$C$5000,"A reparación")</f>
        <v>0</v>
      </c>
      <c r="R356" s="45">
        <f>SUMIFS(Movimientos!$F$2:$F$5000,Movimientos!$D$2:$D$5000,$A356,Movimientos!$C$2:$C$5000,"A reparación")-SUMIFS(Movimientos!$F$2:$F$5000,Movimientos!$D$2:$D$5000,$A356,Movimientos!$C$2:$C$5000,"Retorno reparación")-SUMIFS(Movimientos!$F$2:$F$5000,Movimientos!$D$2:$D$5000,$A356,Movimientos!$C$2:$C$5000,"Baja desde reparación")</f>
        <v>0</v>
      </c>
      <c r="S356" s="45">
        <f>P356-Q356-R356</f>
        <v>3</v>
      </c>
    </row>
    <row r="357" spans="1:19">
      <c r="A357" s="15" t="s">
        <v>1595</v>
      </c>
      <c r="B357" s="15" t="s">
        <v>1596</v>
      </c>
      <c r="C357" s="42" t="s">
        <v>1597</v>
      </c>
      <c r="D357" s="15" t="s">
        <v>101</v>
      </c>
      <c r="E357" s="42" t="s">
        <v>1598</v>
      </c>
      <c r="F357" s="43">
        <v>1</v>
      </c>
      <c r="G357" s="15" t="s">
        <v>478</v>
      </c>
      <c r="H357" s="44">
        <v>8</v>
      </c>
      <c r="I357" s="15" t="s">
        <v>104</v>
      </c>
      <c r="J357" s="15" t="s">
        <v>33</v>
      </c>
      <c r="K357" s="15" t="s">
        <v>35</v>
      </c>
      <c r="L357" s="15"/>
      <c r="M357" s="15" t="s">
        <v>38</v>
      </c>
      <c r="N357" s="15"/>
      <c r="O357" s="15"/>
      <c r="P357" s="45">
        <f>H357+SUMIFS(Movimientos!$F$2:$F$5000,Movimientos!$D$2:$D$5000,$A357,Movimientos!$C$2:$C$5000,"Ingreso inventario")+SUMIFS(Movimientos!$F$2:$F$5000,Movimientos!$D$2:$D$5000,$A357,Movimientos!$C$2:$C$5000,"Ajuste")-SUMIFS(Movimientos!$F$2:$F$5000,Movimientos!$D$2:$D$5000,$A357,Movimientos!$C$2:$C$5000,"Consumido en evento")-SUMIFS(Movimientos!$F$2:$F$5000,Movimientos!$D$2:$D$5000,$A357,Movimientos!$C$2:$C$5000,"Consumo interno")-SUMIFS(Movimientos!$F$2:$F$5000,Movimientos!$D$2:$D$5000,$A357,Movimientos!$C$2:$C$5000,"Baja")-SUMIFS(Movimientos!$F$2:$F$5000,Movimientos!$D$2:$D$5000,$A357,Movimientos!$C$2:$C$5000,"Baja desde reparación")</f>
        <v>8</v>
      </c>
      <c r="Q357" s="45">
        <f>SUMIFS(Movimientos!$F$2:$F$5000,Movimientos!$D$2:$D$5000,$A357,Movimientos!$C$2:$C$5000,"Salida alquiler")-SUMIFS(Movimientos!$F$2:$F$5000,Movimientos!$D$2:$D$5000,$A357,Movimientos!$C$2:$C$5000,"Retorno alquiler")-SUMIFS(Movimientos!$F$2:$F$5000,Movimientos!$D$2:$D$5000,$A357,Movimientos!$C$2:$C$5000,"Consumido en evento")-SUMIFS(Movimientos!$F$2:$F$5000,Movimientos!$D$2:$D$5000,$A357,Movimientos!$C$2:$C$5000,"A reparación")</f>
        <v>0</v>
      </c>
      <c r="R357" s="45">
        <f>SUMIFS(Movimientos!$F$2:$F$5000,Movimientos!$D$2:$D$5000,$A357,Movimientos!$C$2:$C$5000,"A reparación")-SUMIFS(Movimientos!$F$2:$F$5000,Movimientos!$D$2:$D$5000,$A357,Movimientos!$C$2:$C$5000,"Retorno reparación")-SUMIFS(Movimientos!$F$2:$F$5000,Movimientos!$D$2:$D$5000,$A357,Movimientos!$C$2:$C$5000,"Baja desde reparación")</f>
        <v>0</v>
      </c>
      <c r="S357" s="45">
        <f>P357-Q357-R357</f>
        <v>8</v>
      </c>
    </row>
    <row r="358" spans="1:19">
      <c r="A358" s="15" t="s">
        <v>1599</v>
      </c>
      <c r="B358" s="15" t="s">
        <v>1600</v>
      </c>
      <c r="C358" s="42" t="s">
        <v>1601</v>
      </c>
      <c r="D358" s="15" t="s">
        <v>101</v>
      </c>
      <c r="E358" s="42" t="s">
        <v>1602</v>
      </c>
      <c r="F358" s="43">
        <v>1</v>
      </c>
      <c r="G358" s="15" t="s">
        <v>478</v>
      </c>
      <c r="H358" s="44">
        <v>4</v>
      </c>
      <c r="I358" s="15" t="s">
        <v>104</v>
      </c>
      <c r="J358" s="15" t="s">
        <v>33</v>
      </c>
      <c r="K358" s="15" t="s">
        <v>35</v>
      </c>
      <c r="L358" s="15"/>
      <c r="M358" s="15" t="s">
        <v>38</v>
      </c>
      <c r="N358" s="15"/>
      <c r="O358" s="15"/>
      <c r="P358" s="45">
        <f>H358+SUMIFS(Movimientos!$F$2:$F$5000,Movimientos!$D$2:$D$5000,$A358,Movimientos!$C$2:$C$5000,"Ingreso inventario")+SUMIFS(Movimientos!$F$2:$F$5000,Movimientos!$D$2:$D$5000,$A358,Movimientos!$C$2:$C$5000,"Ajuste")-SUMIFS(Movimientos!$F$2:$F$5000,Movimientos!$D$2:$D$5000,$A358,Movimientos!$C$2:$C$5000,"Consumido en evento")-SUMIFS(Movimientos!$F$2:$F$5000,Movimientos!$D$2:$D$5000,$A358,Movimientos!$C$2:$C$5000,"Consumo interno")-SUMIFS(Movimientos!$F$2:$F$5000,Movimientos!$D$2:$D$5000,$A358,Movimientos!$C$2:$C$5000,"Baja")-SUMIFS(Movimientos!$F$2:$F$5000,Movimientos!$D$2:$D$5000,$A358,Movimientos!$C$2:$C$5000,"Baja desde reparación")</f>
        <v>4</v>
      </c>
      <c r="Q358" s="45">
        <f>SUMIFS(Movimientos!$F$2:$F$5000,Movimientos!$D$2:$D$5000,$A358,Movimientos!$C$2:$C$5000,"Salida alquiler")-SUMIFS(Movimientos!$F$2:$F$5000,Movimientos!$D$2:$D$5000,$A358,Movimientos!$C$2:$C$5000,"Retorno alquiler")-SUMIFS(Movimientos!$F$2:$F$5000,Movimientos!$D$2:$D$5000,$A358,Movimientos!$C$2:$C$5000,"Consumido en evento")-SUMIFS(Movimientos!$F$2:$F$5000,Movimientos!$D$2:$D$5000,$A358,Movimientos!$C$2:$C$5000,"A reparación")</f>
        <v>0</v>
      </c>
      <c r="R358" s="45">
        <f>SUMIFS(Movimientos!$F$2:$F$5000,Movimientos!$D$2:$D$5000,$A358,Movimientos!$C$2:$C$5000,"A reparación")-SUMIFS(Movimientos!$F$2:$F$5000,Movimientos!$D$2:$D$5000,$A358,Movimientos!$C$2:$C$5000,"Retorno reparación")-SUMIFS(Movimientos!$F$2:$F$5000,Movimientos!$D$2:$D$5000,$A358,Movimientos!$C$2:$C$5000,"Baja desde reparación")</f>
        <v>0</v>
      </c>
      <c r="S358" s="45">
        <f>P358-Q358-R358</f>
        <v>4</v>
      </c>
    </row>
    <row r="359" spans="1:19">
      <c r="A359" s="15" t="s">
        <v>1603</v>
      </c>
      <c r="B359" s="15" t="s">
        <v>1604</v>
      </c>
      <c r="C359" s="42" t="s">
        <v>1605</v>
      </c>
      <c r="D359" s="15" t="s">
        <v>101</v>
      </c>
      <c r="E359" s="42" t="s">
        <v>1606</v>
      </c>
      <c r="F359" s="43">
        <v>1</v>
      </c>
      <c r="G359" s="15" t="s">
        <v>478</v>
      </c>
      <c r="H359" s="44">
        <v>53</v>
      </c>
      <c r="I359" s="15" t="s">
        <v>104</v>
      </c>
      <c r="J359" s="15" t="s">
        <v>33</v>
      </c>
      <c r="K359" s="15" t="s">
        <v>35</v>
      </c>
      <c r="L359" s="15" t="s">
        <v>1607</v>
      </c>
      <c r="M359" s="15" t="s">
        <v>38</v>
      </c>
      <c r="N359" s="15"/>
      <c r="O359" s="15"/>
      <c r="P359" s="45">
        <f>H359+SUMIFS(Movimientos!$F$2:$F$5000,Movimientos!$D$2:$D$5000,$A359,Movimientos!$C$2:$C$5000,"Ingreso inventario")+SUMIFS(Movimientos!$F$2:$F$5000,Movimientos!$D$2:$D$5000,$A359,Movimientos!$C$2:$C$5000,"Ajuste")-SUMIFS(Movimientos!$F$2:$F$5000,Movimientos!$D$2:$D$5000,$A359,Movimientos!$C$2:$C$5000,"Consumido en evento")-SUMIFS(Movimientos!$F$2:$F$5000,Movimientos!$D$2:$D$5000,$A359,Movimientos!$C$2:$C$5000,"Consumo interno")-SUMIFS(Movimientos!$F$2:$F$5000,Movimientos!$D$2:$D$5000,$A359,Movimientos!$C$2:$C$5000,"Baja")-SUMIFS(Movimientos!$F$2:$F$5000,Movimientos!$D$2:$D$5000,$A359,Movimientos!$C$2:$C$5000,"Baja desde reparación")</f>
        <v>53</v>
      </c>
      <c r="Q359" s="45">
        <f>SUMIFS(Movimientos!$F$2:$F$5000,Movimientos!$D$2:$D$5000,$A359,Movimientos!$C$2:$C$5000,"Salida alquiler")-SUMIFS(Movimientos!$F$2:$F$5000,Movimientos!$D$2:$D$5000,$A359,Movimientos!$C$2:$C$5000,"Retorno alquiler")-SUMIFS(Movimientos!$F$2:$F$5000,Movimientos!$D$2:$D$5000,$A359,Movimientos!$C$2:$C$5000,"Consumido en evento")-SUMIFS(Movimientos!$F$2:$F$5000,Movimientos!$D$2:$D$5000,$A359,Movimientos!$C$2:$C$5000,"A reparación")</f>
        <v>0</v>
      </c>
      <c r="R359" s="45">
        <f>SUMIFS(Movimientos!$F$2:$F$5000,Movimientos!$D$2:$D$5000,$A359,Movimientos!$C$2:$C$5000,"A reparación")-SUMIFS(Movimientos!$F$2:$F$5000,Movimientos!$D$2:$D$5000,$A359,Movimientos!$C$2:$C$5000,"Retorno reparación")-SUMIFS(Movimientos!$F$2:$F$5000,Movimientos!$D$2:$D$5000,$A359,Movimientos!$C$2:$C$5000,"Baja desde reparación")</f>
        <v>0</v>
      </c>
      <c r="S359" s="45">
        <f>P359-Q359-R359</f>
        <v>53</v>
      </c>
    </row>
    <row r="360" spans="1:19">
      <c r="A360" s="15" t="s">
        <v>1608</v>
      </c>
      <c r="B360" s="15" t="s">
        <v>1609</v>
      </c>
      <c r="C360" s="42" t="s">
        <v>1610</v>
      </c>
      <c r="D360" s="15" t="s">
        <v>101</v>
      </c>
      <c r="E360" s="42" t="s">
        <v>1611</v>
      </c>
      <c r="F360" s="43">
        <v>1</v>
      </c>
      <c r="G360" s="15" t="s">
        <v>478</v>
      </c>
      <c r="H360" s="44">
        <v>4</v>
      </c>
      <c r="I360" s="15" t="s">
        <v>104</v>
      </c>
      <c r="J360" s="15" t="s">
        <v>33</v>
      </c>
      <c r="K360" s="15" t="s">
        <v>35</v>
      </c>
      <c r="L360" s="15"/>
      <c r="M360" s="15" t="s">
        <v>38</v>
      </c>
      <c r="N360" s="15"/>
      <c r="O360" s="15"/>
      <c r="P360" s="45">
        <f>H360+SUMIFS(Movimientos!$F$2:$F$5000,Movimientos!$D$2:$D$5000,$A360,Movimientos!$C$2:$C$5000,"Ingreso inventario")+SUMIFS(Movimientos!$F$2:$F$5000,Movimientos!$D$2:$D$5000,$A360,Movimientos!$C$2:$C$5000,"Ajuste")-SUMIFS(Movimientos!$F$2:$F$5000,Movimientos!$D$2:$D$5000,$A360,Movimientos!$C$2:$C$5000,"Consumido en evento")-SUMIFS(Movimientos!$F$2:$F$5000,Movimientos!$D$2:$D$5000,$A360,Movimientos!$C$2:$C$5000,"Consumo interno")-SUMIFS(Movimientos!$F$2:$F$5000,Movimientos!$D$2:$D$5000,$A360,Movimientos!$C$2:$C$5000,"Baja")-SUMIFS(Movimientos!$F$2:$F$5000,Movimientos!$D$2:$D$5000,$A360,Movimientos!$C$2:$C$5000,"Baja desde reparación")</f>
        <v>4</v>
      </c>
      <c r="Q360" s="45">
        <f>SUMIFS(Movimientos!$F$2:$F$5000,Movimientos!$D$2:$D$5000,$A360,Movimientos!$C$2:$C$5000,"Salida alquiler")-SUMIFS(Movimientos!$F$2:$F$5000,Movimientos!$D$2:$D$5000,$A360,Movimientos!$C$2:$C$5000,"Retorno alquiler")-SUMIFS(Movimientos!$F$2:$F$5000,Movimientos!$D$2:$D$5000,$A360,Movimientos!$C$2:$C$5000,"Consumido en evento")-SUMIFS(Movimientos!$F$2:$F$5000,Movimientos!$D$2:$D$5000,$A360,Movimientos!$C$2:$C$5000,"A reparación")</f>
        <v>0</v>
      </c>
      <c r="R360" s="45">
        <f>SUMIFS(Movimientos!$F$2:$F$5000,Movimientos!$D$2:$D$5000,$A360,Movimientos!$C$2:$C$5000,"A reparación")-SUMIFS(Movimientos!$F$2:$F$5000,Movimientos!$D$2:$D$5000,$A360,Movimientos!$C$2:$C$5000,"Retorno reparación")-SUMIFS(Movimientos!$F$2:$F$5000,Movimientos!$D$2:$D$5000,$A360,Movimientos!$C$2:$C$5000,"Baja desde reparación")</f>
        <v>0</v>
      </c>
      <c r="S360" s="45">
        <f>P360-Q360-R360</f>
        <v>4</v>
      </c>
    </row>
    <row r="361" spans="1:19">
      <c r="A361" s="15" t="s">
        <v>1612</v>
      </c>
      <c r="B361" s="15" t="s">
        <v>1613</v>
      </c>
      <c r="C361" s="42" t="s">
        <v>1614</v>
      </c>
      <c r="D361" s="15" t="s">
        <v>101</v>
      </c>
      <c r="E361" s="42" t="s">
        <v>1615</v>
      </c>
      <c r="F361" s="43">
        <v>1</v>
      </c>
      <c r="G361" s="15" t="s">
        <v>478</v>
      </c>
      <c r="H361" s="44">
        <v>4</v>
      </c>
      <c r="I361" s="15" t="s">
        <v>104</v>
      </c>
      <c r="J361" s="15" t="s">
        <v>33</v>
      </c>
      <c r="K361" s="15" t="s">
        <v>35</v>
      </c>
      <c r="L361" s="15"/>
      <c r="M361" s="15" t="s">
        <v>38</v>
      </c>
      <c r="N361" s="15"/>
      <c r="O361" s="15"/>
      <c r="P361" s="45">
        <f>H361+SUMIFS(Movimientos!$F$2:$F$5000,Movimientos!$D$2:$D$5000,$A361,Movimientos!$C$2:$C$5000,"Ingreso inventario")+SUMIFS(Movimientos!$F$2:$F$5000,Movimientos!$D$2:$D$5000,$A361,Movimientos!$C$2:$C$5000,"Ajuste")-SUMIFS(Movimientos!$F$2:$F$5000,Movimientos!$D$2:$D$5000,$A361,Movimientos!$C$2:$C$5000,"Consumido en evento")-SUMIFS(Movimientos!$F$2:$F$5000,Movimientos!$D$2:$D$5000,$A361,Movimientos!$C$2:$C$5000,"Consumo interno")-SUMIFS(Movimientos!$F$2:$F$5000,Movimientos!$D$2:$D$5000,$A361,Movimientos!$C$2:$C$5000,"Baja")-SUMIFS(Movimientos!$F$2:$F$5000,Movimientos!$D$2:$D$5000,$A361,Movimientos!$C$2:$C$5000,"Baja desde reparación")</f>
        <v>4</v>
      </c>
      <c r="Q361" s="45">
        <f>SUMIFS(Movimientos!$F$2:$F$5000,Movimientos!$D$2:$D$5000,$A361,Movimientos!$C$2:$C$5000,"Salida alquiler")-SUMIFS(Movimientos!$F$2:$F$5000,Movimientos!$D$2:$D$5000,$A361,Movimientos!$C$2:$C$5000,"Retorno alquiler")-SUMIFS(Movimientos!$F$2:$F$5000,Movimientos!$D$2:$D$5000,$A361,Movimientos!$C$2:$C$5000,"Consumido en evento")-SUMIFS(Movimientos!$F$2:$F$5000,Movimientos!$D$2:$D$5000,$A361,Movimientos!$C$2:$C$5000,"A reparación")</f>
        <v>0</v>
      </c>
      <c r="R361" s="45">
        <f>SUMIFS(Movimientos!$F$2:$F$5000,Movimientos!$D$2:$D$5000,$A361,Movimientos!$C$2:$C$5000,"A reparación")-SUMIFS(Movimientos!$F$2:$F$5000,Movimientos!$D$2:$D$5000,$A361,Movimientos!$C$2:$C$5000,"Retorno reparación")-SUMIFS(Movimientos!$F$2:$F$5000,Movimientos!$D$2:$D$5000,$A361,Movimientos!$C$2:$C$5000,"Baja desde reparación")</f>
        <v>0</v>
      </c>
      <c r="S361" s="45">
        <f>P361-Q361-R361</f>
        <v>4</v>
      </c>
    </row>
    <row r="362" spans="1:19">
      <c r="A362" s="15" t="s">
        <v>1616</v>
      </c>
      <c r="B362" s="15" t="s">
        <v>1617</v>
      </c>
      <c r="C362" s="42" t="s">
        <v>1618</v>
      </c>
      <c r="D362" s="15" t="s">
        <v>101</v>
      </c>
      <c r="E362" s="42" t="s">
        <v>1619</v>
      </c>
      <c r="F362" s="43">
        <v>1</v>
      </c>
      <c r="G362" s="15" t="s">
        <v>478</v>
      </c>
      <c r="H362" s="44">
        <v>6</v>
      </c>
      <c r="I362" s="15" t="s">
        <v>104</v>
      </c>
      <c r="J362" s="15" t="s">
        <v>33</v>
      </c>
      <c r="K362" s="15" t="s">
        <v>35</v>
      </c>
      <c r="L362" s="15"/>
      <c r="M362" s="15" t="s">
        <v>38</v>
      </c>
      <c r="N362" s="15"/>
      <c r="O362" s="15"/>
      <c r="P362" s="45">
        <f>H362+SUMIFS(Movimientos!$F$2:$F$5000,Movimientos!$D$2:$D$5000,$A362,Movimientos!$C$2:$C$5000,"Ingreso inventario")+SUMIFS(Movimientos!$F$2:$F$5000,Movimientos!$D$2:$D$5000,$A362,Movimientos!$C$2:$C$5000,"Ajuste")-SUMIFS(Movimientos!$F$2:$F$5000,Movimientos!$D$2:$D$5000,$A362,Movimientos!$C$2:$C$5000,"Consumido en evento")-SUMIFS(Movimientos!$F$2:$F$5000,Movimientos!$D$2:$D$5000,$A362,Movimientos!$C$2:$C$5000,"Consumo interno")-SUMIFS(Movimientos!$F$2:$F$5000,Movimientos!$D$2:$D$5000,$A362,Movimientos!$C$2:$C$5000,"Baja")-SUMIFS(Movimientos!$F$2:$F$5000,Movimientos!$D$2:$D$5000,$A362,Movimientos!$C$2:$C$5000,"Baja desde reparación")</f>
        <v>6</v>
      </c>
      <c r="Q362" s="45">
        <f>SUMIFS(Movimientos!$F$2:$F$5000,Movimientos!$D$2:$D$5000,$A362,Movimientos!$C$2:$C$5000,"Salida alquiler")-SUMIFS(Movimientos!$F$2:$F$5000,Movimientos!$D$2:$D$5000,$A362,Movimientos!$C$2:$C$5000,"Retorno alquiler")-SUMIFS(Movimientos!$F$2:$F$5000,Movimientos!$D$2:$D$5000,$A362,Movimientos!$C$2:$C$5000,"Consumido en evento")-SUMIFS(Movimientos!$F$2:$F$5000,Movimientos!$D$2:$D$5000,$A362,Movimientos!$C$2:$C$5000,"A reparación")</f>
        <v>0</v>
      </c>
      <c r="R362" s="45">
        <f>SUMIFS(Movimientos!$F$2:$F$5000,Movimientos!$D$2:$D$5000,$A362,Movimientos!$C$2:$C$5000,"A reparación")-SUMIFS(Movimientos!$F$2:$F$5000,Movimientos!$D$2:$D$5000,$A362,Movimientos!$C$2:$C$5000,"Retorno reparación")-SUMIFS(Movimientos!$F$2:$F$5000,Movimientos!$D$2:$D$5000,$A362,Movimientos!$C$2:$C$5000,"Baja desde reparación")</f>
        <v>0</v>
      </c>
      <c r="S362" s="45">
        <f>P362-Q362-R362</f>
        <v>6</v>
      </c>
    </row>
    <row r="363" spans="1:19">
      <c r="A363" s="15" t="s">
        <v>1620</v>
      </c>
      <c r="B363" s="15" t="s">
        <v>1621</v>
      </c>
      <c r="C363" s="42" t="s">
        <v>1622</v>
      </c>
      <c r="D363" s="15" t="s">
        <v>101</v>
      </c>
      <c r="E363" s="42" t="s">
        <v>1623</v>
      </c>
      <c r="F363" s="43">
        <v>1</v>
      </c>
      <c r="G363" s="15" t="s">
        <v>478</v>
      </c>
      <c r="H363" s="44">
        <v>6</v>
      </c>
      <c r="I363" s="15" t="s">
        <v>104</v>
      </c>
      <c r="J363" s="15" t="s">
        <v>33</v>
      </c>
      <c r="K363" s="15" t="s">
        <v>35</v>
      </c>
      <c r="L363" s="15"/>
      <c r="M363" s="15" t="s">
        <v>38</v>
      </c>
      <c r="N363" s="15"/>
      <c r="O363" s="15"/>
      <c r="P363" s="45">
        <f>H363+SUMIFS(Movimientos!$F$2:$F$5000,Movimientos!$D$2:$D$5000,$A363,Movimientos!$C$2:$C$5000,"Ingreso inventario")+SUMIFS(Movimientos!$F$2:$F$5000,Movimientos!$D$2:$D$5000,$A363,Movimientos!$C$2:$C$5000,"Ajuste")-SUMIFS(Movimientos!$F$2:$F$5000,Movimientos!$D$2:$D$5000,$A363,Movimientos!$C$2:$C$5000,"Consumido en evento")-SUMIFS(Movimientos!$F$2:$F$5000,Movimientos!$D$2:$D$5000,$A363,Movimientos!$C$2:$C$5000,"Consumo interno")-SUMIFS(Movimientos!$F$2:$F$5000,Movimientos!$D$2:$D$5000,$A363,Movimientos!$C$2:$C$5000,"Baja")-SUMIFS(Movimientos!$F$2:$F$5000,Movimientos!$D$2:$D$5000,$A363,Movimientos!$C$2:$C$5000,"Baja desde reparación")</f>
        <v>6</v>
      </c>
      <c r="Q363" s="45">
        <f>SUMIFS(Movimientos!$F$2:$F$5000,Movimientos!$D$2:$D$5000,$A363,Movimientos!$C$2:$C$5000,"Salida alquiler")-SUMIFS(Movimientos!$F$2:$F$5000,Movimientos!$D$2:$D$5000,$A363,Movimientos!$C$2:$C$5000,"Retorno alquiler")-SUMIFS(Movimientos!$F$2:$F$5000,Movimientos!$D$2:$D$5000,$A363,Movimientos!$C$2:$C$5000,"Consumido en evento")-SUMIFS(Movimientos!$F$2:$F$5000,Movimientos!$D$2:$D$5000,$A363,Movimientos!$C$2:$C$5000,"A reparación")</f>
        <v>0</v>
      </c>
      <c r="R363" s="45">
        <f>SUMIFS(Movimientos!$F$2:$F$5000,Movimientos!$D$2:$D$5000,$A363,Movimientos!$C$2:$C$5000,"A reparación")-SUMIFS(Movimientos!$F$2:$F$5000,Movimientos!$D$2:$D$5000,$A363,Movimientos!$C$2:$C$5000,"Retorno reparación")-SUMIFS(Movimientos!$F$2:$F$5000,Movimientos!$D$2:$D$5000,$A363,Movimientos!$C$2:$C$5000,"Baja desde reparación")</f>
        <v>0</v>
      </c>
      <c r="S363" s="45">
        <f>P363-Q363-R363</f>
        <v>6</v>
      </c>
    </row>
    <row r="364" spans="1:19">
      <c r="A364" s="15" t="s">
        <v>1624</v>
      </c>
      <c r="B364" s="15" t="s">
        <v>1625</v>
      </c>
      <c r="C364" s="42" t="s">
        <v>1626</v>
      </c>
      <c r="D364" s="15" t="s">
        <v>101</v>
      </c>
      <c r="E364" s="42" t="s">
        <v>1627</v>
      </c>
      <c r="F364" s="43">
        <v>1</v>
      </c>
      <c r="G364" s="15" t="s">
        <v>478</v>
      </c>
      <c r="H364" s="44">
        <v>3</v>
      </c>
      <c r="I364" s="15" t="s">
        <v>104</v>
      </c>
      <c r="J364" s="15" t="s">
        <v>33</v>
      </c>
      <c r="K364" s="15" t="s">
        <v>35</v>
      </c>
      <c r="L364" s="15"/>
      <c r="M364" s="15" t="s">
        <v>38</v>
      </c>
      <c r="N364" s="15"/>
      <c r="O364" s="15"/>
      <c r="P364" s="45">
        <f>H364+SUMIFS(Movimientos!$F$2:$F$5000,Movimientos!$D$2:$D$5000,$A364,Movimientos!$C$2:$C$5000,"Ingreso inventario")+SUMIFS(Movimientos!$F$2:$F$5000,Movimientos!$D$2:$D$5000,$A364,Movimientos!$C$2:$C$5000,"Ajuste")-SUMIFS(Movimientos!$F$2:$F$5000,Movimientos!$D$2:$D$5000,$A364,Movimientos!$C$2:$C$5000,"Consumido en evento")-SUMIFS(Movimientos!$F$2:$F$5000,Movimientos!$D$2:$D$5000,$A364,Movimientos!$C$2:$C$5000,"Consumo interno")-SUMIFS(Movimientos!$F$2:$F$5000,Movimientos!$D$2:$D$5000,$A364,Movimientos!$C$2:$C$5000,"Baja")-SUMIFS(Movimientos!$F$2:$F$5000,Movimientos!$D$2:$D$5000,$A364,Movimientos!$C$2:$C$5000,"Baja desde reparación")</f>
        <v>3</v>
      </c>
      <c r="Q364" s="45">
        <f>SUMIFS(Movimientos!$F$2:$F$5000,Movimientos!$D$2:$D$5000,$A364,Movimientos!$C$2:$C$5000,"Salida alquiler")-SUMIFS(Movimientos!$F$2:$F$5000,Movimientos!$D$2:$D$5000,$A364,Movimientos!$C$2:$C$5000,"Retorno alquiler")-SUMIFS(Movimientos!$F$2:$F$5000,Movimientos!$D$2:$D$5000,$A364,Movimientos!$C$2:$C$5000,"Consumido en evento")-SUMIFS(Movimientos!$F$2:$F$5000,Movimientos!$D$2:$D$5000,$A364,Movimientos!$C$2:$C$5000,"A reparación")</f>
        <v>0</v>
      </c>
      <c r="R364" s="45">
        <f>SUMIFS(Movimientos!$F$2:$F$5000,Movimientos!$D$2:$D$5000,$A364,Movimientos!$C$2:$C$5000,"A reparación")-SUMIFS(Movimientos!$F$2:$F$5000,Movimientos!$D$2:$D$5000,$A364,Movimientos!$C$2:$C$5000,"Retorno reparación")-SUMIFS(Movimientos!$F$2:$F$5000,Movimientos!$D$2:$D$5000,$A364,Movimientos!$C$2:$C$5000,"Baja desde reparación")</f>
        <v>0</v>
      </c>
      <c r="S364" s="45">
        <f>P364-Q364-R364</f>
        <v>3</v>
      </c>
    </row>
    <row r="365" spans="1:19">
      <c r="A365" s="15" t="s">
        <v>1628</v>
      </c>
      <c r="B365" s="15" t="s">
        <v>1629</v>
      </c>
      <c r="C365" s="42" t="s">
        <v>1630</v>
      </c>
      <c r="D365" s="15" t="s">
        <v>101</v>
      </c>
      <c r="E365" s="42" t="s">
        <v>1631</v>
      </c>
      <c r="F365" s="43">
        <v>1</v>
      </c>
      <c r="G365" s="15" t="s">
        <v>478</v>
      </c>
      <c r="H365" s="44">
        <v>4</v>
      </c>
      <c r="I365" s="15" t="s">
        <v>104</v>
      </c>
      <c r="J365" s="15" t="s">
        <v>33</v>
      </c>
      <c r="K365" s="15" t="s">
        <v>35</v>
      </c>
      <c r="L365" s="15"/>
      <c r="M365" s="15" t="s">
        <v>38</v>
      </c>
      <c r="N365" s="15"/>
      <c r="O365" s="15"/>
      <c r="P365" s="45">
        <f>H365+SUMIFS(Movimientos!$F$2:$F$5000,Movimientos!$D$2:$D$5000,$A365,Movimientos!$C$2:$C$5000,"Ingreso inventario")+SUMIFS(Movimientos!$F$2:$F$5000,Movimientos!$D$2:$D$5000,$A365,Movimientos!$C$2:$C$5000,"Ajuste")-SUMIFS(Movimientos!$F$2:$F$5000,Movimientos!$D$2:$D$5000,$A365,Movimientos!$C$2:$C$5000,"Consumido en evento")-SUMIFS(Movimientos!$F$2:$F$5000,Movimientos!$D$2:$D$5000,$A365,Movimientos!$C$2:$C$5000,"Consumo interno")-SUMIFS(Movimientos!$F$2:$F$5000,Movimientos!$D$2:$D$5000,$A365,Movimientos!$C$2:$C$5000,"Baja")-SUMIFS(Movimientos!$F$2:$F$5000,Movimientos!$D$2:$D$5000,$A365,Movimientos!$C$2:$C$5000,"Baja desde reparación")</f>
        <v>4</v>
      </c>
      <c r="Q365" s="45">
        <f>SUMIFS(Movimientos!$F$2:$F$5000,Movimientos!$D$2:$D$5000,$A365,Movimientos!$C$2:$C$5000,"Salida alquiler")-SUMIFS(Movimientos!$F$2:$F$5000,Movimientos!$D$2:$D$5000,$A365,Movimientos!$C$2:$C$5000,"Retorno alquiler")-SUMIFS(Movimientos!$F$2:$F$5000,Movimientos!$D$2:$D$5000,$A365,Movimientos!$C$2:$C$5000,"Consumido en evento")-SUMIFS(Movimientos!$F$2:$F$5000,Movimientos!$D$2:$D$5000,$A365,Movimientos!$C$2:$C$5000,"A reparación")</f>
        <v>0</v>
      </c>
      <c r="R365" s="45">
        <f>SUMIFS(Movimientos!$F$2:$F$5000,Movimientos!$D$2:$D$5000,$A365,Movimientos!$C$2:$C$5000,"A reparación")-SUMIFS(Movimientos!$F$2:$F$5000,Movimientos!$D$2:$D$5000,$A365,Movimientos!$C$2:$C$5000,"Retorno reparación")-SUMIFS(Movimientos!$F$2:$F$5000,Movimientos!$D$2:$D$5000,$A365,Movimientos!$C$2:$C$5000,"Baja desde reparación")</f>
        <v>0</v>
      </c>
      <c r="S365" s="45">
        <f>P365-Q365-R365</f>
        <v>4</v>
      </c>
    </row>
    <row r="366" spans="1:19">
      <c r="A366" s="15" t="s">
        <v>1632</v>
      </c>
      <c r="B366" s="15" t="s">
        <v>1633</v>
      </c>
      <c r="C366" s="42" t="s">
        <v>1634</v>
      </c>
      <c r="D366" s="15" t="s">
        <v>101</v>
      </c>
      <c r="E366" s="42" t="s">
        <v>1635</v>
      </c>
      <c r="F366" s="43">
        <v>1</v>
      </c>
      <c r="G366" s="15" t="s">
        <v>478</v>
      </c>
      <c r="H366" s="44">
        <v>9</v>
      </c>
      <c r="I366" s="15" t="s">
        <v>104</v>
      </c>
      <c r="J366" s="15" t="s">
        <v>33</v>
      </c>
      <c r="K366" s="15" t="s">
        <v>35</v>
      </c>
      <c r="L366" s="15"/>
      <c r="M366" s="15" t="s">
        <v>38</v>
      </c>
      <c r="N366" s="15"/>
      <c r="O366" s="15"/>
      <c r="P366" s="45">
        <f>H366+SUMIFS(Movimientos!$F$2:$F$5000,Movimientos!$D$2:$D$5000,$A366,Movimientos!$C$2:$C$5000,"Ingreso inventario")+SUMIFS(Movimientos!$F$2:$F$5000,Movimientos!$D$2:$D$5000,$A366,Movimientos!$C$2:$C$5000,"Ajuste")-SUMIFS(Movimientos!$F$2:$F$5000,Movimientos!$D$2:$D$5000,$A366,Movimientos!$C$2:$C$5000,"Consumido en evento")-SUMIFS(Movimientos!$F$2:$F$5000,Movimientos!$D$2:$D$5000,$A366,Movimientos!$C$2:$C$5000,"Consumo interno")-SUMIFS(Movimientos!$F$2:$F$5000,Movimientos!$D$2:$D$5000,$A366,Movimientos!$C$2:$C$5000,"Baja")-SUMIFS(Movimientos!$F$2:$F$5000,Movimientos!$D$2:$D$5000,$A366,Movimientos!$C$2:$C$5000,"Baja desde reparación")</f>
        <v>9</v>
      </c>
      <c r="Q366" s="45">
        <f>SUMIFS(Movimientos!$F$2:$F$5000,Movimientos!$D$2:$D$5000,$A366,Movimientos!$C$2:$C$5000,"Salida alquiler")-SUMIFS(Movimientos!$F$2:$F$5000,Movimientos!$D$2:$D$5000,$A366,Movimientos!$C$2:$C$5000,"Retorno alquiler")-SUMIFS(Movimientos!$F$2:$F$5000,Movimientos!$D$2:$D$5000,$A366,Movimientos!$C$2:$C$5000,"Consumido en evento")-SUMIFS(Movimientos!$F$2:$F$5000,Movimientos!$D$2:$D$5000,$A366,Movimientos!$C$2:$C$5000,"A reparación")</f>
        <v>0</v>
      </c>
      <c r="R366" s="45">
        <f>SUMIFS(Movimientos!$F$2:$F$5000,Movimientos!$D$2:$D$5000,$A366,Movimientos!$C$2:$C$5000,"A reparación")-SUMIFS(Movimientos!$F$2:$F$5000,Movimientos!$D$2:$D$5000,$A366,Movimientos!$C$2:$C$5000,"Retorno reparación")-SUMIFS(Movimientos!$F$2:$F$5000,Movimientos!$D$2:$D$5000,$A366,Movimientos!$C$2:$C$5000,"Baja desde reparación")</f>
        <v>0</v>
      </c>
      <c r="S366" s="45">
        <f>P366-Q366-R366</f>
        <v>9</v>
      </c>
    </row>
    <row r="367" spans="1:19">
      <c r="A367" s="15" t="s">
        <v>1636</v>
      </c>
      <c r="B367" s="15" t="s">
        <v>1637</v>
      </c>
      <c r="C367" s="42" t="s">
        <v>1638</v>
      </c>
      <c r="D367" s="15" t="s">
        <v>101</v>
      </c>
      <c r="E367" s="42" t="s">
        <v>1639</v>
      </c>
      <c r="F367" s="43">
        <v>1</v>
      </c>
      <c r="G367" s="15" t="s">
        <v>478</v>
      </c>
      <c r="H367" s="44">
        <v>3</v>
      </c>
      <c r="I367" s="15" t="s">
        <v>104</v>
      </c>
      <c r="J367" s="15" t="s">
        <v>33</v>
      </c>
      <c r="K367" s="15" t="s">
        <v>35</v>
      </c>
      <c r="L367" s="15"/>
      <c r="M367" s="15" t="s">
        <v>38</v>
      </c>
      <c r="N367" s="15"/>
      <c r="O367" s="15"/>
      <c r="P367" s="45">
        <f>H367+SUMIFS(Movimientos!$F$2:$F$5000,Movimientos!$D$2:$D$5000,$A367,Movimientos!$C$2:$C$5000,"Ingreso inventario")+SUMIFS(Movimientos!$F$2:$F$5000,Movimientos!$D$2:$D$5000,$A367,Movimientos!$C$2:$C$5000,"Ajuste")-SUMIFS(Movimientos!$F$2:$F$5000,Movimientos!$D$2:$D$5000,$A367,Movimientos!$C$2:$C$5000,"Consumido en evento")-SUMIFS(Movimientos!$F$2:$F$5000,Movimientos!$D$2:$D$5000,$A367,Movimientos!$C$2:$C$5000,"Consumo interno")-SUMIFS(Movimientos!$F$2:$F$5000,Movimientos!$D$2:$D$5000,$A367,Movimientos!$C$2:$C$5000,"Baja")-SUMIFS(Movimientos!$F$2:$F$5000,Movimientos!$D$2:$D$5000,$A367,Movimientos!$C$2:$C$5000,"Baja desde reparación")</f>
        <v>3</v>
      </c>
      <c r="Q367" s="45">
        <f>SUMIFS(Movimientos!$F$2:$F$5000,Movimientos!$D$2:$D$5000,$A367,Movimientos!$C$2:$C$5000,"Salida alquiler")-SUMIFS(Movimientos!$F$2:$F$5000,Movimientos!$D$2:$D$5000,$A367,Movimientos!$C$2:$C$5000,"Retorno alquiler")-SUMIFS(Movimientos!$F$2:$F$5000,Movimientos!$D$2:$D$5000,$A367,Movimientos!$C$2:$C$5000,"Consumido en evento")-SUMIFS(Movimientos!$F$2:$F$5000,Movimientos!$D$2:$D$5000,$A367,Movimientos!$C$2:$C$5000,"A reparación")</f>
        <v>0</v>
      </c>
      <c r="R367" s="45">
        <f>SUMIFS(Movimientos!$F$2:$F$5000,Movimientos!$D$2:$D$5000,$A367,Movimientos!$C$2:$C$5000,"A reparación")-SUMIFS(Movimientos!$F$2:$F$5000,Movimientos!$D$2:$D$5000,$A367,Movimientos!$C$2:$C$5000,"Retorno reparación")-SUMIFS(Movimientos!$F$2:$F$5000,Movimientos!$D$2:$D$5000,$A367,Movimientos!$C$2:$C$5000,"Baja desde reparación")</f>
        <v>0</v>
      </c>
      <c r="S367" s="45">
        <f>P367-Q367-R367</f>
        <v>3</v>
      </c>
    </row>
    <row r="368" spans="1:19">
      <c r="A368" s="15" t="s">
        <v>1640</v>
      </c>
      <c r="B368" s="15" t="s">
        <v>1641</v>
      </c>
      <c r="C368" s="42" t="s">
        <v>1642</v>
      </c>
      <c r="D368" s="15" t="s">
        <v>101</v>
      </c>
      <c r="E368" s="42" t="s">
        <v>1643</v>
      </c>
      <c r="F368" s="43">
        <v>1</v>
      </c>
      <c r="G368" s="15" t="s">
        <v>478</v>
      </c>
      <c r="H368" s="44">
        <v>1</v>
      </c>
      <c r="I368" s="15" t="s">
        <v>104</v>
      </c>
      <c r="J368" s="15" t="s">
        <v>33</v>
      </c>
      <c r="K368" s="15" t="s">
        <v>35</v>
      </c>
      <c r="L368" s="15"/>
      <c r="M368" s="15" t="s">
        <v>38</v>
      </c>
      <c r="N368" s="15"/>
      <c r="O368" s="15"/>
      <c r="P368" s="45">
        <f>H368+SUMIFS(Movimientos!$F$2:$F$5000,Movimientos!$D$2:$D$5000,$A368,Movimientos!$C$2:$C$5000,"Ingreso inventario")+SUMIFS(Movimientos!$F$2:$F$5000,Movimientos!$D$2:$D$5000,$A368,Movimientos!$C$2:$C$5000,"Ajuste")-SUMIFS(Movimientos!$F$2:$F$5000,Movimientos!$D$2:$D$5000,$A368,Movimientos!$C$2:$C$5000,"Consumido en evento")-SUMIFS(Movimientos!$F$2:$F$5000,Movimientos!$D$2:$D$5000,$A368,Movimientos!$C$2:$C$5000,"Consumo interno")-SUMIFS(Movimientos!$F$2:$F$5000,Movimientos!$D$2:$D$5000,$A368,Movimientos!$C$2:$C$5000,"Baja")-SUMIFS(Movimientos!$F$2:$F$5000,Movimientos!$D$2:$D$5000,$A368,Movimientos!$C$2:$C$5000,"Baja desde reparación")</f>
        <v>1</v>
      </c>
      <c r="Q368" s="45">
        <f>SUMIFS(Movimientos!$F$2:$F$5000,Movimientos!$D$2:$D$5000,$A368,Movimientos!$C$2:$C$5000,"Salida alquiler")-SUMIFS(Movimientos!$F$2:$F$5000,Movimientos!$D$2:$D$5000,$A368,Movimientos!$C$2:$C$5000,"Retorno alquiler")-SUMIFS(Movimientos!$F$2:$F$5000,Movimientos!$D$2:$D$5000,$A368,Movimientos!$C$2:$C$5000,"Consumido en evento")-SUMIFS(Movimientos!$F$2:$F$5000,Movimientos!$D$2:$D$5000,$A368,Movimientos!$C$2:$C$5000,"A reparación")</f>
        <v>0</v>
      </c>
      <c r="R368" s="45">
        <f>SUMIFS(Movimientos!$F$2:$F$5000,Movimientos!$D$2:$D$5000,$A368,Movimientos!$C$2:$C$5000,"A reparación")-SUMIFS(Movimientos!$F$2:$F$5000,Movimientos!$D$2:$D$5000,$A368,Movimientos!$C$2:$C$5000,"Retorno reparación")-SUMIFS(Movimientos!$F$2:$F$5000,Movimientos!$D$2:$D$5000,$A368,Movimientos!$C$2:$C$5000,"Baja desde reparación")</f>
        <v>0</v>
      </c>
      <c r="S368" s="45">
        <f>P368-Q368-R368</f>
        <v>1</v>
      </c>
    </row>
    <row r="369" spans="1:19">
      <c r="A369" s="15" t="s">
        <v>1644</v>
      </c>
      <c r="B369" s="15" t="s">
        <v>1645</v>
      </c>
      <c r="C369" s="42" t="s">
        <v>1646</v>
      </c>
      <c r="D369" s="15" t="s">
        <v>101</v>
      </c>
      <c r="E369" s="42" t="s">
        <v>1647</v>
      </c>
      <c r="F369" s="43">
        <v>1</v>
      </c>
      <c r="G369" s="15" t="s">
        <v>478</v>
      </c>
      <c r="H369" s="44">
        <v>6</v>
      </c>
      <c r="I369" s="15" t="s">
        <v>104</v>
      </c>
      <c r="J369" s="15" t="s">
        <v>33</v>
      </c>
      <c r="K369" s="15" t="s">
        <v>35</v>
      </c>
      <c r="L369" s="15" t="s">
        <v>1648</v>
      </c>
      <c r="M369" s="15" t="s">
        <v>38</v>
      </c>
      <c r="N369" s="15"/>
      <c r="O369" s="15"/>
      <c r="P369" s="45">
        <f>H369+SUMIFS(Movimientos!$F$2:$F$5000,Movimientos!$D$2:$D$5000,$A369,Movimientos!$C$2:$C$5000,"Ingreso inventario")+SUMIFS(Movimientos!$F$2:$F$5000,Movimientos!$D$2:$D$5000,$A369,Movimientos!$C$2:$C$5000,"Ajuste")-SUMIFS(Movimientos!$F$2:$F$5000,Movimientos!$D$2:$D$5000,$A369,Movimientos!$C$2:$C$5000,"Consumido en evento")-SUMIFS(Movimientos!$F$2:$F$5000,Movimientos!$D$2:$D$5000,$A369,Movimientos!$C$2:$C$5000,"Consumo interno")-SUMIFS(Movimientos!$F$2:$F$5000,Movimientos!$D$2:$D$5000,$A369,Movimientos!$C$2:$C$5000,"Baja")-SUMIFS(Movimientos!$F$2:$F$5000,Movimientos!$D$2:$D$5000,$A369,Movimientos!$C$2:$C$5000,"Baja desde reparación")</f>
        <v>6</v>
      </c>
      <c r="Q369" s="45">
        <f>SUMIFS(Movimientos!$F$2:$F$5000,Movimientos!$D$2:$D$5000,$A369,Movimientos!$C$2:$C$5000,"Salida alquiler")-SUMIFS(Movimientos!$F$2:$F$5000,Movimientos!$D$2:$D$5000,$A369,Movimientos!$C$2:$C$5000,"Retorno alquiler")-SUMIFS(Movimientos!$F$2:$F$5000,Movimientos!$D$2:$D$5000,$A369,Movimientos!$C$2:$C$5000,"Consumido en evento")-SUMIFS(Movimientos!$F$2:$F$5000,Movimientos!$D$2:$D$5000,$A369,Movimientos!$C$2:$C$5000,"A reparación")</f>
        <v>0</v>
      </c>
      <c r="R369" s="45">
        <f>SUMIFS(Movimientos!$F$2:$F$5000,Movimientos!$D$2:$D$5000,$A369,Movimientos!$C$2:$C$5000,"A reparación")-SUMIFS(Movimientos!$F$2:$F$5000,Movimientos!$D$2:$D$5000,$A369,Movimientos!$C$2:$C$5000,"Retorno reparación")-SUMIFS(Movimientos!$F$2:$F$5000,Movimientos!$D$2:$D$5000,$A369,Movimientos!$C$2:$C$5000,"Baja desde reparación")</f>
        <v>0</v>
      </c>
      <c r="S369" s="45">
        <f>P369-Q369-R369</f>
        <v>6</v>
      </c>
    </row>
    <row r="370" spans="1:19">
      <c r="A370" s="15" t="s">
        <v>1649</v>
      </c>
      <c r="B370" s="15" t="s">
        <v>1650</v>
      </c>
      <c r="C370" s="42" t="s">
        <v>1651</v>
      </c>
      <c r="D370" s="15" t="s">
        <v>101</v>
      </c>
      <c r="E370" s="42" t="s">
        <v>1652</v>
      </c>
      <c r="F370" s="43">
        <v>1</v>
      </c>
      <c r="G370" s="15" t="s">
        <v>478</v>
      </c>
      <c r="H370" s="44">
        <v>15</v>
      </c>
      <c r="I370" s="15" t="s">
        <v>104</v>
      </c>
      <c r="J370" s="15" t="s">
        <v>33</v>
      </c>
      <c r="K370" s="15" t="s">
        <v>35</v>
      </c>
      <c r="L370" s="15"/>
      <c r="M370" s="15" t="s">
        <v>38</v>
      </c>
      <c r="N370" s="15"/>
      <c r="O370" s="15"/>
      <c r="P370" s="45">
        <f>H370+SUMIFS(Movimientos!$F$2:$F$5000,Movimientos!$D$2:$D$5000,$A370,Movimientos!$C$2:$C$5000,"Ingreso inventario")+SUMIFS(Movimientos!$F$2:$F$5000,Movimientos!$D$2:$D$5000,$A370,Movimientos!$C$2:$C$5000,"Ajuste")-SUMIFS(Movimientos!$F$2:$F$5000,Movimientos!$D$2:$D$5000,$A370,Movimientos!$C$2:$C$5000,"Consumido en evento")-SUMIFS(Movimientos!$F$2:$F$5000,Movimientos!$D$2:$D$5000,$A370,Movimientos!$C$2:$C$5000,"Consumo interno")-SUMIFS(Movimientos!$F$2:$F$5000,Movimientos!$D$2:$D$5000,$A370,Movimientos!$C$2:$C$5000,"Baja")-SUMIFS(Movimientos!$F$2:$F$5000,Movimientos!$D$2:$D$5000,$A370,Movimientos!$C$2:$C$5000,"Baja desde reparación")</f>
        <v>15</v>
      </c>
      <c r="Q370" s="45">
        <f>SUMIFS(Movimientos!$F$2:$F$5000,Movimientos!$D$2:$D$5000,$A370,Movimientos!$C$2:$C$5000,"Salida alquiler")-SUMIFS(Movimientos!$F$2:$F$5000,Movimientos!$D$2:$D$5000,$A370,Movimientos!$C$2:$C$5000,"Retorno alquiler")-SUMIFS(Movimientos!$F$2:$F$5000,Movimientos!$D$2:$D$5000,$A370,Movimientos!$C$2:$C$5000,"Consumido en evento")-SUMIFS(Movimientos!$F$2:$F$5000,Movimientos!$D$2:$D$5000,$A370,Movimientos!$C$2:$C$5000,"A reparación")</f>
        <v>0</v>
      </c>
      <c r="R370" s="45">
        <f>SUMIFS(Movimientos!$F$2:$F$5000,Movimientos!$D$2:$D$5000,$A370,Movimientos!$C$2:$C$5000,"A reparación")-SUMIFS(Movimientos!$F$2:$F$5000,Movimientos!$D$2:$D$5000,$A370,Movimientos!$C$2:$C$5000,"Retorno reparación")-SUMIFS(Movimientos!$F$2:$F$5000,Movimientos!$D$2:$D$5000,$A370,Movimientos!$C$2:$C$5000,"Baja desde reparación")</f>
        <v>0</v>
      </c>
      <c r="S370" s="45">
        <f>P370-Q370-R370</f>
        <v>15</v>
      </c>
    </row>
    <row r="371" spans="1:19">
      <c r="A371" s="15" t="s">
        <v>1653</v>
      </c>
      <c r="B371" s="15" t="s">
        <v>1654</v>
      </c>
      <c r="C371" s="42" t="s">
        <v>1655</v>
      </c>
      <c r="D371" s="15" t="s">
        <v>101</v>
      </c>
      <c r="E371" s="42" t="s">
        <v>1656</v>
      </c>
      <c r="F371" s="43">
        <v>1</v>
      </c>
      <c r="G371" s="15" t="s">
        <v>478</v>
      </c>
      <c r="H371" s="44">
        <v>14</v>
      </c>
      <c r="I371" s="15" t="s">
        <v>104</v>
      </c>
      <c r="J371" s="15" t="s">
        <v>33</v>
      </c>
      <c r="K371" s="15" t="s">
        <v>35</v>
      </c>
      <c r="L371" s="15"/>
      <c r="M371" s="15" t="s">
        <v>38</v>
      </c>
      <c r="N371" s="15"/>
      <c r="O371" s="15"/>
      <c r="P371" s="45">
        <f>H371+SUMIFS(Movimientos!$F$2:$F$5000,Movimientos!$D$2:$D$5000,$A371,Movimientos!$C$2:$C$5000,"Ingreso inventario")+SUMIFS(Movimientos!$F$2:$F$5000,Movimientos!$D$2:$D$5000,$A371,Movimientos!$C$2:$C$5000,"Ajuste")-SUMIFS(Movimientos!$F$2:$F$5000,Movimientos!$D$2:$D$5000,$A371,Movimientos!$C$2:$C$5000,"Consumido en evento")-SUMIFS(Movimientos!$F$2:$F$5000,Movimientos!$D$2:$D$5000,$A371,Movimientos!$C$2:$C$5000,"Consumo interno")-SUMIFS(Movimientos!$F$2:$F$5000,Movimientos!$D$2:$D$5000,$A371,Movimientos!$C$2:$C$5000,"Baja")-SUMIFS(Movimientos!$F$2:$F$5000,Movimientos!$D$2:$D$5000,$A371,Movimientos!$C$2:$C$5000,"Baja desde reparación")</f>
        <v>14</v>
      </c>
      <c r="Q371" s="45">
        <f>SUMIFS(Movimientos!$F$2:$F$5000,Movimientos!$D$2:$D$5000,$A371,Movimientos!$C$2:$C$5000,"Salida alquiler")-SUMIFS(Movimientos!$F$2:$F$5000,Movimientos!$D$2:$D$5000,$A371,Movimientos!$C$2:$C$5000,"Retorno alquiler")-SUMIFS(Movimientos!$F$2:$F$5000,Movimientos!$D$2:$D$5000,$A371,Movimientos!$C$2:$C$5000,"Consumido en evento")-SUMIFS(Movimientos!$F$2:$F$5000,Movimientos!$D$2:$D$5000,$A371,Movimientos!$C$2:$C$5000,"A reparación")</f>
        <v>0</v>
      </c>
      <c r="R371" s="45">
        <f>SUMIFS(Movimientos!$F$2:$F$5000,Movimientos!$D$2:$D$5000,$A371,Movimientos!$C$2:$C$5000,"A reparación")-SUMIFS(Movimientos!$F$2:$F$5000,Movimientos!$D$2:$D$5000,$A371,Movimientos!$C$2:$C$5000,"Retorno reparación")-SUMIFS(Movimientos!$F$2:$F$5000,Movimientos!$D$2:$D$5000,$A371,Movimientos!$C$2:$C$5000,"Baja desde reparación")</f>
        <v>0</v>
      </c>
      <c r="S371" s="45">
        <f>P371-Q371-R371</f>
        <v>14</v>
      </c>
    </row>
    <row r="372" spans="1:19">
      <c r="A372" s="15" t="s">
        <v>1657</v>
      </c>
      <c r="B372" s="15" t="s">
        <v>1658</v>
      </c>
      <c r="C372" s="42" t="s">
        <v>1659</v>
      </c>
      <c r="D372" s="15" t="s">
        <v>101</v>
      </c>
      <c r="E372" s="42" t="s">
        <v>1660</v>
      </c>
      <c r="F372" s="43">
        <v>1</v>
      </c>
      <c r="G372" s="15" t="s">
        <v>478</v>
      </c>
      <c r="H372" s="44">
        <v>23</v>
      </c>
      <c r="I372" s="15" t="s">
        <v>104</v>
      </c>
      <c r="J372" s="15" t="s">
        <v>33</v>
      </c>
      <c r="K372" s="15" t="s">
        <v>35</v>
      </c>
      <c r="L372" s="15"/>
      <c r="M372" s="15" t="s">
        <v>38</v>
      </c>
      <c r="N372" s="15"/>
      <c r="O372" s="15"/>
      <c r="P372" s="45">
        <f>H372+SUMIFS(Movimientos!$F$2:$F$5000,Movimientos!$D$2:$D$5000,$A372,Movimientos!$C$2:$C$5000,"Ingreso inventario")+SUMIFS(Movimientos!$F$2:$F$5000,Movimientos!$D$2:$D$5000,$A372,Movimientos!$C$2:$C$5000,"Ajuste")-SUMIFS(Movimientos!$F$2:$F$5000,Movimientos!$D$2:$D$5000,$A372,Movimientos!$C$2:$C$5000,"Consumido en evento")-SUMIFS(Movimientos!$F$2:$F$5000,Movimientos!$D$2:$D$5000,$A372,Movimientos!$C$2:$C$5000,"Consumo interno")-SUMIFS(Movimientos!$F$2:$F$5000,Movimientos!$D$2:$D$5000,$A372,Movimientos!$C$2:$C$5000,"Baja")-SUMIFS(Movimientos!$F$2:$F$5000,Movimientos!$D$2:$D$5000,$A372,Movimientos!$C$2:$C$5000,"Baja desde reparación")</f>
        <v>23</v>
      </c>
      <c r="Q372" s="45">
        <f>SUMIFS(Movimientos!$F$2:$F$5000,Movimientos!$D$2:$D$5000,$A372,Movimientos!$C$2:$C$5000,"Salida alquiler")-SUMIFS(Movimientos!$F$2:$F$5000,Movimientos!$D$2:$D$5000,$A372,Movimientos!$C$2:$C$5000,"Retorno alquiler")-SUMIFS(Movimientos!$F$2:$F$5000,Movimientos!$D$2:$D$5000,$A372,Movimientos!$C$2:$C$5000,"Consumido en evento")-SUMIFS(Movimientos!$F$2:$F$5000,Movimientos!$D$2:$D$5000,$A372,Movimientos!$C$2:$C$5000,"A reparación")</f>
        <v>0</v>
      </c>
      <c r="R372" s="45">
        <f>SUMIFS(Movimientos!$F$2:$F$5000,Movimientos!$D$2:$D$5000,$A372,Movimientos!$C$2:$C$5000,"A reparación")-SUMIFS(Movimientos!$F$2:$F$5000,Movimientos!$D$2:$D$5000,$A372,Movimientos!$C$2:$C$5000,"Retorno reparación")-SUMIFS(Movimientos!$F$2:$F$5000,Movimientos!$D$2:$D$5000,$A372,Movimientos!$C$2:$C$5000,"Baja desde reparación")</f>
        <v>0</v>
      </c>
      <c r="S372" s="45">
        <f>P372-Q372-R372</f>
        <v>23</v>
      </c>
    </row>
    <row r="373" spans="1:19">
      <c r="A373" s="15" t="s">
        <v>1661</v>
      </c>
      <c r="B373" s="15" t="s">
        <v>1662</v>
      </c>
      <c r="C373" s="42" t="s">
        <v>1663</v>
      </c>
      <c r="D373" s="15" t="s">
        <v>101</v>
      </c>
      <c r="E373" s="42" t="s">
        <v>1664</v>
      </c>
      <c r="F373" s="43">
        <v>1</v>
      </c>
      <c r="G373" s="15" t="s">
        <v>478</v>
      </c>
      <c r="H373" s="44">
        <v>17</v>
      </c>
      <c r="I373" s="15" t="s">
        <v>104</v>
      </c>
      <c r="J373" s="15" t="s">
        <v>33</v>
      </c>
      <c r="K373" s="15" t="s">
        <v>35</v>
      </c>
      <c r="L373" s="15"/>
      <c r="M373" s="15" t="s">
        <v>38</v>
      </c>
      <c r="N373" s="15"/>
      <c r="O373" s="15"/>
      <c r="P373" s="45">
        <f>H373+SUMIFS(Movimientos!$F$2:$F$5000,Movimientos!$D$2:$D$5000,$A373,Movimientos!$C$2:$C$5000,"Ingreso inventario")+SUMIFS(Movimientos!$F$2:$F$5000,Movimientos!$D$2:$D$5000,$A373,Movimientos!$C$2:$C$5000,"Ajuste")-SUMIFS(Movimientos!$F$2:$F$5000,Movimientos!$D$2:$D$5000,$A373,Movimientos!$C$2:$C$5000,"Consumido en evento")-SUMIFS(Movimientos!$F$2:$F$5000,Movimientos!$D$2:$D$5000,$A373,Movimientos!$C$2:$C$5000,"Consumo interno")-SUMIFS(Movimientos!$F$2:$F$5000,Movimientos!$D$2:$D$5000,$A373,Movimientos!$C$2:$C$5000,"Baja")-SUMIFS(Movimientos!$F$2:$F$5000,Movimientos!$D$2:$D$5000,$A373,Movimientos!$C$2:$C$5000,"Baja desde reparación")</f>
        <v>17</v>
      </c>
      <c r="Q373" s="45">
        <f>SUMIFS(Movimientos!$F$2:$F$5000,Movimientos!$D$2:$D$5000,$A373,Movimientos!$C$2:$C$5000,"Salida alquiler")-SUMIFS(Movimientos!$F$2:$F$5000,Movimientos!$D$2:$D$5000,$A373,Movimientos!$C$2:$C$5000,"Retorno alquiler")-SUMIFS(Movimientos!$F$2:$F$5000,Movimientos!$D$2:$D$5000,$A373,Movimientos!$C$2:$C$5000,"Consumido en evento")-SUMIFS(Movimientos!$F$2:$F$5000,Movimientos!$D$2:$D$5000,$A373,Movimientos!$C$2:$C$5000,"A reparación")</f>
        <v>0</v>
      </c>
      <c r="R373" s="45">
        <f>SUMIFS(Movimientos!$F$2:$F$5000,Movimientos!$D$2:$D$5000,$A373,Movimientos!$C$2:$C$5000,"A reparación")-SUMIFS(Movimientos!$F$2:$F$5000,Movimientos!$D$2:$D$5000,$A373,Movimientos!$C$2:$C$5000,"Retorno reparación")-SUMIFS(Movimientos!$F$2:$F$5000,Movimientos!$D$2:$D$5000,$A373,Movimientos!$C$2:$C$5000,"Baja desde reparación")</f>
        <v>0</v>
      </c>
      <c r="S373" s="45">
        <f>P373-Q373-R373</f>
        <v>17</v>
      </c>
    </row>
    <row r="374" spans="1:19">
      <c r="A374" s="15" t="s">
        <v>1665</v>
      </c>
      <c r="B374" s="15" t="s">
        <v>1666</v>
      </c>
      <c r="C374" s="42" t="s">
        <v>1667</v>
      </c>
      <c r="D374" s="15" t="s">
        <v>101</v>
      </c>
      <c r="E374" s="42" t="s">
        <v>1668</v>
      </c>
      <c r="F374" s="43">
        <v>1</v>
      </c>
      <c r="G374" s="15" t="s">
        <v>478</v>
      </c>
      <c r="H374" s="44">
        <v>15</v>
      </c>
      <c r="I374" s="15" t="s">
        <v>104</v>
      </c>
      <c r="J374" s="15" t="s">
        <v>33</v>
      </c>
      <c r="K374" s="15" t="s">
        <v>35</v>
      </c>
      <c r="L374" s="15"/>
      <c r="M374" s="15" t="s">
        <v>38</v>
      </c>
      <c r="N374" s="15"/>
      <c r="O374" s="15"/>
      <c r="P374" s="45">
        <f>H374+SUMIFS(Movimientos!$F$2:$F$5000,Movimientos!$D$2:$D$5000,$A374,Movimientos!$C$2:$C$5000,"Ingreso inventario")+SUMIFS(Movimientos!$F$2:$F$5000,Movimientos!$D$2:$D$5000,$A374,Movimientos!$C$2:$C$5000,"Ajuste")-SUMIFS(Movimientos!$F$2:$F$5000,Movimientos!$D$2:$D$5000,$A374,Movimientos!$C$2:$C$5000,"Consumido en evento")-SUMIFS(Movimientos!$F$2:$F$5000,Movimientos!$D$2:$D$5000,$A374,Movimientos!$C$2:$C$5000,"Consumo interno")-SUMIFS(Movimientos!$F$2:$F$5000,Movimientos!$D$2:$D$5000,$A374,Movimientos!$C$2:$C$5000,"Baja")-SUMIFS(Movimientos!$F$2:$F$5000,Movimientos!$D$2:$D$5000,$A374,Movimientos!$C$2:$C$5000,"Baja desde reparación")</f>
        <v>15</v>
      </c>
      <c r="Q374" s="45">
        <f>SUMIFS(Movimientos!$F$2:$F$5000,Movimientos!$D$2:$D$5000,$A374,Movimientos!$C$2:$C$5000,"Salida alquiler")-SUMIFS(Movimientos!$F$2:$F$5000,Movimientos!$D$2:$D$5000,$A374,Movimientos!$C$2:$C$5000,"Retorno alquiler")-SUMIFS(Movimientos!$F$2:$F$5000,Movimientos!$D$2:$D$5000,$A374,Movimientos!$C$2:$C$5000,"Consumido en evento")-SUMIFS(Movimientos!$F$2:$F$5000,Movimientos!$D$2:$D$5000,$A374,Movimientos!$C$2:$C$5000,"A reparación")</f>
        <v>0</v>
      </c>
      <c r="R374" s="45">
        <f>SUMIFS(Movimientos!$F$2:$F$5000,Movimientos!$D$2:$D$5000,$A374,Movimientos!$C$2:$C$5000,"A reparación")-SUMIFS(Movimientos!$F$2:$F$5000,Movimientos!$D$2:$D$5000,$A374,Movimientos!$C$2:$C$5000,"Retorno reparación")-SUMIFS(Movimientos!$F$2:$F$5000,Movimientos!$D$2:$D$5000,$A374,Movimientos!$C$2:$C$5000,"Baja desde reparación")</f>
        <v>0</v>
      </c>
      <c r="S374" s="45">
        <f>P374-Q374-R374</f>
        <v>15</v>
      </c>
    </row>
    <row r="375" spans="1:19">
      <c r="A375" s="15" t="s">
        <v>1669</v>
      </c>
      <c r="B375" s="15" t="s">
        <v>1670</v>
      </c>
      <c r="C375" s="42" t="s">
        <v>1671</v>
      </c>
      <c r="D375" s="15" t="s">
        <v>101</v>
      </c>
      <c r="E375" s="42" t="s">
        <v>1672</v>
      </c>
      <c r="F375" s="43">
        <v>1</v>
      </c>
      <c r="G375" s="15" t="s">
        <v>478</v>
      </c>
      <c r="H375" s="44">
        <v>2</v>
      </c>
      <c r="I375" s="15" t="s">
        <v>104</v>
      </c>
      <c r="J375" s="15" t="s">
        <v>33</v>
      </c>
      <c r="K375" s="15" t="s">
        <v>35</v>
      </c>
      <c r="L375" s="15"/>
      <c r="M375" s="15" t="s">
        <v>38</v>
      </c>
      <c r="N375" s="15"/>
      <c r="O375" s="15"/>
      <c r="P375" s="45">
        <f>H375+SUMIFS(Movimientos!$F$2:$F$5000,Movimientos!$D$2:$D$5000,$A375,Movimientos!$C$2:$C$5000,"Ingreso inventario")+SUMIFS(Movimientos!$F$2:$F$5000,Movimientos!$D$2:$D$5000,$A375,Movimientos!$C$2:$C$5000,"Ajuste")-SUMIFS(Movimientos!$F$2:$F$5000,Movimientos!$D$2:$D$5000,$A375,Movimientos!$C$2:$C$5000,"Consumido en evento")-SUMIFS(Movimientos!$F$2:$F$5000,Movimientos!$D$2:$D$5000,$A375,Movimientos!$C$2:$C$5000,"Consumo interno")-SUMIFS(Movimientos!$F$2:$F$5000,Movimientos!$D$2:$D$5000,$A375,Movimientos!$C$2:$C$5000,"Baja")-SUMIFS(Movimientos!$F$2:$F$5000,Movimientos!$D$2:$D$5000,$A375,Movimientos!$C$2:$C$5000,"Baja desde reparación")</f>
        <v>2</v>
      </c>
      <c r="Q375" s="45">
        <f>SUMIFS(Movimientos!$F$2:$F$5000,Movimientos!$D$2:$D$5000,$A375,Movimientos!$C$2:$C$5000,"Salida alquiler")-SUMIFS(Movimientos!$F$2:$F$5000,Movimientos!$D$2:$D$5000,$A375,Movimientos!$C$2:$C$5000,"Retorno alquiler")-SUMIFS(Movimientos!$F$2:$F$5000,Movimientos!$D$2:$D$5000,$A375,Movimientos!$C$2:$C$5000,"Consumido en evento")-SUMIFS(Movimientos!$F$2:$F$5000,Movimientos!$D$2:$D$5000,$A375,Movimientos!$C$2:$C$5000,"A reparación")</f>
        <v>0</v>
      </c>
      <c r="R375" s="45">
        <f>SUMIFS(Movimientos!$F$2:$F$5000,Movimientos!$D$2:$D$5000,$A375,Movimientos!$C$2:$C$5000,"A reparación")-SUMIFS(Movimientos!$F$2:$F$5000,Movimientos!$D$2:$D$5000,$A375,Movimientos!$C$2:$C$5000,"Retorno reparación")-SUMIFS(Movimientos!$F$2:$F$5000,Movimientos!$D$2:$D$5000,$A375,Movimientos!$C$2:$C$5000,"Baja desde reparación")</f>
        <v>0</v>
      </c>
      <c r="S375" s="45">
        <f>P375-Q375-R375</f>
        <v>2</v>
      </c>
    </row>
    <row r="376" spans="1:19">
      <c r="A376" s="15" t="s">
        <v>1673</v>
      </c>
      <c r="B376" s="15" t="s">
        <v>1674</v>
      </c>
      <c r="C376" s="42" t="s">
        <v>1675</v>
      </c>
      <c r="D376" s="15" t="s">
        <v>101</v>
      </c>
      <c r="E376" s="42" t="s">
        <v>1676</v>
      </c>
      <c r="F376" s="43">
        <v>1</v>
      </c>
      <c r="G376" s="15" t="s">
        <v>246</v>
      </c>
      <c r="H376" s="44">
        <v>0</v>
      </c>
      <c r="I376" s="15" t="s">
        <v>104</v>
      </c>
      <c r="J376" s="15" t="s">
        <v>33</v>
      </c>
      <c r="K376" s="15" t="s">
        <v>35</v>
      </c>
      <c r="L376" s="15" t="s">
        <v>1677</v>
      </c>
      <c r="M376" s="15" t="s">
        <v>38</v>
      </c>
      <c r="N376" s="15"/>
      <c r="O376" s="15"/>
      <c r="P376" s="45">
        <f>H376+SUMIFS(Movimientos!$F$2:$F$5000,Movimientos!$D$2:$D$5000,$A376,Movimientos!$C$2:$C$5000,"Ingreso inventario")+SUMIFS(Movimientos!$F$2:$F$5000,Movimientos!$D$2:$D$5000,$A376,Movimientos!$C$2:$C$5000,"Ajuste")-SUMIFS(Movimientos!$F$2:$F$5000,Movimientos!$D$2:$D$5000,$A376,Movimientos!$C$2:$C$5000,"Consumido en evento")-SUMIFS(Movimientos!$F$2:$F$5000,Movimientos!$D$2:$D$5000,$A376,Movimientos!$C$2:$C$5000,"Consumo interno")-SUMIFS(Movimientos!$F$2:$F$5000,Movimientos!$D$2:$D$5000,$A376,Movimientos!$C$2:$C$5000,"Baja")-SUMIFS(Movimientos!$F$2:$F$5000,Movimientos!$D$2:$D$5000,$A376,Movimientos!$C$2:$C$5000,"Baja desde reparación")</f>
        <v>0</v>
      </c>
      <c r="Q376" s="45">
        <f>SUMIFS(Movimientos!$F$2:$F$5000,Movimientos!$D$2:$D$5000,$A376,Movimientos!$C$2:$C$5000,"Salida alquiler")-SUMIFS(Movimientos!$F$2:$F$5000,Movimientos!$D$2:$D$5000,$A376,Movimientos!$C$2:$C$5000,"Retorno alquiler")-SUMIFS(Movimientos!$F$2:$F$5000,Movimientos!$D$2:$D$5000,$A376,Movimientos!$C$2:$C$5000,"Consumido en evento")-SUMIFS(Movimientos!$F$2:$F$5000,Movimientos!$D$2:$D$5000,$A376,Movimientos!$C$2:$C$5000,"A reparación")</f>
        <v>0</v>
      </c>
      <c r="R376" s="45">
        <f>SUMIFS(Movimientos!$F$2:$F$5000,Movimientos!$D$2:$D$5000,$A376,Movimientos!$C$2:$C$5000,"A reparación")-SUMIFS(Movimientos!$F$2:$F$5000,Movimientos!$D$2:$D$5000,$A376,Movimientos!$C$2:$C$5000,"Retorno reparación")-SUMIFS(Movimientos!$F$2:$F$5000,Movimientos!$D$2:$D$5000,$A376,Movimientos!$C$2:$C$5000,"Baja desde reparación")</f>
        <v>0</v>
      </c>
      <c r="S376" s="45">
        <f>P376-Q376-R376</f>
        <v>0</v>
      </c>
    </row>
    <row r="377" spans="1:19">
      <c r="A377" s="15" t="s">
        <v>1678</v>
      </c>
      <c r="B377" s="15" t="s">
        <v>1679</v>
      </c>
      <c r="C377" s="42" t="s">
        <v>1680</v>
      </c>
      <c r="D377" s="15" t="s">
        <v>101</v>
      </c>
      <c r="E377" s="42" t="s">
        <v>1681</v>
      </c>
      <c r="F377" s="43">
        <v>1</v>
      </c>
      <c r="G377" s="15" t="s">
        <v>478</v>
      </c>
      <c r="H377" s="44">
        <v>4</v>
      </c>
      <c r="I377" s="15" t="s">
        <v>104</v>
      </c>
      <c r="J377" s="15" t="s">
        <v>33</v>
      </c>
      <c r="K377" s="15" t="s">
        <v>35</v>
      </c>
      <c r="L377" s="15" t="s">
        <v>1682</v>
      </c>
      <c r="M377" s="15" t="s">
        <v>38</v>
      </c>
      <c r="N377" s="15"/>
      <c r="O377" s="15"/>
      <c r="P377" s="45">
        <f>H377+SUMIFS(Movimientos!$F$2:$F$5000,Movimientos!$D$2:$D$5000,$A377,Movimientos!$C$2:$C$5000,"Ingreso inventario")+SUMIFS(Movimientos!$F$2:$F$5000,Movimientos!$D$2:$D$5000,$A377,Movimientos!$C$2:$C$5000,"Ajuste")-SUMIFS(Movimientos!$F$2:$F$5000,Movimientos!$D$2:$D$5000,$A377,Movimientos!$C$2:$C$5000,"Consumido en evento")-SUMIFS(Movimientos!$F$2:$F$5000,Movimientos!$D$2:$D$5000,$A377,Movimientos!$C$2:$C$5000,"Consumo interno")-SUMIFS(Movimientos!$F$2:$F$5000,Movimientos!$D$2:$D$5000,$A377,Movimientos!$C$2:$C$5000,"Baja")-SUMIFS(Movimientos!$F$2:$F$5000,Movimientos!$D$2:$D$5000,$A377,Movimientos!$C$2:$C$5000,"Baja desde reparación")</f>
        <v>4</v>
      </c>
      <c r="Q377" s="45">
        <f>SUMIFS(Movimientos!$F$2:$F$5000,Movimientos!$D$2:$D$5000,$A377,Movimientos!$C$2:$C$5000,"Salida alquiler")-SUMIFS(Movimientos!$F$2:$F$5000,Movimientos!$D$2:$D$5000,$A377,Movimientos!$C$2:$C$5000,"Retorno alquiler")-SUMIFS(Movimientos!$F$2:$F$5000,Movimientos!$D$2:$D$5000,$A377,Movimientos!$C$2:$C$5000,"Consumido en evento")-SUMIFS(Movimientos!$F$2:$F$5000,Movimientos!$D$2:$D$5000,$A377,Movimientos!$C$2:$C$5000,"A reparación")</f>
        <v>0</v>
      </c>
      <c r="R377" s="45">
        <f>SUMIFS(Movimientos!$F$2:$F$5000,Movimientos!$D$2:$D$5000,$A377,Movimientos!$C$2:$C$5000,"A reparación")-SUMIFS(Movimientos!$F$2:$F$5000,Movimientos!$D$2:$D$5000,$A377,Movimientos!$C$2:$C$5000,"Retorno reparación")-SUMIFS(Movimientos!$F$2:$F$5000,Movimientos!$D$2:$D$5000,$A377,Movimientos!$C$2:$C$5000,"Baja desde reparación")</f>
        <v>0</v>
      </c>
      <c r="S377" s="45">
        <f>P377-Q377-R377</f>
        <v>4</v>
      </c>
    </row>
    <row r="378" spans="1:19">
      <c r="A378" s="15" t="s">
        <v>1683</v>
      </c>
      <c r="B378" s="15" t="s">
        <v>1684</v>
      </c>
      <c r="C378" s="42" t="s">
        <v>1685</v>
      </c>
      <c r="D378" s="15" t="s">
        <v>101</v>
      </c>
      <c r="E378" s="42" t="s">
        <v>1686</v>
      </c>
      <c r="F378" s="43">
        <v>1</v>
      </c>
      <c r="G378" s="15" t="s">
        <v>478</v>
      </c>
      <c r="H378" s="44">
        <v>8</v>
      </c>
      <c r="I378" s="15" t="s">
        <v>104</v>
      </c>
      <c r="J378" s="15" t="s">
        <v>33</v>
      </c>
      <c r="K378" s="15" t="s">
        <v>35</v>
      </c>
      <c r="L378" s="15"/>
      <c r="M378" s="15" t="s">
        <v>38</v>
      </c>
      <c r="N378" s="15"/>
      <c r="O378" s="15"/>
      <c r="P378" s="45">
        <f>H378+SUMIFS(Movimientos!$F$2:$F$5000,Movimientos!$D$2:$D$5000,$A378,Movimientos!$C$2:$C$5000,"Ingreso inventario")+SUMIFS(Movimientos!$F$2:$F$5000,Movimientos!$D$2:$D$5000,$A378,Movimientos!$C$2:$C$5000,"Ajuste")-SUMIFS(Movimientos!$F$2:$F$5000,Movimientos!$D$2:$D$5000,$A378,Movimientos!$C$2:$C$5000,"Consumido en evento")-SUMIFS(Movimientos!$F$2:$F$5000,Movimientos!$D$2:$D$5000,$A378,Movimientos!$C$2:$C$5000,"Consumo interno")-SUMIFS(Movimientos!$F$2:$F$5000,Movimientos!$D$2:$D$5000,$A378,Movimientos!$C$2:$C$5000,"Baja")-SUMIFS(Movimientos!$F$2:$F$5000,Movimientos!$D$2:$D$5000,$A378,Movimientos!$C$2:$C$5000,"Baja desde reparación")</f>
        <v>8</v>
      </c>
      <c r="Q378" s="45">
        <f>SUMIFS(Movimientos!$F$2:$F$5000,Movimientos!$D$2:$D$5000,$A378,Movimientos!$C$2:$C$5000,"Salida alquiler")-SUMIFS(Movimientos!$F$2:$F$5000,Movimientos!$D$2:$D$5000,$A378,Movimientos!$C$2:$C$5000,"Retorno alquiler")-SUMIFS(Movimientos!$F$2:$F$5000,Movimientos!$D$2:$D$5000,$A378,Movimientos!$C$2:$C$5000,"Consumido en evento")-SUMIFS(Movimientos!$F$2:$F$5000,Movimientos!$D$2:$D$5000,$A378,Movimientos!$C$2:$C$5000,"A reparación")</f>
        <v>0</v>
      </c>
      <c r="R378" s="45">
        <f>SUMIFS(Movimientos!$F$2:$F$5000,Movimientos!$D$2:$D$5000,$A378,Movimientos!$C$2:$C$5000,"A reparación")-SUMIFS(Movimientos!$F$2:$F$5000,Movimientos!$D$2:$D$5000,$A378,Movimientos!$C$2:$C$5000,"Retorno reparación")-SUMIFS(Movimientos!$F$2:$F$5000,Movimientos!$D$2:$D$5000,$A378,Movimientos!$C$2:$C$5000,"Baja desde reparación")</f>
        <v>0</v>
      </c>
      <c r="S378" s="45">
        <f>P378-Q378-R378</f>
        <v>8</v>
      </c>
    </row>
    <row r="379" spans="1:19">
      <c r="A379" s="15" t="s">
        <v>1687</v>
      </c>
      <c r="B379" s="15" t="s">
        <v>1688</v>
      </c>
      <c r="C379" s="42" t="s">
        <v>1689</v>
      </c>
      <c r="D379" s="15" t="s">
        <v>101</v>
      </c>
      <c r="E379" s="42" t="s">
        <v>1690</v>
      </c>
      <c r="F379" s="43">
        <v>1</v>
      </c>
      <c r="G379" s="15" t="s">
        <v>1361</v>
      </c>
      <c r="H379" s="44">
        <v>1</v>
      </c>
      <c r="I379" s="15" t="s">
        <v>104</v>
      </c>
      <c r="J379" s="15" t="s">
        <v>33</v>
      </c>
      <c r="K379" s="15" t="s">
        <v>35</v>
      </c>
      <c r="L379" s="15"/>
      <c r="M379" s="15" t="s">
        <v>38</v>
      </c>
      <c r="N379" s="15"/>
      <c r="O379" s="15"/>
      <c r="P379" s="45">
        <f>H379+SUMIFS(Movimientos!$F$2:$F$5000,Movimientos!$D$2:$D$5000,$A379,Movimientos!$C$2:$C$5000,"Ingreso inventario")+SUMIFS(Movimientos!$F$2:$F$5000,Movimientos!$D$2:$D$5000,$A379,Movimientos!$C$2:$C$5000,"Ajuste")-SUMIFS(Movimientos!$F$2:$F$5000,Movimientos!$D$2:$D$5000,$A379,Movimientos!$C$2:$C$5000,"Consumido en evento")-SUMIFS(Movimientos!$F$2:$F$5000,Movimientos!$D$2:$D$5000,$A379,Movimientos!$C$2:$C$5000,"Consumo interno")-SUMIFS(Movimientos!$F$2:$F$5000,Movimientos!$D$2:$D$5000,$A379,Movimientos!$C$2:$C$5000,"Baja")-SUMIFS(Movimientos!$F$2:$F$5000,Movimientos!$D$2:$D$5000,$A379,Movimientos!$C$2:$C$5000,"Baja desde reparación")</f>
        <v>1</v>
      </c>
      <c r="Q379" s="45">
        <f>SUMIFS(Movimientos!$F$2:$F$5000,Movimientos!$D$2:$D$5000,$A379,Movimientos!$C$2:$C$5000,"Salida alquiler")-SUMIFS(Movimientos!$F$2:$F$5000,Movimientos!$D$2:$D$5000,$A379,Movimientos!$C$2:$C$5000,"Retorno alquiler")-SUMIFS(Movimientos!$F$2:$F$5000,Movimientos!$D$2:$D$5000,$A379,Movimientos!$C$2:$C$5000,"Consumido en evento")-SUMIFS(Movimientos!$F$2:$F$5000,Movimientos!$D$2:$D$5000,$A379,Movimientos!$C$2:$C$5000,"A reparación")</f>
        <v>0</v>
      </c>
      <c r="R379" s="45">
        <f>SUMIFS(Movimientos!$F$2:$F$5000,Movimientos!$D$2:$D$5000,$A379,Movimientos!$C$2:$C$5000,"A reparación")-SUMIFS(Movimientos!$F$2:$F$5000,Movimientos!$D$2:$D$5000,$A379,Movimientos!$C$2:$C$5000,"Retorno reparación")-SUMIFS(Movimientos!$F$2:$F$5000,Movimientos!$D$2:$D$5000,$A379,Movimientos!$C$2:$C$5000,"Baja desde reparación")</f>
        <v>0</v>
      </c>
      <c r="S379" s="45">
        <f>P379-Q379-R379</f>
        <v>1</v>
      </c>
    </row>
    <row r="380" spans="1:19">
      <c r="A380" s="15" t="s">
        <v>1691</v>
      </c>
      <c r="B380" s="15" t="s">
        <v>1692</v>
      </c>
      <c r="C380" s="42" t="s">
        <v>1693</v>
      </c>
      <c r="D380" s="15" t="s">
        <v>101</v>
      </c>
      <c r="E380" s="42" t="s">
        <v>1694</v>
      </c>
      <c r="F380" s="43">
        <v>1</v>
      </c>
      <c r="G380" s="15" t="s">
        <v>241</v>
      </c>
      <c r="H380" s="44">
        <v>1</v>
      </c>
      <c r="I380" s="15" t="s">
        <v>104</v>
      </c>
      <c r="J380" s="15" t="s">
        <v>33</v>
      </c>
      <c r="K380" s="15" t="s">
        <v>35</v>
      </c>
      <c r="L380" s="15"/>
      <c r="M380" s="15" t="s">
        <v>38</v>
      </c>
      <c r="N380" s="15"/>
      <c r="O380" s="15"/>
      <c r="P380" s="45">
        <f>H380+SUMIFS(Movimientos!$F$2:$F$5000,Movimientos!$D$2:$D$5000,$A380,Movimientos!$C$2:$C$5000,"Ingreso inventario")+SUMIFS(Movimientos!$F$2:$F$5000,Movimientos!$D$2:$D$5000,$A380,Movimientos!$C$2:$C$5000,"Ajuste")-SUMIFS(Movimientos!$F$2:$F$5000,Movimientos!$D$2:$D$5000,$A380,Movimientos!$C$2:$C$5000,"Consumido en evento")-SUMIFS(Movimientos!$F$2:$F$5000,Movimientos!$D$2:$D$5000,$A380,Movimientos!$C$2:$C$5000,"Consumo interno")-SUMIFS(Movimientos!$F$2:$F$5000,Movimientos!$D$2:$D$5000,$A380,Movimientos!$C$2:$C$5000,"Baja")-SUMIFS(Movimientos!$F$2:$F$5000,Movimientos!$D$2:$D$5000,$A380,Movimientos!$C$2:$C$5000,"Baja desde reparación")</f>
        <v>1</v>
      </c>
      <c r="Q380" s="45">
        <f>SUMIFS(Movimientos!$F$2:$F$5000,Movimientos!$D$2:$D$5000,$A380,Movimientos!$C$2:$C$5000,"Salida alquiler")-SUMIFS(Movimientos!$F$2:$F$5000,Movimientos!$D$2:$D$5000,$A380,Movimientos!$C$2:$C$5000,"Retorno alquiler")-SUMIFS(Movimientos!$F$2:$F$5000,Movimientos!$D$2:$D$5000,$A380,Movimientos!$C$2:$C$5000,"Consumido en evento")-SUMIFS(Movimientos!$F$2:$F$5000,Movimientos!$D$2:$D$5000,$A380,Movimientos!$C$2:$C$5000,"A reparación")</f>
        <v>0</v>
      </c>
      <c r="R380" s="45">
        <f>SUMIFS(Movimientos!$F$2:$F$5000,Movimientos!$D$2:$D$5000,$A380,Movimientos!$C$2:$C$5000,"A reparación")-SUMIFS(Movimientos!$F$2:$F$5000,Movimientos!$D$2:$D$5000,$A380,Movimientos!$C$2:$C$5000,"Retorno reparación")-SUMIFS(Movimientos!$F$2:$F$5000,Movimientos!$D$2:$D$5000,$A380,Movimientos!$C$2:$C$5000,"Baja desde reparación")</f>
        <v>0</v>
      </c>
      <c r="S380" s="45">
        <f>P380-Q380-R380</f>
        <v>1</v>
      </c>
    </row>
    <row r="381" spans="1:19">
      <c r="A381" s="15" t="s">
        <v>1695</v>
      </c>
      <c r="B381" s="15" t="s">
        <v>1696</v>
      </c>
      <c r="C381" s="42" t="s">
        <v>1697</v>
      </c>
      <c r="D381" s="15" t="s">
        <v>101</v>
      </c>
      <c r="E381" s="42" t="s">
        <v>1698</v>
      </c>
      <c r="F381" s="43">
        <v>1</v>
      </c>
      <c r="G381" s="15" t="s">
        <v>1699</v>
      </c>
      <c r="H381" s="44">
        <v>0</v>
      </c>
      <c r="I381" s="15" t="s">
        <v>104</v>
      </c>
      <c r="J381" s="15" t="s">
        <v>33</v>
      </c>
      <c r="K381" s="15" t="s">
        <v>35</v>
      </c>
      <c r="L381" s="15"/>
      <c r="M381" s="15" t="s">
        <v>38</v>
      </c>
      <c r="N381" s="15"/>
      <c r="O381" s="15"/>
      <c r="P381" s="45">
        <f>H381+SUMIFS(Movimientos!$F$2:$F$5000,Movimientos!$D$2:$D$5000,$A381,Movimientos!$C$2:$C$5000,"Ingreso inventario")+SUMIFS(Movimientos!$F$2:$F$5000,Movimientos!$D$2:$D$5000,$A381,Movimientos!$C$2:$C$5000,"Ajuste")-SUMIFS(Movimientos!$F$2:$F$5000,Movimientos!$D$2:$D$5000,$A381,Movimientos!$C$2:$C$5000,"Consumido en evento")-SUMIFS(Movimientos!$F$2:$F$5000,Movimientos!$D$2:$D$5000,$A381,Movimientos!$C$2:$C$5000,"Consumo interno")-SUMIFS(Movimientos!$F$2:$F$5000,Movimientos!$D$2:$D$5000,$A381,Movimientos!$C$2:$C$5000,"Baja")-SUMIFS(Movimientos!$F$2:$F$5000,Movimientos!$D$2:$D$5000,$A381,Movimientos!$C$2:$C$5000,"Baja desde reparación")</f>
        <v>0</v>
      </c>
      <c r="Q381" s="45">
        <f>SUMIFS(Movimientos!$F$2:$F$5000,Movimientos!$D$2:$D$5000,$A381,Movimientos!$C$2:$C$5000,"Salida alquiler")-SUMIFS(Movimientos!$F$2:$F$5000,Movimientos!$D$2:$D$5000,$A381,Movimientos!$C$2:$C$5000,"Retorno alquiler")-SUMIFS(Movimientos!$F$2:$F$5000,Movimientos!$D$2:$D$5000,$A381,Movimientos!$C$2:$C$5000,"Consumido en evento")-SUMIFS(Movimientos!$F$2:$F$5000,Movimientos!$D$2:$D$5000,$A381,Movimientos!$C$2:$C$5000,"A reparación")</f>
        <v>0</v>
      </c>
      <c r="R381" s="45">
        <f>SUMIFS(Movimientos!$F$2:$F$5000,Movimientos!$D$2:$D$5000,$A381,Movimientos!$C$2:$C$5000,"A reparación")-SUMIFS(Movimientos!$F$2:$F$5000,Movimientos!$D$2:$D$5000,$A381,Movimientos!$C$2:$C$5000,"Retorno reparación")-SUMIFS(Movimientos!$F$2:$F$5000,Movimientos!$D$2:$D$5000,$A381,Movimientos!$C$2:$C$5000,"Baja desde reparación")</f>
        <v>0</v>
      </c>
      <c r="S381" s="45">
        <f>P381-Q381-R381</f>
        <v>0</v>
      </c>
    </row>
    <row r="382" spans="1:19">
      <c r="A382" s="15" t="s">
        <v>1700</v>
      </c>
      <c r="B382" s="15" t="s">
        <v>1701</v>
      </c>
      <c r="C382" s="42" t="s">
        <v>1702</v>
      </c>
      <c r="D382" s="15" t="s">
        <v>101</v>
      </c>
      <c r="E382" s="42" t="s">
        <v>1703</v>
      </c>
      <c r="F382" s="43">
        <v>1</v>
      </c>
      <c r="G382" s="15" t="s">
        <v>544</v>
      </c>
      <c r="H382" s="44">
        <v>4</v>
      </c>
      <c r="I382" s="15" t="s">
        <v>104</v>
      </c>
      <c r="J382" s="15" t="s">
        <v>33</v>
      </c>
      <c r="K382" s="15" t="s">
        <v>35</v>
      </c>
      <c r="L382" s="15"/>
      <c r="M382" s="15" t="s">
        <v>38</v>
      </c>
      <c r="N382" s="15"/>
      <c r="O382" s="15"/>
      <c r="P382" s="45">
        <f>H382+SUMIFS(Movimientos!$F$2:$F$5000,Movimientos!$D$2:$D$5000,$A382,Movimientos!$C$2:$C$5000,"Ingreso inventario")+SUMIFS(Movimientos!$F$2:$F$5000,Movimientos!$D$2:$D$5000,$A382,Movimientos!$C$2:$C$5000,"Ajuste")-SUMIFS(Movimientos!$F$2:$F$5000,Movimientos!$D$2:$D$5000,$A382,Movimientos!$C$2:$C$5000,"Consumido en evento")-SUMIFS(Movimientos!$F$2:$F$5000,Movimientos!$D$2:$D$5000,$A382,Movimientos!$C$2:$C$5000,"Consumo interno")-SUMIFS(Movimientos!$F$2:$F$5000,Movimientos!$D$2:$D$5000,$A382,Movimientos!$C$2:$C$5000,"Baja")-SUMIFS(Movimientos!$F$2:$F$5000,Movimientos!$D$2:$D$5000,$A382,Movimientos!$C$2:$C$5000,"Baja desde reparación")</f>
        <v>4</v>
      </c>
      <c r="Q382" s="45">
        <f>SUMIFS(Movimientos!$F$2:$F$5000,Movimientos!$D$2:$D$5000,$A382,Movimientos!$C$2:$C$5000,"Salida alquiler")-SUMIFS(Movimientos!$F$2:$F$5000,Movimientos!$D$2:$D$5000,$A382,Movimientos!$C$2:$C$5000,"Retorno alquiler")-SUMIFS(Movimientos!$F$2:$F$5000,Movimientos!$D$2:$D$5000,$A382,Movimientos!$C$2:$C$5000,"Consumido en evento")-SUMIFS(Movimientos!$F$2:$F$5000,Movimientos!$D$2:$D$5000,$A382,Movimientos!$C$2:$C$5000,"A reparación")</f>
        <v>0</v>
      </c>
      <c r="R382" s="45">
        <f>SUMIFS(Movimientos!$F$2:$F$5000,Movimientos!$D$2:$D$5000,$A382,Movimientos!$C$2:$C$5000,"A reparación")-SUMIFS(Movimientos!$F$2:$F$5000,Movimientos!$D$2:$D$5000,$A382,Movimientos!$C$2:$C$5000,"Retorno reparación")-SUMIFS(Movimientos!$F$2:$F$5000,Movimientos!$D$2:$D$5000,$A382,Movimientos!$C$2:$C$5000,"Baja desde reparación")</f>
        <v>0</v>
      </c>
      <c r="S382" s="45">
        <f>P382-Q382-R382</f>
        <v>4</v>
      </c>
    </row>
    <row r="383" spans="1:19">
      <c r="A383" s="15" t="s">
        <v>1704</v>
      </c>
      <c r="B383" s="15" t="s">
        <v>1705</v>
      </c>
      <c r="C383" s="42" t="s">
        <v>1706</v>
      </c>
      <c r="D383" s="15" t="s">
        <v>101</v>
      </c>
      <c r="E383" s="42" t="s">
        <v>1707</v>
      </c>
      <c r="F383" s="43">
        <v>1</v>
      </c>
      <c r="G383" s="15" t="s">
        <v>1274</v>
      </c>
      <c r="H383" s="44">
        <v>2</v>
      </c>
      <c r="I383" s="15" t="s">
        <v>104</v>
      </c>
      <c r="J383" s="15" t="s">
        <v>33</v>
      </c>
      <c r="K383" s="15" t="s">
        <v>35</v>
      </c>
      <c r="L383" s="15"/>
      <c r="M383" s="15" t="s">
        <v>38</v>
      </c>
      <c r="N383" s="15"/>
      <c r="O383" s="15"/>
      <c r="P383" s="45">
        <f>H383+SUMIFS(Movimientos!$F$2:$F$5000,Movimientos!$D$2:$D$5000,$A383,Movimientos!$C$2:$C$5000,"Ingreso inventario")+SUMIFS(Movimientos!$F$2:$F$5000,Movimientos!$D$2:$D$5000,$A383,Movimientos!$C$2:$C$5000,"Ajuste")-SUMIFS(Movimientos!$F$2:$F$5000,Movimientos!$D$2:$D$5000,$A383,Movimientos!$C$2:$C$5000,"Consumido en evento")-SUMIFS(Movimientos!$F$2:$F$5000,Movimientos!$D$2:$D$5000,$A383,Movimientos!$C$2:$C$5000,"Consumo interno")-SUMIFS(Movimientos!$F$2:$F$5000,Movimientos!$D$2:$D$5000,$A383,Movimientos!$C$2:$C$5000,"Baja")-SUMIFS(Movimientos!$F$2:$F$5000,Movimientos!$D$2:$D$5000,$A383,Movimientos!$C$2:$C$5000,"Baja desde reparación")</f>
        <v>2</v>
      </c>
      <c r="Q383" s="45">
        <f>SUMIFS(Movimientos!$F$2:$F$5000,Movimientos!$D$2:$D$5000,$A383,Movimientos!$C$2:$C$5000,"Salida alquiler")-SUMIFS(Movimientos!$F$2:$F$5000,Movimientos!$D$2:$D$5000,$A383,Movimientos!$C$2:$C$5000,"Retorno alquiler")-SUMIFS(Movimientos!$F$2:$F$5000,Movimientos!$D$2:$D$5000,$A383,Movimientos!$C$2:$C$5000,"Consumido en evento")-SUMIFS(Movimientos!$F$2:$F$5000,Movimientos!$D$2:$D$5000,$A383,Movimientos!$C$2:$C$5000,"A reparación")</f>
        <v>0</v>
      </c>
      <c r="R383" s="45">
        <f>SUMIFS(Movimientos!$F$2:$F$5000,Movimientos!$D$2:$D$5000,$A383,Movimientos!$C$2:$C$5000,"A reparación")-SUMIFS(Movimientos!$F$2:$F$5000,Movimientos!$D$2:$D$5000,$A383,Movimientos!$C$2:$C$5000,"Retorno reparación")-SUMIFS(Movimientos!$F$2:$F$5000,Movimientos!$D$2:$D$5000,$A383,Movimientos!$C$2:$C$5000,"Baja desde reparación")</f>
        <v>0</v>
      </c>
      <c r="S383" s="45">
        <f>P383-Q383-R383</f>
        <v>2</v>
      </c>
    </row>
    <row r="384" spans="1:19">
      <c r="A384" s="15" t="s">
        <v>1708</v>
      </c>
      <c r="B384" s="15" t="s">
        <v>1709</v>
      </c>
      <c r="C384" s="42" t="s">
        <v>1710</v>
      </c>
      <c r="D384" s="15" t="s">
        <v>101</v>
      </c>
      <c r="E384" s="42" t="s">
        <v>1711</v>
      </c>
      <c r="F384" s="43">
        <v>1</v>
      </c>
      <c r="G384" s="15" t="s">
        <v>1712</v>
      </c>
      <c r="H384" s="44">
        <v>0</v>
      </c>
      <c r="I384" s="15" t="s">
        <v>104</v>
      </c>
      <c r="J384" s="15" t="s">
        <v>33</v>
      </c>
      <c r="K384" s="15" t="s">
        <v>35</v>
      </c>
      <c r="L384" s="15"/>
      <c r="M384" s="15" t="s">
        <v>38</v>
      </c>
      <c r="N384" s="15"/>
      <c r="O384" s="15"/>
      <c r="P384" s="45">
        <f>H384+SUMIFS(Movimientos!$F$2:$F$5000,Movimientos!$D$2:$D$5000,$A384,Movimientos!$C$2:$C$5000,"Ingreso inventario")+SUMIFS(Movimientos!$F$2:$F$5000,Movimientos!$D$2:$D$5000,$A384,Movimientos!$C$2:$C$5000,"Ajuste")-SUMIFS(Movimientos!$F$2:$F$5000,Movimientos!$D$2:$D$5000,$A384,Movimientos!$C$2:$C$5000,"Consumido en evento")-SUMIFS(Movimientos!$F$2:$F$5000,Movimientos!$D$2:$D$5000,$A384,Movimientos!$C$2:$C$5000,"Consumo interno")-SUMIFS(Movimientos!$F$2:$F$5000,Movimientos!$D$2:$D$5000,$A384,Movimientos!$C$2:$C$5000,"Baja")-SUMIFS(Movimientos!$F$2:$F$5000,Movimientos!$D$2:$D$5000,$A384,Movimientos!$C$2:$C$5000,"Baja desde reparación")</f>
        <v>0</v>
      </c>
      <c r="Q384" s="45">
        <f>SUMIFS(Movimientos!$F$2:$F$5000,Movimientos!$D$2:$D$5000,$A384,Movimientos!$C$2:$C$5000,"Salida alquiler")-SUMIFS(Movimientos!$F$2:$F$5000,Movimientos!$D$2:$D$5000,$A384,Movimientos!$C$2:$C$5000,"Retorno alquiler")-SUMIFS(Movimientos!$F$2:$F$5000,Movimientos!$D$2:$D$5000,$A384,Movimientos!$C$2:$C$5000,"Consumido en evento")-SUMIFS(Movimientos!$F$2:$F$5000,Movimientos!$D$2:$D$5000,$A384,Movimientos!$C$2:$C$5000,"A reparación")</f>
        <v>0</v>
      </c>
      <c r="R384" s="45">
        <f>SUMIFS(Movimientos!$F$2:$F$5000,Movimientos!$D$2:$D$5000,$A384,Movimientos!$C$2:$C$5000,"A reparación")-SUMIFS(Movimientos!$F$2:$F$5000,Movimientos!$D$2:$D$5000,$A384,Movimientos!$C$2:$C$5000,"Retorno reparación")-SUMIFS(Movimientos!$F$2:$F$5000,Movimientos!$D$2:$D$5000,$A384,Movimientos!$C$2:$C$5000,"Baja desde reparación")</f>
        <v>0</v>
      </c>
      <c r="S384" s="45">
        <f>P384-Q384-R384</f>
        <v>0</v>
      </c>
    </row>
    <row r="385" spans="1:19">
      <c r="A385" s="15" t="s">
        <v>1713</v>
      </c>
      <c r="B385" s="15" t="s">
        <v>1714</v>
      </c>
      <c r="C385" s="42" t="s">
        <v>1715</v>
      </c>
      <c r="D385" s="15" t="s">
        <v>101</v>
      </c>
      <c r="E385" s="42" t="s">
        <v>1716</v>
      </c>
      <c r="F385" s="43">
        <v>1</v>
      </c>
      <c r="G385" s="15" t="s">
        <v>246</v>
      </c>
      <c r="H385" s="44">
        <v>2</v>
      </c>
      <c r="I385" s="15" t="s">
        <v>104</v>
      </c>
      <c r="J385" s="15" t="s">
        <v>33</v>
      </c>
      <c r="K385" s="15" t="s">
        <v>35</v>
      </c>
      <c r="L385" s="15" t="s">
        <v>1717</v>
      </c>
      <c r="M385" s="15" t="s">
        <v>38</v>
      </c>
      <c r="N385" s="15"/>
      <c r="O385" s="15"/>
      <c r="P385" s="45">
        <f>H385+SUMIFS(Movimientos!$F$2:$F$5000,Movimientos!$D$2:$D$5000,$A385,Movimientos!$C$2:$C$5000,"Ingreso inventario")+SUMIFS(Movimientos!$F$2:$F$5000,Movimientos!$D$2:$D$5000,$A385,Movimientos!$C$2:$C$5000,"Ajuste")-SUMIFS(Movimientos!$F$2:$F$5000,Movimientos!$D$2:$D$5000,$A385,Movimientos!$C$2:$C$5000,"Consumido en evento")-SUMIFS(Movimientos!$F$2:$F$5000,Movimientos!$D$2:$D$5000,$A385,Movimientos!$C$2:$C$5000,"Consumo interno")-SUMIFS(Movimientos!$F$2:$F$5000,Movimientos!$D$2:$D$5000,$A385,Movimientos!$C$2:$C$5000,"Baja")-SUMIFS(Movimientos!$F$2:$F$5000,Movimientos!$D$2:$D$5000,$A385,Movimientos!$C$2:$C$5000,"Baja desde reparación")</f>
        <v>2</v>
      </c>
      <c r="Q385" s="45">
        <f>SUMIFS(Movimientos!$F$2:$F$5000,Movimientos!$D$2:$D$5000,$A385,Movimientos!$C$2:$C$5000,"Salida alquiler")-SUMIFS(Movimientos!$F$2:$F$5000,Movimientos!$D$2:$D$5000,$A385,Movimientos!$C$2:$C$5000,"Retorno alquiler")-SUMIFS(Movimientos!$F$2:$F$5000,Movimientos!$D$2:$D$5000,$A385,Movimientos!$C$2:$C$5000,"Consumido en evento")-SUMIFS(Movimientos!$F$2:$F$5000,Movimientos!$D$2:$D$5000,$A385,Movimientos!$C$2:$C$5000,"A reparación")</f>
        <v>0</v>
      </c>
      <c r="R385" s="45">
        <f>SUMIFS(Movimientos!$F$2:$F$5000,Movimientos!$D$2:$D$5000,$A385,Movimientos!$C$2:$C$5000,"A reparación")-SUMIFS(Movimientos!$F$2:$F$5000,Movimientos!$D$2:$D$5000,$A385,Movimientos!$C$2:$C$5000,"Retorno reparación")-SUMIFS(Movimientos!$F$2:$F$5000,Movimientos!$D$2:$D$5000,$A385,Movimientos!$C$2:$C$5000,"Baja desde reparación")</f>
        <v>0</v>
      </c>
      <c r="S385" s="45">
        <f>P385-Q385-R385</f>
        <v>2</v>
      </c>
    </row>
    <row r="386" spans="1:19">
      <c r="A386" s="15" t="s">
        <v>1718</v>
      </c>
      <c r="B386" s="15" t="s">
        <v>1719</v>
      </c>
      <c r="C386" s="42" t="s">
        <v>1720</v>
      </c>
      <c r="D386" s="15" t="s">
        <v>101</v>
      </c>
      <c r="E386" s="42" t="s">
        <v>1721</v>
      </c>
      <c r="F386" s="43">
        <v>1</v>
      </c>
      <c r="G386" s="15" t="s">
        <v>246</v>
      </c>
      <c r="H386" s="44">
        <v>0</v>
      </c>
      <c r="I386" s="15" t="s">
        <v>104</v>
      </c>
      <c r="J386" s="15" t="s">
        <v>33</v>
      </c>
      <c r="K386" s="15" t="s">
        <v>35</v>
      </c>
      <c r="L386" s="15"/>
      <c r="M386" s="15" t="s">
        <v>38</v>
      </c>
      <c r="N386" s="15"/>
      <c r="O386" s="15"/>
      <c r="P386" s="45">
        <f>H386+SUMIFS(Movimientos!$F$2:$F$5000,Movimientos!$D$2:$D$5000,$A386,Movimientos!$C$2:$C$5000,"Ingreso inventario")+SUMIFS(Movimientos!$F$2:$F$5000,Movimientos!$D$2:$D$5000,$A386,Movimientos!$C$2:$C$5000,"Ajuste")-SUMIFS(Movimientos!$F$2:$F$5000,Movimientos!$D$2:$D$5000,$A386,Movimientos!$C$2:$C$5000,"Consumido en evento")-SUMIFS(Movimientos!$F$2:$F$5000,Movimientos!$D$2:$D$5000,$A386,Movimientos!$C$2:$C$5000,"Consumo interno")-SUMIFS(Movimientos!$F$2:$F$5000,Movimientos!$D$2:$D$5000,$A386,Movimientos!$C$2:$C$5000,"Baja")-SUMIFS(Movimientos!$F$2:$F$5000,Movimientos!$D$2:$D$5000,$A386,Movimientos!$C$2:$C$5000,"Baja desde reparación")</f>
        <v>0</v>
      </c>
      <c r="Q386" s="45">
        <f>SUMIFS(Movimientos!$F$2:$F$5000,Movimientos!$D$2:$D$5000,$A386,Movimientos!$C$2:$C$5000,"Salida alquiler")-SUMIFS(Movimientos!$F$2:$F$5000,Movimientos!$D$2:$D$5000,$A386,Movimientos!$C$2:$C$5000,"Retorno alquiler")-SUMIFS(Movimientos!$F$2:$F$5000,Movimientos!$D$2:$D$5000,$A386,Movimientos!$C$2:$C$5000,"Consumido en evento")-SUMIFS(Movimientos!$F$2:$F$5000,Movimientos!$D$2:$D$5000,$A386,Movimientos!$C$2:$C$5000,"A reparación")</f>
        <v>0</v>
      </c>
      <c r="R386" s="45">
        <f>SUMIFS(Movimientos!$F$2:$F$5000,Movimientos!$D$2:$D$5000,$A386,Movimientos!$C$2:$C$5000,"A reparación")-SUMIFS(Movimientos!$F$2:$F$5000,Movimientos!$D$2:$D$5000,$A386,Movimientos!$C$2:$C$5000,"Retorno reparación")-SUMIFS(Movimientos!$F$2:$F$5000,Movimientos!$D$2:$D$5000,$A386,Movimientos!$C$2:$C$5000,"Baja desde reparación")</f>
        <v>0</v>
      </c>
      <c r="S386" s="45">
        <f>P386-Q386-R386</f>
        <v>0</v>
      </c>
    </row>
    <row r="387" spans="1:19">
      <c r="A387" s="15" t="s">
        <v>1722</v>
      </c>
      <c r="B387" s="15" t="s">
        <v>1723</v>
      </c>
      <c r="C387" s="42" t="s">
        <v>1724</v>
      </c>
      <c r="D387" s="15" t="s">
        <v>101</v>
      </c>
      <c r="E387" s="42" t="s">
        <v>1725</v>
      </c>
      <c r="F387" s="43">
        <v>1</v>
      </c>
      <c r="G387" s="15" t="s">
        <v>246</v>
      </c>
      <c r="H387" s="44">
        <v>2</v>
      </c>
      <c r="I387" s="15" t="s">
        <v>104</v>
      </c>
      <c r="J387" s="15" t="s">
        <v>33</v>
      </c>
      <c r="K387" s="15" t="s">
        <v>35</v>
      </c>
      <c r="L387" s="15" t="s">
        <v>1726</v>
      </c>
      <c r="M387" s="15" t="s">
        <v>38</v>
      </c>
      <c r="N387" s="15"/>
      <c r="O387" s="15"/>
      <c r="P387" s="45">
        <f>H387+SUMIFS(Movimientos!$F$2:$F$5000,Movimientos!$D$2:$D$5000,$A387,Movimientos!$C$2:$C$5000,"Ingreso inventario")+SUMIFS(Movimientos!$F$2:$F$5000,Movimientos!$D$2:$D$5000,$A387,Movimientos!$C$2:$C$5000,"Ajuste")-SUMIFS(Movimientos!$F$2:$F$5000,Movimientos!$D$2:$D$5000,$A387,Movimientos!$C$2:$C$5000,"Consumido en evento")-SUMIFS(Movimientos!$F$2:$F$5000,Movimientos!$D$2:$D$5000,$A387,Movimientos!$C$2:$C$5000,"Consumo interno")-SUMIFS(Movimientos!$F$2:$F$5000,Movimientos!$D$2:$D$5000,$A387,Movimientos!$C$2:$C$5000,"Baja")-SUMIFS(Movimientos!$F$2:$F$5000,Movimientos!$D$2:$D$5000,$A387,Movimientos!$C$2:$C$5000,"Baja desde reparación")</f>
        <v>2</v>
      </c>
      <c r="Q387" s="45">
        <f>SUMIFS(Movimientos!$F$2:$F$5000,Movimientos!$D$2:$D$5000,$A387,Movimientos!$C$2:$C$5000,"Salida alquiler")-SUMIFS(Movimientos!$F$2:$F$5000,Movimientos!$D$2:$D$5000,$A387,Movimientos!$C$2:$C$5000,"Retorno alquiler")-SUMIFS(Movimientos!$F$2:$F$5000,Movimientos!$D$2:$D$5000,$A387,Movimientos!$C$2:$C$5000,"Consumido en evento")-SUMIFS(Movimientos!$F$2:$F$5000,Movimientos!$D$2:$D$5000,$A387,Movimientos!$C$2:$C$5000,"A reparación")</f>
        <v>0</v>
      </c>
      <c r="R387" s="45">
        <f>SUMIFS(Movimientos!$F$2:$F$5000,Movimientos!$D$2:$D$5000,$A387,Movimientos!$C$2:$C$5000,"A reparación")-SUMIFS(Movimientos!$F$2:$F$5000,Movimientos!$D$2:$D$5000,$A387,Movimientos!$C$2:$C$5000,"Retorno reparación")-SUMIFS(Movimientos!$F$2:$F$5000,Movimientos!$D$2:$D$5000,$A387,Movimientos!$C$2:$C$5000,"Baja desde reparación")</f>
        <v>0</v>
      </c>
      <c r="S387" s="45">
        <f>P387-Q387-R387</f>
        <v>2</v>
      </c>
    </row>
    <row r="388" spans="1:19">
      <c r="A388" s="15" t="s">
        <v>1727</v>
      </c>
      <c r="B388" s="15" t="s">
        <v>1728</v>
      </c>
      <c r="C388" s="42" t="s">
        <v>1729</v>
      </c>
      <c r="D388" s="15" t="s">
        <v>101</v>
      </c>
      <c r="E388" s="42" t="s">
        <v>1730</v>
      </c>
      <c r="F388" s="43">
        <v>1</v>
      </c>
      <c r="G388" s="15" t="s">
        <v>246</v>
      </c>
      <c r="H388" s="44">
        <v>0</v>
      </c>
      <c r="I388" s="15" t="s">
        <v>104</v>
      </c>
      <c r="J388" s="15" t="s">
        <v>33</v>
      </c>
      <c r="K388" s="15" t="s">
        <v>35</v>
      </c>
      <c r="L388" s="15"/>
      <c r="M388" s="15" t="s">
        <v>38</v>
      </c>
      <c r="N388" s="15"/>
      <c r="O388" s="15"/>
      <c r="P388" s="45">
        <f>H388+SUMIFS(Movimientos!$F$2:$F$5000,Movimientos!$D$2:$D$5000,$A388,Movimientos!$C$2:$C$5000,"Ingreso inventario")+SUMIFS(Movimientos!$F$2:$F$5000,Movimientos!$D$2:$D$5000,$A388,Movimientos!$C$2:$C$5000,"Ajuste")-SUMIFS(Movimientos!$F$2:$F$5000,Movimientos!$D$2:$D$5000,$A388,Movimientos!$C$2:$C$5000,"Consumido en evento")-SUMIFS(Movimientos!$F$2:$F$5000,Movimientos!$D$2:$D$5000,$A388,Movimientos!$C$2:$C$5000,"Consumo interno")-SUMIFS(Movimientos!$F$2:$F$5000,Movimientos!$D$2:$D$5000,$A388,Movimientos!$C$2:$C$5000,"Baja")-SUMIFS(Movimientos!$F$2:$F$5000,Movimientos!$D$2:$D$5000,$A388,Movimientos!$C$2:$C$5000,"Baja desde reparación")</f>
        <v>0</v>
      </c>
      <c r="Q388" s="45">
        <f>SUMIFS(Movimientos!$F$2:$F$5000,Movimientos!$D$2:$D$5000,$A388,Movimientos!$C$2:$C$5000,"Salida alquiler")-SUMIFS(Movimientos!$F$2:$F$5000,Movimientos!$D$2:$D$5000,$A388,Movimientos!$C$2:$C$5000,"Retorno alquiler")-SUMIFS(Movimientos!$F$2:$F$5000,Movimientos!$D$2:$D$5000,$A388,Movimientos!$C$2:$C$5000,"Consumido en evento")-SUMIFS(Movimientos!$F$2:$F$5000,Movimientos!$D$2:$D$5000,$A388,Movimientos!$C$2:$C$5000,"A reparación")</f>
        <v>0</v>
      </c>
      <c r="R388" s="45">
        <f>SUMIFS(Movimientos!$F$2:$F$5000,Movimientos!$D$2:$D$5000,$A388,Movimientos!$C$2:$C$5000,"A reparación")-SUMIFS(Movimientos!$F$2:$F$5000,Movimientos!$D$2:$D$5000,$A388,Movimientos!$C$2:$C$5000,"Retorno reparación")-SUMIFS(Movimientos!$F$2:$F$5000,Movimientos!$D$2:$D$5000,$A388,Movimientos!$C$2:$C$5000,"Baja desde reparación")</f>
        <v>0</v>
      </c>
      <c r="S388" s="45">
        <f>P388-Q388-R388</f>
        <v>0</v>
      </c>
    </row>
    <row r="389" spans="1:19">
      <c r="A389" s="15" t="s">
        <v>1731</v>
      </c>
      <c r="B389" s="15" t="s">
        <v>1732</v>
      </c>
      <c r="C389" s="42" t="s">
        <v>1733</v>
      </c>
      <c r="D389" s="15" t="s">
        <v>101</v>
      </c>
      <c r="E389" s="42" t="s">
        <v>1734</v>
      </c>
      <c r="F389" s="43">
        <v>1</v>
      </c>
      <c r="G389" s="15" t="s">
        <v>246</v>
      </c>
      <c r="H389" s="44">
        <v>10</v>
      </c>
      <c r="I389" s="15" t="s">
        <v>104</v>
      </c>
      <c r="J389" s="15" t="s">
        <v>33</v>
      </c>
      <c r="K389" s="15" t="s">
        <v>35</v>
      </c>
      <c r="L389" s="15" t="s">
        <v>1735</v>
      </c>
      <c r="M389" s="15" t="s">
        <v>38</v>
      </c>
      <c r="N389" s="15"/>
      <c r="O389" s="15"/>
      <c r="P389" s="45">
        <f>H389+SUMIFS(Movimientos!$F$2:$F$5000,Movimientos!$D$2:$D$5000,$A389,Movimientos!$C$2:$C$5000,"Ingreso inventario")+SUMIFS(Movimientos!$F$2:$F$5000,Movimientos!$D$2:$D$5000,$A389,Movimientos!$C$2:$C$5000,"Ajuste")-SUMIFS(Movimientos!$F$2:$F$5000,Movimientos!$D$2:$D$5000,$A389,Movimientos!$C$2:$C$5000,"Consumido en evento")-SUMIFS(Movimientos!$F$2:$F$5000,Movimientos!$D$2:$D$5000,$A389,Movimientos!$C$2:$C$5000,"Consumo interno")-SUMIFS(Movimientos!$F$2:$F$5000,Movimientos!$D$2:$D$5000,$A389,Movimientos!$C$2:$C$5000,"Baja")-SUMIFS(Movimientos!$F$2:$F$5000,Movimientos!$D$2:$D$5000,$A389,Movimientos!$C$2:$C$5000,"Baja desde reparación")</f>
        <v>10</v>
      </c>
      <c r="Q389" s="45">
        <f>SUMIFS(Movimientos!$F$2:$F$5000,Movimientos!$D$2:$D$5000,$A389,Movimientos!$C$2:$C$5000,"Salida alquiler")-SUMIFS(Movimientos!$F$2:$F$5000,Movimientos!$D$2:$D$5000,$A389,Movimientos!$C$2:$C$5000,"Retorno alquiler")-SUMIFS(Movimientos!$F$2:$F$5000,Movimientos!$D$2:$D$5000,$A389,Movimientos!$C$2:$C$5000,"Consumido en evento")-SUMIFS(Movimientos!$F$2:$F$5000,Movimientos!$D$2:$D$5000,$A389,Movimientos!$C$2:$C$5000,"A reparación")</f>
        <v>0</v>
      </c>
      <c r="R389" s="45">
        <f>SUMIFS(Movimientos!$F$2:$F$5000,Movimientos!$D$2:$D$5000,$A389,Movimientos!$C$2:$C$5000,"A reparación")-SUMIFS(Movimientos!$F$2:$F$5000,Movimientos!$D$2:$D$5000,$A389,Movimientos!$C$2:$C$5000,"Retorno reparación")-SUMIFS(Movimientos!$F$2:$F$5000,Movimientos!$D$2:$D$5000,$A389,Movimientos!$C$2:$C$5000,"Baja desde reparación")</f>
        <v>0</v>
      </c>
      <c r="S389" s="45">
        <f>P389-Q389-R389</f>
        <v>10</v>
      </c>
    </row>
    <row r="390" spans="1:19">
      <c r="A390" s="15" t="s">
        <v>1736</v>
      </c>
      <c r="B390" s="15" t="s">
        <v>1737</v>
      </c>
      <c r="C390" s="42"/>
      <c r="D390" s="15" t="s">
        <v>101</v>
      </c>
      <c r="E390" s="42"/>
      <c r="F390" s="43">
        <v>1</v>
      </c>
      <c r="G390" s="15" t="s">
        <v>246</v>
      </c>
      <c r="H390" s="44">
        <v>1</v>
      </c>
      <c r="I390" s="15" t="s">
        <v>104</v>
      </c>
      <c r="J390" s="15" t="s">
        <v>33</v>
      </c>
      <c r="K390" s="15" t="s">
        <v>35</v>
      </c>
      <c r="L390" s="15"/>
      <c r="M390" s="15" t="s">
        <v>38</v>
      </c>
      <c r="N390" s="15"/>
      <c r="O390" s="15"/>
      <c r="P390" s="45">
        <f>H390+SUMIFS(Movimientos!$F$2:$F$5000,Movimientos!$D$2:$D$5000,$A390,Movimientos!$C$2:$C$5000,"Ingreso inventario")+SUMIFS(Movimientos!$F$2:$F$5000,Movimientos!$D$2:$D$5000,$A390,Movimientos!$C$2:$C$5000,"Ajuste")-SUMIFS(Movimientos!$F$2:$F$5000,Movimientos!$D$2:$D$5000,$A390,Movimientos!$C$2:$C$5000,"Consumido en evento")-SUMIFS(Movimientos!$F$2:$F$5000,Movimientos!$D$2:$D$5000,$A390,Movimientos!$C$2:$C$5000,"Consumo interno")-SUMIFS(Movimientos!$F$2:$F$5000,Movimientos!$D$2:$D$5000,$A390,Movimientos!$C$2:$C$5000,"Baja")-SUMIFS(Movimientos!$F$2:$F$5000,Movimientos!$D$2:$D$5000,$A390,Movimientos!$C$2:$C$5000,"Baja desde reparación")</f>
        <v>1</v>
      </c>
      <c r="Q390" s="45">
        <f>SUMIFS(Movimientos!$F$2:$F$5000,Movimientos!$D$2:$D$5000,$A390,Movimientos!$C$2:$C$5000,"Salida alquiler")-SUMIFS(Movimientos!$F$2:$F$5000,Movimientos!$D$2:$D$5000,$A390,Movimientos!$C$2:$C$5000,"Retorno alquiler")-SUMIFS(Movimientos!$F$2:$F$5000,Movimientos!$D$2:$D$5000,$A390,Movimientos!$C$2:$C$5000,"Consumido en evento")-SUMIFS(Movimientos!$F$2:$F$5000,Movimientos!$D$2:$D$5000,$A390,Movimientos!$C$2:$C$5000,"A reparación")</f>
        <v>0</v>
      </c>
      <c r="R390" s="45">
        <f>SUMIFS(Movimientos!$F$2:$F$5000,Movimientos!$D$2:$D$5000,$A390,Movimientos!$C$2:$C$5000,"A reparación")-SUMIFS(Movimientos!$F$2:$F$5000,Movimientos!$D$2:$D$5000,$A390,Movimientos!$C$2:$C$5000,"Retorno reparación")-SUMIFS(Movimientos!$F$2:$F$5000,Movimientos!$D$2:$D$5000,$A390,Movimientos!$C$2:$C$5000,"Baja desde reparación")</f>
        <v>0</v>
      </c>
      <c r="S390" s="45">
        <f>P390-Q390-R390</f>
        <v>1</v>
      </c>
    </row>
    <row r="391" spans="1:19">
      <c r="A391" s="15" t="s">
        <v>1738</v>
      </c>
      <c r="B391" s="15" t="s">
        <v>1739</v>
      </c>
      <c r="C391" s="42" t="s">
        <v>1740</v>
      </c>
      <c r="D391" s="15" t="s">
        <v>101</v>
      </c>
      <c r="E391" s="42" t="s">
        <v>1741</v>
      </c>
      <c r="F391" s="43">
        <v>1</v>
      </c>
      <c r="G391" s="15" t="s">
        <v>246</v>
      </c>
      <c r="H391" s="44">
        <v>2</v>
      </c>
      <c r="I391" s="15" t="s">
        <v>104</v>
      </c>
      <c r="J391" s="15" t="s">
        <v>33</v>
      </c>
      <c r="K391" s="15" t="s">
        <v>35</v>
      </c>
      <c r="L391" s="15" t="s">
        <v>1742</v>
      </c>
      <c r="M391" s="15" t="s">
        <v>38</v>
      </c>
      <c r="N391" s="15"/>
      <c r="O391" s="15"/>
      <c r="P391" s="45">
        <f>H391+SUMIFS(Movimientos!$F$2:$F$5000,Movimientos!$D$2:$D$5000,$A391,Movimientos!$C$2:$C$5000,"Ingreso inventario")+SUMIFS(Movimientos!$F$2:$F$5000,Movimientos!$D$2:$D$5000,$A391,Movimientos!$C$2:$C$5000,"Ajuste")-SUMIFS(Movimientos!$F$2:$F$5000,Movimientos!$D$2:$D$5000,$A391,Movimientos!$C$2:$C$5000,"Consumido en evento")-SUMIFS(Movimientos!$F$2:$F$5000,Movimientos!$D$2:$D$5000,$A391,Movimientos!$C$2:$C$5000,"Consumo interno")-SUMIFS(Movimientos!$F$2:$F$5000,Movimientos!$D$2:$D$5000,$A391,Movimientos!$C$2:$C$5000,"Baja")-SUMIFS(Movimientos!$F$2:$F$5000,Movimientos!$D$2:$D$5000,$A391,Movimientos!$C$2:$C$5000,"Baja desde reparación")</f>
        <v>2</v>
      </c>
      <c r="Q391" s="45">
        <f>SUMIFS(Movimientos!$F$2:$F$5000,Movimientos!$D$2:$D$5000,$A391,Movimientos!$C$2:$C$5000,"Salida alquiler")-SUMIFS(Movimientos!$F$2:$F$5000,Movimientos!$D$2:$D$5000,$A391,Movimientos!$C$2:$C$5000,"Retorno alquiler")-SUMIFS(Movimientos!$F$2:$F$5000,Movimientos!$D$2:$D$5000,$A391,Movimientos!$C$2:$C$5000,"Consumido en evento")-SUMIFS(Movimientos!$F$2:$F$5000,Movimientos!$D$2:$D$5000,$A391,Movimientos!$C$2:$C$5000,"A reparación")</f>
        <v>0</v>
      </c>
      <c r="R391" s="45">
        <f>SUMIFS(Movimientos!$F$2:$F$5000,Movimientos!$D$2:$D$5000,$A391,Movimientos!$C$2:$C$5000,"A reparación")-SUMIFS(Movimientos!$F$2:$F$5000,Movimientos!$D$2:$D$5000,$A391,Movimientos!$C$2:$C$5000,"Retorno reparación")-SUMIFS(Movimientos!$F$2:$F$5000,Movimientos!$D$2:$D$5000,$A391,Movimientos!$C$2:$C$5000,"Baja desde reparación")</f>
        <v>0</v>
      </c>
      <c r="S391" s="45">
        <f>P391-Q391-R391</f>
        <v>2</v>
      </c>
    </row>
    <row r="392" spans="1:19">
      <c r="A392" s="15" t="s">
        <v>1743</v>
      </c>
      <c r="B392" s="15" t="s">
        <v>1744</v>
      </c>
      <c r="C392" s="42" t="s">
        <v>1745</v>
      </c>
      <c r="D392" s="15" t="s">
        <v>101</v>
      </c>
      <c r="E392" s="42" t="s">
        <v>1746</v>
      </c>
      <c r="F392" s="43">
        <v>1</v>
      </c>
      <c r="G392" s="15" t="s">
        <v>246</v>
      </c>
      <c r="H392" s="44">
        <v>0</v>
      </c>
      <c r="I392" s="15" t="s">
        <v>104</v>
      </c>
      <c r="J392" s="15" t="s">
        <v>33</v>
      </c>
      <c r="K392" s="15" t="s">
        <v>35</v>
      </c>
      <c r="L392" s="15"/>
      <c r="M392" s="15" t="s">
        <v>38</v>
      </c>
      <c r="N392" s="15"/>
      <c r="O392" s="15"/>
      <c r="P392" s="45">
        <f>H392+SUMIFS(Movimientos!$F$2:$F$5000,Movimientos!$D$2:$D$5000,$A392,Movimientos!$C$2:$C$5000,"Ingreso inventario")+SUMIFS(Movimientos!$F$2:$F$5000,Movimientos!$D$2:$D$5000,$A392,Movimientos!$C$2:$C$5000,"Ajuste")-SUMIFS(Movimientos!$F$2:$F$5000,Movimientos!$D$2:$D$5000,$A392,Movimientos!$C$2:$C$5000,"Consumido en evento")-SUMIFS(Movimientos!$F$2:$F$5000,Movimientos!$D$2:$D$5000,$A392,Movimientos!$C$2:$C$5000,"Consumo interno")-SUMIFS(Movimientos!$F$2:$F$5000,Movimientos!$D$2:$D$5000,$A392,Movimientos!$C$2:$C$5000,"Baja")-SUMIFS(Movimientos!$F$2:$F$5000,Movimientos!$D$2:$D$5000,$A392,Movimientos!$C$2:$C$5000,"Baja desde reparación")</f>
        <v>0</v>
      </c>
      <c r="Q392" s="45">
        <f>SUMIFS(Movimientos!$F$2:$F$5000,Movimientos!$D$2:$D$5000,$A392,Movimientos!$C$2:$C$5000,"Salida alquiler")-SUMIFS(Movimientos!$F$2:$F$5000,Movimientos!$D$2:$D$5000,$A392,Movimientos!$C$2:$C$5000,"Retorno alquiler")-SUMIFS(Movimientos!$F$2:$F$5000,Movimientos!$D$2:$D$5000,$A392,Movimientos!$C$2:$C$5000,"Consumido en evento")-SUMIFS(Movimientos!$F$2:$F$5000,Movimientos!$D$2:$D$5000,$A392,Movimientos!$C$2:$C$5000,"A reparación")</f>
        <v>0</v>
      </c>
      <c r="R392" s="45">
        <f>SUMIFS(Movimientos!$F$2:$F$5000,Movimientos!$D$2:$D$5000,$A392,Movimientos!$C$2:$C$5000,"A reparación")-SUMIFS(Movimientos!$F$2:$F$5000,Movimientos!$D$2:$D$5000,$A392,Movimientos!$C$2:$C$5000,"Retorno reparación")-SUMIFS(Movimientos!$F$2:$F$5000,Movimientos!$D$2:$D$5000,$A392,Movimientos!$C$2:$C$5000,"Baja desde reparación")</f>
        <v>0</v>
      </c>
      <c r="S392" s="45">
        <f>P392-Q392-R392</f>
        <v>0</v>
      </c>
    </row>
    <row r="393" spans="1:19">
      <c r="A393" s="15" t="s">
        <v>1747</v>
      </c>
      <c r="B393" s="15" t="s">
        <v>1748</v>
      </c>
      <c r="C393" s="42" t="s">
        <v>1749</v>
      </c>
      <c r="D393" s="15" t="s">
        <v>101</v>
      </c>
      <c r="E393" s="42" t="s">
        <v>1750</v>
      </c>
      <c r="F393" s="43">
        <v>1</v>
      </c>
      <c r="G393" s="15" t="s">
        <v>163</v>
      </c>
      <c r="H393" s="44">
        <v>4</v>
      </c>
      <c r="I393" s="15" t="s">
        <v>104</v>
      </c>
      <c r="J393" s="15" t="s">
        <v>33</v>
      </c>
      <c r="K393" s="15" t="s">
        <v>35</v>
      </c>
      <c r="L393" s="15"/>
      <c r="M393" s="15" t="s">
        <v>38</v>
      </c>
      <c r="N393" s="15"/>
      <c r="O393" s="15"/>
      <c r="P393" s="45">
        <f>H393+SUMIFS(Movimientos!$F$2:$F$5000,Movimientos!$D$2:$D$5000,$A393,Movimientos!$C$2:$C$5000,"Ingreso inventario")+SUMIFS(Movimientos!$F$2:$F$5000,Movimientos!$D$2:$D$5000,$A393,Movimientos!$C$2:$C$5000,"Ajuste")-SUMIFS(Movimientos!$F$2:$F$5000,Movimientos!$D$2:$D$5000,$A393,Movimientos!$C$2:$C$5000,"Consumido en evento")-SUMIFS(Movimientos!$F$2:$F$5000,Movimientos!$D$2:$D$5000,$A393,Movimientos!$C$2:$C$5000,"Consumo interno")-SUMIFS(Movimientos!$F$2:$F$5000,Movimientos!$D$2:$D$5000,$A393,Movimientos!$C$2:$C$5000,"Baja")-SUMIFS(Movimientos!$F$2:$F$5000,Movimientos!$D$2:$D$5000,$A393,Movimientos!$C$2:$C$5000,"Baja desde reparación")</f>
        <v>4</v>
      </c>
      <c r="Q393" s="45">
        <f>SUMIFS(Movimientos!$F$2:$F$5000,Movimientos!$D$2:$D$5000,$A393,Movimientos!$C$2:$C$5000,"Salida alquiler")-SUMIFS(Movimientos!$F$2:$F$5000,Movimientos!$D$2:$D$5000,$A393,Movimientos!$C$2:$C$5000,"Retorno alquiler")-SUMIFS(Movimientos!$F$2:$F$5000,Movimientos!$D$2:$D$5000,$A393,Movimientos!$C$2:$C$5000,"Consumido en evento")-SUMIFS(Movimientos!$F$2:$F$5000,Movimientos!$D$2:$D$5000,$A393,Movimientos!$C$2:$C$5000,"A reparación")</f>
        <v>0</v>
      </c>
      <c r="R393" s="45">
        <f>SUMIFS(Movimientos!$F$2:$F$5000,Movimientos!$D$2:$D$5000,$A393,Movimientos!$C$2:$C$5000,"A reparación")-SUMIFS(Movimientos!$F$2:$F$5000,Movimientos!$D$2:$D$5000,$A393,Movimientos!$C$2:$C$5000,"Retorno reparación")-SUMIFS(Movimientos!$F$2:$F$5000,Movimientos!$D$2:$D$5000,$A393,Movimientos!$C$2:$C$5000,"Baja desde reparación")</f>
        <v>0</v>
      </c>
      <c r="S393" s="45">
        <f>P393-Q393-R393</f>
        <v>4</v>
      </c>
    </row>
    <row r="394" spans="1:19">
      <c r="A394" s="15" t="s">
        <v>1751</v>
      </c>
      <c r="B394" s="15" t="s">
        <v>1752</v>
      </c>
      <c r="C394" s="42" t="s">
        <v>1753</v>
      </c>
      <c r="D394" s="15" t="s">
        <v>101</v>
      </c>
      <c r="E394" s="42" t="s">
        <v>1754</v>
      </c>
      <c r="F394" s="43">
        <v>1</v>
      </c>
      <c r="G394" s="15" t="s">
        <v>1755</v>
      </c>
      <c r="H394" s="44">
        <v>123</v>
      </c>
      <c r="I394" s="15" t="s">
        <v>104</v>
      </c>
      <c r="J394" s="15" t="s">
        <v>33</v>
      </c>
      <c r="K394" s="15" t="s">
        <v>35</v>
      </c>
      <c r="L394" s="15" t="s">
        <v>1756</v>
      </c>
      <c r="M394" s="15" t="s">
        <v>38</v>
      </c>
      <c r="N394" s="15"/>
      <c r="O394" s="15"/>
      <c r="P394" s="45">
        <f>H394+SUMIFS(Movimientos!$F$2:$F$5000,Movimientos!$D$2:$D$5000,$A394,Movimientos!$C$2:$C$5000,"Ingreso inventario")+SUMIFS(Movimientos!$F$2:$F$5000,Movimientos!$D$2:$D$5000,$A394,Movimientos!$C$2:$C$5000,"Ajuste")-SUMIFS(Movimientos!$F$2:$F$5000,Movimientos!$D$2:$D$5000,$A394,Movimientos!$C$2:$C$5000,"Consumido en evento")-SUMIFS(Movimientos!$F$2:$F$5000,Movimientos!$D$2:$D$5000,$A394,Movimientos!$C$2:$C$5000,"Consumo interno")-SUMIFS(Movimientos!$F$2:$F$5000,Movimientos!$D$2:$D$5000,$A394,Movimientos!$C$2:$C$5000,"Baja")-SUMIFS(Movimientos!$F$2:$F$5000,Movimientos!$D$2:$D$5000,$A394,Movimientos!$C$2:$C$5000,"Baja desde reparación")</f>
        <v>123</v>
      </c>
      <c r="Q394" s="45">
        <f>SUMIFS(Movimientos!$F$2:$F$5000,Movimientos!$D$2:$D$5000,$A394,Movimientos!$C$2:$C$5000,"Salida alquiler")-SUMIFS(Movimientos!$F$2:$F$5000,Movimientos!$D$2:$D$5000,$A394,Movimientos!$C$2:$C$5000,"Retorno alquiler")-SUMIFS(Movimientos!$F$2:$F$5000,Movimientos!$D$2:$D$5000,$A394,Movimientos!$C$2:$C$5000,"Consumido en evento")-SUMIFS(Movimientos!$F$2:$F$5000,Movimientos!$D$2:$D$5000,$A394,Movimientos!$C$2:$C$5000,"A reparación")</f>
        <v>0</v>
      </c>
      <c r="R394" s="45">
        <f>SUMIFS(Movimientos!$F$2:$F$5000,Movimientos!$D$2:$D$5000,$A394,Movimientos!$C$2:$C$5000,"A reparación")-SUMIFS(Movimientos!$F$2:$F$5000,Movimientos!$D$2:$D$5000,$A394,Movimientos!$C$2:$C$5000,"Retorno reparación")-SUMIFS(Movimientos!$F$2:$F$5000,Movimientos!$D$2:$D$5000,$A394,Movimientos!$C$2:$C$5000,"Baja desde reparación")</f>
        <v>0</v>
      </c>
      <c r="S394" s="45">
        <f>P394-Q394-R394</f>
        <v>123</v>
      </c>
    </row>
    <row r="395" spans="1:19">
      <c r="A395" s="15" t="s">
        <v>1757</v>
      </c>
      <c r="B395" s="15" t="s">
        <v>1758</v>
      </c>
      <c r="C395" s="42" t="s">
        <v>1759</v>
      </c>
      <c r="D395" s="15" t="s">
        <v>101</v>
      </c>
      <c r="E395" s="42" t="s">
        <v>1760</v>
      </c>
      <c r="F395" s="43">
        <v>1</v>
      </c>
      <c r="G395" s="15" t="s">
        <v>1755</v>
      </c>
      <c r="H395" s="44">
        <v>9</v>
      </c>
      <c r="I395" s="15" t="s">
        <v>104</v>
      </c>
      <c r="J395" s="15" t="s">
        <v>33</v>
      </c>
      <c r="K395" s="15" t="s">
        <v>35</v>
      </c>
      <c r="L395" s="15" t="s">
        <v>1761</v>
      </c>
      <c r="M395" s="15" t="s">
        <v>38</v>
      </c>
      <c r="N395" s="15"/>
      <c r="O395" s="15"/>
      <c r="P395" s="45">
        <f>H395+SUMIFS(Movimientos!$F$2:$F$5000,Movimientos!$D$2:$D$5000,$A395,Movimientos!$C$2:$C$5000,"Ingreso inventario")+SUMIFS(Movimientos!$F$2:$F$5000,Movimientos!$D$2:$D$5000,$A395,Movimientos!$C$2:$C$5000,"Ajuste")-SUMIFS(Movimientos!$F$2:$F$5000,Movimientos!$D$2:$D$5000,$A395,Movimientos!$C$2:$C$5000,"Consumido en evento")-SUMIFS(Movimientos!$F$2:$F$5000,Movimientos!$D$2:$D$5000,$A395,Movimientos!$C$2:$C$5000,"Consumo interno")-SUMIFS(Movimientos!$F$2:$F$5000,Movimientos!$D$2:$D$5000,$A395,Movimientos!$C$2:$C$5000,"Baja")-SUMIFS(Movimientos!$F$2:$F$5000,Movimientos!$D$2:$D$5000,$A395,Movimientos!$C$2:$C$5000,"Baja desde reparación")</f>
        <v>9</v>
      </c>
      <c r="Q395" s="45">
        <f>SUMIFS(Movimientos!$F$2:$F$5000,Movimientos!$D$2:$D$5000,$A395,Movimientos!$C$2:$C$5000,"Salida alquiler")-SUMIFS(Movimientos!$F$2:$F$5000,Movimientos!$D$2:$D$5000,$A395,Movimientos!$C$2:$C$5000,"Retorno alquiler")-SUMIFS(Movimientos!$F$2:$F$5000,Movimientos!$D$2:$D$5000,$A395,Movimientos!$C$2:$C$5000,"Consumido en evento")-SUMIFS(Movimientos!$F$2:$F$5000,Movimientos!$D$2:$D$5000,$A395,Movimientos!$C$2:$C$5000,"A reparación")</f>
        <v>0</v>
      </c>
      <c r="R395" s="45">
        <f>SUMIFS(Movimientos!$F$2:$F$5000,Movimientos!$D$2:$D$5000,$A395,Movimientos!$C$2:$C$5000,"A reparación")-SUMIFS(Movimientos!$F$2:$F$5000,Movimientos!$D$2:$D$5000,$A395,Movimientos!$C$2:$C$5000,"Retorno reparación")-SUMIFS(Movimientos!$F$2:$F$5000,Movimientos!$D$2:$D$5000,$A395,Movimientos!$C$2:$C$5000,"Baja desde reparación")</f>
        <v>0</v>
      </c>
      <c r="S395" s="45">
        <f>P395-Q395-R395</f>
        <v>9</v>
      </c>
    </row>
    <row r="396" spans="1:19">
      <c r="A396" s="15" t="s">
        <v>1762</v>
      </c>
      <c r="B396" s="15" t="s">
        <v>1763</v>
      </c>
      <c r="C396" s="42" t="s">
        <v>1764</v>
      </c>
      <c r="D396" s="15" t="s">
        <v>101</v>
      </c>
      <c r="E396" s="42" t="s">
        <v>1765</v>
      </c>
      <c r="F396" s="43">
        <v>1</v>
      </c>
      <c r="G396" s="15" t="s">
        <v>1755</v>
      </c>
      <c r="H396" s="44">
        <v>123</v>
      </c>
      <c r="I396" s="15" t="s">
        <v>104</v>
      </c>
      <c r="J396" s="15" t="s">
        <v>33</v>
      </c>
      <c r="K396" s="15" t="s">
        <v>35</v>
      </c>
      <c r="L396" s="15" t="s">
        <v>1766</v>
      </c>
      <c r="M396" s="15" t="s">
        <v>38</v>
      </c>
      <c r="N396" s="15"/>
      <c r="O396" s="15"/>
      <c r="P396" s="45">
        <f>H396+SUMIFS(Movimientos!$F$2:$F$5000,Movimientos!$D$2:$D$5000,$A396,Movimientos!$C$2:$C$5000,"Ingreso inventario")+SUMIFS(Movimientos!$F$2:$F$5000,Movimientos!$D$2:$D$5000,$A396,Movimientos!$C$2:$C$5000,"Ajuste")-SUMIFS(Movimientos!$F$2:$F$5000,Movimientos!$D$2:$D$5000,$A396,Movimientos!$C$2:$C$5000,"Consumido en evento")-SUMIFS(Movimientos!$F$2:$F$5000,Movimientos!$D$2:$D$5000,$A396,Movimientos!$C$2:$C$5000,"Consumo interno")-SUMIFS(Movimientos!$F$2:$F$5000,Movimientos!$D$2:$D$5000,$A396,Movimientos!$C$2:$C$5000,"Baja")-SUMIFS(Movimientos!$F$2:$F$5000,Movimientos!$D$2:$D$5000,$A396,Movimientos!$C$2:$C$5000,"Baja desde reparación")</f>
        <v>123</v>
      </c>
      <c r="Q396" s="45">
        <f>SUMIFS(Movimientos!$F$2:$F$5000,Movimientos!$D$2:$D$5000,$A396,Movimientos!$C$2:$C$5000,"Salida alquiler")-SUMIFS(Movimientos!$F$2:$F$5000,Movimientos!$D$2:$D$5000,$A396,Movimientos!$C$2:$C$5000,"Retorno alquiler")-SUMIFS(Movimientos!$F$2:$F$5000,Movimientos!$D$2:$D$5000,$A396,Movimientos!$C$2:$C$5000,"Consumido en evento")-SUMIFS(Movimientos!$F$2:$F$5000,Movimientos!$D$2:$D$5000,$A396,Movimientos!$C$2:$C$5000,"A reparación")</f>
        <v>0</v>
      </c>
      <c r="R396" s="45">
        <f>SUMIFS(Movimientos!$F$2:$F$5000,Movimientos!$D$2:$D$5000,$A396,Movimientos!$C$2:$C$5000,"A reparación")-SUMIFS(Movimientos!$F$2:$F$5000,Movimientos!$D$2:$D$5000,$A396,Movimientos!$C$2:$C$5000,"Retorno reparación")-SUMIFS(Movimientos!$F$2:$F$5000,Movimientos!$D$2:$D$5000,$A396,Movimientos!$C$2:$C$5000,"Baja desde reparación")</f>
        <v>0</v>
      </c>
      <c r="S396" s="45">
        <f>P396-Q396-R396</f>
        <v>123</v>
      </c>
    </row>
    <row r="397" spans="1:19">
      <c r="A397" s="15" t="s">
        <v>1767</v>
      </c>
      <c r="B397" s="15" t="s">
        <v>1768</v>
      </c>
      <c r="C397" s="42" t="s">
        <v>1769</v>
      </c>
      <c r="D397" s="15" t="s">
        <v>101</v>
      </c>
      <c r="E397" s="42" t="s">
        <v>1770</v>
      </c>
      <c r="F397" s="43">
        <v>1</v>
      </c>
      <c r="G397" s="15" t="s">
        <v>158</v>
      </c>
      <c r="H397" s="44">
        <v>0</v>
      </c>
      <c r="I397" s="15" t="s">
        <v>104</v>
      </c>
      <c r="J397" s="15" t="s">
        <v>33</v>
      </c>
      <c r="K397" s="15" t="s">
        <v>35</v>
      </c>
      <c r="L397" s="15" t="s">
        <v>1771</v>
      </c>
      <c r="M397" s="15" t="s">
        <v>38</v>
      </c>
      <c r="N397" s="15"/>
      <c r="O397" s="15"/>
      <c r="P397" s="45">
        <f>H397+SUMIFS(Movimientos!$F$2:$F$5000,Movimientos!$D$2:$D$5000,$A397,Movimientos!$C$2:$C$5000,"Ingreso inventario")+SUMIFS(Movimientos!$F$2:$F$5000,Movimientos!$D$2:$D$5000,$A397,Movimientos!$C$2:$C$5000,"Ajuste")-SUMIFS(Movimientos!$F$2:$F$5000,Movimientos!$D$2:$D$5000,$A397,Movimientos!$C$2:$C$5000,"Consumido en evento")-SUMIFS(Movimientos!$F$2:$F$5000,Movimientos!$D$2:$D$5000,$A397,Movimientos!$C$2:$C$5000,"Consumo interno")-SUMIFS(Movimientos!$F$2:$F$5000,Movimientos!$D$2:$D$5000,$A397,Movimientos!$C$2:$C$5000,"Baja")-SUMIFS(Movimientos!$F$2:$F$5000,Movimientos!$D$2:$D$5000,$A397,Movimientos!$C$2:$C$5000,"Baja desde reparación")</f>
        <v>0</v>
      </c>
      <c r="Q397" s="45">
        <f>SUMIFS(Movimientos!$F$2:$F$5000,Movimientos!$D$2:$D$5000,$A397,Movimientos!$C$2:$C$5000,"Salida alquiler")-SUMIFS(Movimientos!$F$2:$F$5000,Movimientos!$D$2:$D$5000,$A397,Movimientos!$C$2:$C$5000,"Retorno alquiler")-SUMIFS(Movimientos!$F$2:$F$5000,Movimientos!$D$2:$D$5000,$A397,Movimientos!$C$2:$C$5000,"Consumido en evento")-SUMIFS(Movimientos!$F$2:$F$5000,Movimientos!$D$2:$D$5000,$A397,Movimientos!$C$2:$C$5000,"A reparación")</f>
        <v>0</v>
      </c>
      <c r="R397" s="45">
        <f>SUMIFS(Movimientos!$F$2:$F$5000,Movimientos!$D$2:$D$5000,$A397,Movimientos!$C$2:$C$5000,"A reparación")-SUMIFS(Movimientos!$F$2:$F$5000,Movimientos!$D$2:$D$5000,$A397,Movimientos!$C$2:$C$5000,"Retorno reparación")-SUMIFS(Movimientos!$F$2:$F$5000,Movimientos!$D$2:$D$5000,$A397,Movimientos!$C$2:$C$5000,"Baja desde reparación")</f>
        <v>0</v>
      </c>
      <c r="S397" s="45">
        <f>P397-Q397-R397</f>
        <v>0</v>
      </c>
    </row>
    <row r="398" spans="1:19">
      <c r="A398" s="15" t="s">
        <v>1772</v>
      </c>
      <c r="B398" s="15" t="s">
        <v>1773</v>
      </c>
      <c r="C398" s="42" t="s">
        <v>1774</v>
      </c>
      <c r="D398" s="15" t="s">
        <v>101</v>
      </c>
      <c r="E398" s="42" t="s">
        <v>1775</v>
      </c>
      <c r="F398" s="43">
        <v>1</v>
      </c>
      <c r="G398" s="15" t="s">
        <v>158</v>
      </c>
      <c r="H398" s="44">
        <v>0</v>
      </c>
      <c r="I398" s="15" t="s">
        <v>104</v>
      </c>
      <c r="J398" s="15" t="s">
        <v>33</v>
      </c>
      <c r="K398" s="15" t="s">
        <v>35</v>
      </c>
      <c r="L398" s="15" t="s">
        <v>1776</v>
      </c>
      <c r="M398" s="15" t="s">
        <v>38</v>
      </c>
      <c r="N398" s="15"/>
      <c r="O398" s="15"/>
      <c r="P398" s="45">
        <f>H398+SUMIFS(Movimientos!$F$2:$F$5000,Movimientos!$D$2:$D$5000,$A398,Movimientos!$C$2:$C$5000,"Ingreso inventario")+SUMIFS(Movimientos!$F$2:$F$5000,Movimientos!$D$2:$D$5000,$A398,Movimientos!$C$2:$C$5000,"Ajuste")-SUMIFS(Movimientos!$F$2:$F$5000,Movimientos!$D$2:$D$5000,$A398,Movimientos!$C$2:$C$5000,"Consumido en evento")-SUMIFS(Movimientos!$F$2:$F$5000,Movimientos!$D$2:$D$5000,$A398,Movimientos!$C$2:$C$5000,"Consumo interno")-SUMIFS(Movimientos!$F$2:$F$5000,Movimientos!$D$2:$D$5000,$A398,Movimientos!$C$2:$C$5000,"Baja")-SUMIFS(Movimientos!$F$2:$F$5000,Movimientos!$D$2:$D$5000,$A398,Movimientos!$C$2:$C$5000,"Baja desde reparación")</f>
        <v>0</v>
      </c>
      <c r="Q398" s="45">
        <f>SUMIFS(Movimientos!$F$2:$F$5000,Movimientos!$D$2:$D$5000,$A398,Movimientos!$C$2:$C$5000,"Salida alquiler")-SUMIFS(Movimientos!$F$2:$F$5000,Movimientos!$D$2:$D$5000,$A398,Movimientos!$C$2:$C$5000,"Retorno alquiler")-SUMIFS(Movimientos!$F$2:$F$5000,Movimientos!$D$2:$D$5000,$A398,Movimientos!$C$2:$C$5000,"Consumido en evento")-SUMIFS(Movimientos!$F$2:$F$5000,Movimientos!$D$2:$D$5000,$A398,Movimientos!$C$2:$C$5000,"A reparación")</f>
        <v>0</v>
      </c>
      <c r="R398" s="45">
        <f>SUMIFS(Movimientos!$F$2:$F$5000,Movimientos!$D$2:$D$5000,$A398,Movimientos!$C$2:$C$5000,"A reparación")-SUMIFS(Movimientos!$F$2:$F$5000,Movimientos!$D$2:$D$5000,$A398,Movimientos!$C$2:$C$5000,"Retorno reparación")-SUMIFS(Movimientos!$F$2:$F$5000,Movimientos!$D$2:$D$5000,$A398,Movimientos!$C$2:$C$5000,"Baja desde reparación")</f>
        <v>0</v>
      </c>
      <c r="S398" s="45">
        <f>P398-Q398-R398</f>
        <v>0</v>
      </c>
    </row>
    <row r="399" spans="1:19">
      <c r="A399" s="15" t="s">
        <v>1777</v>
      </c>
      <c r="B399" s="15" t="s">
        <v>1778</v>
      </c>
      <c r="C399" s="42" t="s">
        <v>1779</v>
      </c>
      <c r="D399" s="15" t="s">
        <v>101</v>
      </c>
      <c r="E399" s="42" t="s">
        <v>1780</v>
      </c>
      <c r="F399" s="43">
        <v>1</v>
      </c>
      <c r="G399" s="15" t="s">
        <v>262</v>
      </c>
      <c r="H399" s="44">
        <v>2</v>
      </c>
      <c r="I399" s="15" t="s">
        <v>104</v>
      </c>
      <c r="J399" s="15" t="s">
        <v>33</v>
      </c>
      <c r="K399" s="15" t="s">
        <v>35</v>
      </c>
      <c r="L399" s="15" t="s">
        <v>1781</v>
      </c>
      <c r="M399" s="15" t="s">
        <v>38</v>
      </c>
      <c r="N399" s="15"/>
      <c r="O399" s="15"/>
      <c r="P399" s="45">
        <f>H399+SUMIFS(Movimientos!$F$2:$F$5000,Movimientos!$D$2:$D$5000,$A399,Movimientos!$C$2:$C$5000,"Ingreso inventario")+SUMIFS(Movimientos!$F$2:$F$5000,Movimientos!$D$2:$D$5000,$A399,Movimientos!$C$2:$C$5000,"Ajuste")-SUMIFS(Movimientos!$F$2:$F$5000,Movimientos!$D$2:$D$5000,$A399,Movimientos!$C$2:$C$5000,"Consumido en evento")-SUMIFS(Movimientos!$F$2:$F$5000,Movimientos!$D$2:$D$5000,$A399,Movimientos!$C$2:$C$5000,"Consumo interno")-SUMIFS(Movimientos!$F$2:$F$5000,Movimientos!$D$2:$D$5000,$A399,Movimientos!$C$2:$C$5000,"Baja")-SUMIFS(Movimientos!$F$2:$F$5000,Movimientos!$D$2:$D$5000,$A399,Movimientos!$C$2:$C$5000,"Baja desde reparación")</f>
        <v>2</v>
      </c>
      <c r="Q399" s="45">
        <f>SUMIFS(Movimientos!$F$2:$F$5000,Movimientos!$D$2:$D$5000,$A399,Movimientos!$C$2:$C$5000,"Salida alquiler")-SUMIFS(Movimientos!$F$2:$F$5000,Movimientos!$D$2:$D$5000,$A399,Movimientos!$C$2:$C$5000,"Retorno alquiler")-SUMIFS(Movimientos!$F$2:$F$5000,Movimientos!$D$2:$D$5000,$A399,Movimientos!$C$2:$C$5000,"Consumido en evento")-SUMIFS(Movimientos!$F$2:$F$5000,Movimientos!$D$2:$D$5000,$A399,Movimientos!$C$2:$C$5000,"A reparación")</f>
        <v>0</v>
      </c>
      <c r="R399" s="45">
        <f>SUMIFS(Movimientos!$F$2:$F$5000,Movimientos!$D$2:$D$5000,$A399,Movimientos!$C$2:$C$5000,"A reparación")-SUMIFS(Movimientos!$F$2:$F$5000,Movimientos!$D$2:$D$5000,$A399,Movimientos!$C$2:$C$5000,"Retorno reparación")-SUMIFS(Movimientos!$F$2:$F$5000,Movimientos!$D$2:$D$5000,$A399,Movimientos!$C$2:$C$5000,"Baja desde reparación")</f>
        <v>0</v>
      </c>
      <c r="S399" s="45">
        <f>P399-Q399-R399</f>
        <v>2</v>
      </c>
    </row>
    <row r="400" spans="1:19">
      <c r="A400" s="15" t="s">
        <v>1782</v>
      </c>
      <c r="B400" s="15" t="s">
        <v>1783</v>
      </c>
      <c r="C400" s="42" t="s">
        <v>1784</v>
      </c>
      <c r="D400" s="15" t="s">
        <v>101</v>
      </c>
      <c r="E400" s="42" t="s">
        <v>1785</v>
      </c>
      <c r="F400" s="43">
        <v>1</v>
      </c>
      <c r="G400" s="15" t="s">
        <v>654</v>
      </c>
      <c r="H400" s="44">
        <v>5</v>
      </c>
      <c r="I400" s="15" t="s">
        <v>655</v>
      </c>
      <c r="J400" s="15" t="s">
        <v>656</v>
      </c>
      <c r="K400" s="15" t="s">
        <v>35</v>
      </c>
      <c r="L400" s="15" t="s">
        <v>1786</v>
      </c>
      <c r="M400" s="15" t="s">
        <v>38</v>
      </c>
      <c r="N400" s="15"/>
      <c r="O400" s="15"/>
      <c r="P400" s="45">
        <f>H400+SUMIFS(Movimientos!$F$2:$F$5000,Movimientos!$D$2:$D$5000,$A400,Movimientos!$C$2:$C$5000,"Ingreso inventario")+SUMIFS(Movimientos!$F$2:$F$5000,Movimientos!$D$2:$D$5000,$A400,Movimientos!$C$2:$C$5000,"Ajuste")-SUMIFS(Movimientos!$F$2:$F$5000,Movimientos!$D$2:$D$5000,$A400,Movimientos!$C$2:$C$5000,"Consumido en evento")-SUMIFS(Movimientos!$F$2:$F$5000,Movimientos!$D$2:$D$5000,$A400,Movimientos!$C$2:$C$5000,"Consumo interno")-SUMIFS(Movimientos!$F$2:$F$5000,Movimientos!$D$2:$D$5000,$A400,Movimientos!$C$2:$C$5000,"Baja")-SUMIFS(Movimientos!$F$2:$F$5000,Movimientos!$D$2:$D$5000,$A400,Movimientos!$C$2:$C$5000,"Baja desde reparación")</f>
        <v>5</v>
      </c>
      <c r="Q400" s="45">
        <f>SUMIFS(Movimientos!$F$2:$F$5000,Movimientos!$D$2:$D$5000,$A400,Movimientos!$C$2:$C$5000,"Salida alquiler")-SUMIFS(Movimientos!$F$2:$F$5000,Movimientos!$D$2:$D$5000,$A400,Movimientos!$C$2:$C$5000,"Retorno alquiler")-SUMIFS(Movimientos!$F$2:$F$5000,Movimientos!$D$2:$D$5000,$A400,Movimientos!$C$2:$C$5000,"Consumido en evento")-SUMIFS(Movimientos!$F$2:$F$5000,Movimientos!$D$2:$D$5000,$A400,Movimientos!$C$2:$C$5000,"A reparación")</f>
        <v>0</v>
      </c>
      <c r="R400" s="45">
        <f>SUMIFS(Movimientos!$F$2:$F$5000,Movimientos!$D$2:$D$5000,$A400,Movimientos!$C$2:$C$5000,"A reparación")-SUMIFS(Movimientos!$F$2:$F$5000,Movimientos!$D$2:$D$5000,$A400,Movimientos!$C$2:$C$5000,"Retorno reparación")-SUMIFS(Movimientos!$F$2:$F$5000,Movimientos!$D$2:$D$5000,$A400,Movimientos!$C$2:$C$5000,"Baja desde reparación")</f>
        <v>0</v>
      </c>
      <c r="S400" s="45">
        <f>P400-Q400-R400</f>
        <v>5</v>
      </c>
    </row>
    <row r="401" spans="1:19">
      <c r="A401" s="15"/>
      <c r="B401" s="15"/>
      <c r="C401" s="42"/>
      <c r="D401" s="15"/>
      <c r="E401" s="42"/>
      <c r="F401" s="43"/>
      <c r="G401" s="15"/>
      <c r="H401" s="44"/>
      <c r="I401" s="15"/>
      <c r="J401" s="15"/>
      <c r="K401" s="15"/>
      <c r="L401" s="15"/>
      <c r="M401" s="15"/>
      <c r="N401" s="15"/>
      <c r="O401" s="15"/>
      <c r="P401" s="45"/>
      <c r="Q401" s="45"/>
      <c r="R401" s="45"/>
      <c r="S401" s="45"/>
    </row>
    <row r="402" spans="1:19">
      <c r="A402" s="15"/>
      <c r="B402" s="15"/>
      <c r="C402" s="42"/>
      <c r="D402" s="15"/>
      <c r="E402" s="42"/>
      <c r="F402" s="43"/>
      <c r="G402" s="15"/>
      <c r="H402" s="44"/>
      <c r="I402" s="15"/>
      <c r="J402" s="15"/>
      <c r="K402" s="15"/>
      <c r="L402" s="15"/>
      <c r="M402" s="15"/>
      <c r="N402" s="15"/>
      <c r="O402" s="15"/>
      <c r="P402" s="45"/>
      <c r="Q402" s="45"/>
      <c r="R402" s="45"/>
      <c r="S402" s="45"/>
    </row>
    <row r="403" spans="1:19">
      <c r="A403" s="15"/>
      <c r="B403" s="15"/>
      <c r="C403" s="42"/>
      <c r="D403" s="15"/>
      <c r="E403" s="42"/>
      <c r="F403" s="43"/>
      <c r="G403" s="15"/>
      <c r="H403" s="44"/>
      <c r="I403" s="15"/>
      <c r="J403" s="15"/>
      <c r="K403" s="15"/>
      <c r="L403" s="15"/>
      <c r="M403" s="15"/>
      <c r="N403" s="15"/>
      <c r="O403" s="15"/>
      <c r="P403" s="45"/>
      <c r="Q403" s="45"/>
      <c r="R403" s="45"/>
      <c r="S403" s="45"/>
    </row>
    <row r="404" spans="1:19">
      <c r="A404" s="15"/>
      <c r="B404" s="15"/>
      <c r="C404" s="42"/>
      <c r="D404" s="15"/>
      <c r="E404" s="42"/>
      <c r="F404" s="43"/>
      <c r="G404" s="15"/>
      <c r="H404" s="44"/>
      <c r="I404" s="15"/>
      <c r="J404" s="15"/>
      <c r="K404" s="15"/>
      <c r="L404" s="15"/>
      <c r="M404" s="15"/>
      <c r="N404" s="15"/>
      <c r="O404" s="15"/>
      <c r="P404" s="45"/>
      <c r="Q404" s="45"/>
      <c r="R404" s="45"/>
      <c r="S404" s="45"/>
    </row>
    <row r="405" spans="1:19">
      <c r="A405" s="15"/>
      <c r="B405" s="15"/>
      <c r="C405" s="42"/>
      <c r="D405" s="15"/>
      <c r="E405" s="42"/>
      <c r="F405" s="43"/>
      <c r="G405" s="15"/>
      <c r="H405" s="44"/>
      <c r="I405" s="15"/>
      <c r="J405" s="15"/>
      <c r="K405" s="15"/>
      <c r="L405" s="15"/>
      <c r="M405" s="15"/>
      <c r="N405" s="15"/>
      <c r="O405" s="15"/>
      <c r="P405" s="45"/>
      <c r="Q405" s="45"/>
      <c r="R405" s="45"/>
      <c r="S405" s="45"/>
    </row>
    <row r="406" spans="1:19">
      <c r="A406" s="15"/>
      <c r="B406" s="15"/>
      <c r="C406" s="42"/>
      <c r="D406" s="15"/>
      <c r="E406" s="42"/>
      <c r="F406" s="43"/>
      <c r="G406" s="15"/>
      <c r="H406" s="44"/>
      <c r="I406" s="15"/>
      <c r="J406" s="15"/>
      <c r="K406" s="15"/>
      <c r="L406" s="15"/>
      <c r="M406" s="15"/>
      <c r="N406" s="15"/>
      <c r="O406" s="15"/>
      <c r="P406" s="45"/>
      <c r="Q406" s="45"/>
      <c r="R406" s="45"/>
      <c r="S406" s="45"/>
    </row>
    <row r="407" spans="1:19">
      <c r="A407" s="15"/>
      <c r="B407" s="15"/>
      <c r="C407" s="42"/>
      <c r="D407" s="15"/>
      <c r="E407" s="42"/>
      <c r="F407" s="43"/>
      <c r="G407" s="15"/>
      <c r="H407" s="44"/>
      <c r="I407" s="15"/>
      <c r="J407" s="15"/>
      <c r="K407" s="15"/>
      <c r="L407" s="15"/>
      <c r="M407" s="15"/>
      <c r="N407" s="15"/>
      <c r="O407" s="15"/>
      <c r="P407" s="45"/>
      <c r="Q407" s="45"/>
      <c r="R407" s="45"/>
      <c r="S407" s="45"/>
    </row>
    <row r="408" spans="1:19">
      <c r="A408" s="15"/>
      <c r="B408" s="15"/>
      <c r="C408" s="42"/>
      <c r="D408" s="15"/>
      <c r="E408" s="42"/>
      <c r="F408" s="43"/>
      <c r="G408" s="15"/>
      <c r="H408" s="44"/>
      <c r="I408" s="15"/>
      <c r="J408" s="15"/>
      <c r="K408" s="15"/>
      <c r="L408" s="15"/>
      <c r="M408" s="15"/>
      <c r="N408" s="15"/>
      <c r="O408" s="15"/>
      <c r="P408" s="45"/>
      <c r="Q408" s="45"/>
      <c r="R408" s="45"/>
      <c r="S408" s="45"/>
    </row>
    <row r="409" spans="1:19">
      <c r="A409" s="15"/>
      <c r="B409" s="15"/>
      <c r="C409" s="42"/>
      <c r="D409" s="15"/>
      <c r="E409" s="42"/>
      <c r="F409" s="43"/>
      <c r="G409" s="15"/>
      <c r="H409" s="44"/>
      <c r="I409" s="15"/>
      <c r="J409" s="15"/>
      <c r="K409" s="15"/>
      <c r="L409" s="15"/>
      <c r="M409" s="15"/>
      <c r="N409" s="15"/>
      <c r="O409" s="15"/>
      <c r="P409" s="45"/>
      <c r="Q409" s="45"/>
      <c r="R409" s="45"/>
      <c r="S409" s="45"/>
    </row>
    <row r="410" spans="1:19">
      <c r="A410" s="15"/>
      <c r="B410" s="15"/>
      <c r="C410" s="42"/>
      <c r="D410" s="15"/>
      <c r="E410" s="42"/>
      <c r="F410" s="43"/>
      <c r="G410" s="15"/>
      <c r="H410" s="44"/>
      <c r="I410" s="15"/>
      <c r="J410" s="15"/>
      <c r="K410" s="15"/>
      <c r="L410" s="15"/>
      <c r="M410" s="15"/>
      <c r="N410" s="15"/>
      <c r="O410" s="15"/>
      <c r="P410" s="45"/>
      <c r="Q410" s="45"/>
      <c r="R410" s="45"/>
      <c r="S410" s="45"/>
    </row>
    <row r="411" spans="1:19">
      <c r="A411" s="15"/>
      <c r="B411" s="15"/>
      <c r="C411" s="42"/>
      <c r="D411" s="15"/>
      <c r="E411" s="42"/>
      <c r="F411" s="43"/>
      <c r="G411" s="15"/>
      <c r="H411" s="44"/>
      <c r="I411" s="15"/>
      <c r="J411" s="15"/>
      <c r="K411" s="15"/>
      <c r="L411" s="15"/>
      <c r="M411" s="15"/>
      <c r="N411" s="15"/>
      <c r="O411" s="15"/>
      <c r="P411" s="45"/>
      <c r="Q411" s="45"/>
      <c r="R411" s="45"/>
      <c r="S411" s="45"/>
    </row>
    <row r="412" spans="1:19">
      <c r="A412" s="15"/>
      <c r="B412" s="15"/>
      <c r="C412" s="42"/>
      <c r="D412" s="15"/>
      <c r="E412" s="42"/>
      <c r="F412" s="43"/>
      <c r="G412" s="15"/>
      <c r="H412" s="44"/>
      <c r="I412" s="15"/>
      <c r="J412" s="15"/>
      <c r="K412" s="15"/>
      <c r="L412" s="15"/>
      <c r="M412" s="15"/>
      <c r="N412" s="15"/>
      <c r="O412" s="15"/>
      <c r="P412" s="45"/>
      <c r="Q412" s="45"/>
      <c r="R412" s="45"/>
      <c r="S412" s="45"/>
    </row>
    <row r="413" spans="1:19">
      <c r="A413" s="15"/>
      <c r="B413" s="15"/>
      <c r="C413" s="42"/>
      <c r="D413" s="15"/>
      <c r="E413" s="42"/>
      <c r="F413" s="43"/>
      <c r="G413" s="15"/>
      <c r="H413" s="44"/>
      <c r="I413" s="15"/>
      <c r="J413" s="15"/>
      <c r="K413" s="15"/>
      <c r="L413" s="15"/>
      <c r="M413" s="15"/>
      <c r="N413" s="15"/>
      <c r="O413" s="15"/>
      <c r="P413" s="45"/>
      <c r="Q413" s="45"/>
      <c r="R413" s="45"/>
      <c r="S413" s="45"/>
    </row>
    <row r="414" spans="1:19">
      <c r="A414" s="15"/>
      <c r="B414" s="15"/>
      <c r="C414" s="42"/>
      <c r="D414" s="15"/>
      <c r="E414" s="42"/>
      <c r="F414" s="43"/>
      <c r="G414" s="15"/>
      <c r="H414" s="44"/>
      <c r="I414" s="15"/>
      <c r="J414" s="15"/>
      <c r="K414" s="15"/>
      <c r="L414" s="15"/>
      <c r="M414" s="15"/>
      <c r="N414" s="15"/>
      <c r="O414" s="15"/>
      <c r="P414" s="45"/>
      <c r="Q414" s="45"/>
      <c r="R414" s="45"/>
      <c r="S414" s="45"/>
    </row>
    <row r="415" spans="1:19">
      <c r="A415" s="15"/>
      <c r="B415" s="15"/>
      <c r="C415" s="42"/>
      <c r="D415" s="15"/>
      <c r="E415" s="42"/>
      <c r="F415" s="43"/>
      <c r="G415" s="15"/>
      <c r="H415" s="44"/>
      <c r="I415" s="15"/>
      <c r="J415" s="15"/>
      <c r="K415" s="15"/>
      <c r="L415" s="15"/>
      <c r="M415" s="15"/>
      <c r="N415" s="15"/>
      <c r="O415" s="15"/>
      <c r="P415" s="45"/>
      <c r="Q415" s="45"/>
      <c r="R415" s="45"/>
      <c r="S415" s="45"/>
    </row>
    <row r="416" spans="1:19">
      <c r="A416" s="15"/>
      <c r="B416" s="15"/>
      <c r="C416" s="42"/>
      <c r="D416" s="15"/>
      <c r="E416" s="42"/>
      <c r="F416" s="43"/>
      <c r="G416" s="15"/>
      <c r="H416" s="44"/>
      <c r="I416" s="15"/>
      <c r="J416" s="15"/>
      <c r="K416" s="15"/>
      <c r="L416" s="15"/>
      <c r="M416" s="15"/>
      <c r="N416" s="15"/>
      <c r="O416" s="15"/>
      <c r="P416" s="45"/>
      <c r="Q416" s="45"/>
      <c r="R416" s="45"/>
      <c r="S416" s="45"/>
    </row>
    <row r="417" spans="1:19">
      <c r="A417" s="15"/>
      <c r="B417" s="15"/>
      <c r="C417" s="42"/>
      <c r="D417" s="15"/>
      <c r="E417" s="42"/>
      <c r="F417" s="43"/>
      <c r="G417" s="15"/>
      <c r="H417" s="44"/>
      <c r="I417" s="15"/>
      <c r="J417" s="15"/>
      <c r="K417" s="15"/>
      <c r="L417" s="15"/>
      <c r="M417" s="15"/>
      <c r="N417" s="15"/>
      <c r="O417" s="15"/>
      <c r="P417" s="45"/>
      <c r="Q417" s="45"/>
      <c r="R417" s="45"/>
      <c r="S417" s="45"/>
    </row>
    <row r="418" spans="1:19">
      <c r="A418" s="15"/>
      <c r="B418" s="15"/>
      <c r="C418" s="42"/>
      <c r="D418" s="15"/>
      <c r="E418" s="42"/>
      <c r="F418" s="43"/>
      <c r="G418" s="15"/>
      <c r="H418" s="44"/>
      <c r="I418" s="15"/>
      <c r="J418" s="15"/>
      <c r="K418" s="15"/>
      <c r="L418" s="15"/>
      <c r="M418" s="15"/>
      <c r="N418" s="15"/>
      <c r="O418" s="15"/>
      <c r="P418" s="45"/>
      <c r="Q418" s="45"/>
      <c r="R418" s="45"/>
      <c r="S418" s="45"/>
    </row>
    <row r="419" spans="1:19">
      <c r="A419" s="15"/>
      <c r="B419" s="15"/>
      <c r="C419" s="42"/>
      <c r="D419" s="15"/>
      <c r="E419" s="42"/>
      <c r="F419" s="43"/>
      <c r="G419" s="15"/>
      <c r="H419" s="44"/>
      <c r="I419" s="15"/>
      <c r="J419" s="15"/>
      <c r="K419" s="15"/>
      <c r="L419" s="15"/>
      <c r="M419" s="15"/>
      <c r="N419" s="15"/>
      <c r="O419" s="15"/>
      <c r="P419" s="45"/>
      <c r="Q419" s="45"/>
      <c r="R419" s="45"/>
      <c r="S419" s="45"/>
    </row>
    <row r="420" spans="1:19">
      <c r="A420" s="15"/>
      <c r="B420" s="15"/>
      <c r="C420" s="42"/>
      <c r="D420" s="15"/>
      <c r="E420" s="42"/>
      <c r="F420" s="43"/>
      <c r="G420" s="15"/>
      <c r="H420" s="44"/>
      <c r="I420" s="15"/>
      <c r="J420" s="15"/>
      <c r="K420" s="15"/>
      <c r="L420" s="15"/>
      <c r="M420" s="15"/>
      <c r="N420" s="15"/>
      <c r="O420" s="15"/>
      <c r="P420" s="45"/>
      <c r="Q420" s="45"/>
      <c r="R420" s="45"/>
      <c r="S420" s="45"/>
    </row>
    <row r="421" spans="1:19">
      <c r="A421" s="15"/>
      <c r="B421" s="15"/>
      <c r="C421" s="42"/>
      <c r="D421" s="15"/>
      <c r="E421" s="42"/>
      <c r="F421" s="43"/>
      <c r="G421" s="15"/>
      <c r="H421" s="44"/>
      <c r="I421" s="15"/>
      <c r="J421" s="15"/>
      <c r="K421" s="15"/>
      <c r="L421" s="15"/>
      <c r="M421" s="15"/>
      <c r="N421" s="15"/>
      <c r="O421" s="15"/>
      <c r="P421" s="45"/>
      <c r="Q421" s="45"/>
      <c r="R421" s="45"/>
      <c r="S421" s="45"/>
    </row>
    <row r="422" spans="1:19">
      <c r="A422" s="15"/>
      <c r="B422" s="15"/>
      <c r="C422" s="42"/>
      <c r="D422" s="15"/>
      <c r="E422" s="42"/>
      <c r="F422" s="43"/>
      <c r="G422" s="15"/>
      <c r="H422" s="44"/>
      <c r="I422" s="15"/>
      <c r="J422" s="15"/>
      <c r="K422" s="15"/>
      <c r="L422" s="15"/>
      <c r="M422" s="15"/>
      <c r="N422" s="15"/>
      <c r="O422" s="15"/>
      <c r="P422" s="45"/>
      <c r="Q422" s="45"/>
      <c r="R422" s="45"/>
      <c r="S422" s="45"/>
    </row>
    <row r="423" spans="1:19">
      <c r="A423" s="15"/>
      <c r="B423" s="15"/>
      <c r="C423" s="42"/>
      <c r="D423" s="15"/>
      <c r="E423" s="42"/>
      <c r="F423" s="43"/>
      <c r="G423" s="15"/>
      <c r="H423" s="44"/>
      <c r="I423" s="15"/>
      <c r="J423" s="15"/>
      <c r="K423" s="15"/>
      <c r="L423" s="15"/>
      <c r="M423" s="15"/>
      <c r="N423" s="15"/>
      <c r="O423" s="15"/>
      <c r="P423" s="45"/>
      <c r="Q423" s="45"/>
      <c r="R423" s="45"/>
      <c r="S423" s="45"/>
    </row>
    <row r="424" spans="1:19">
      <c r="A424" s="15"/>
      <c r="B424" s="15"/>
      <c r="C424" s="42"/>
      <c r="D424" s="15"/>
      <c r="E424" s="42"/>
      <c r="F424" s="43"/>
      <c r="G424" s="15"/>
      <c r="H424" s="44"/>
      <c r="I424" s="15"/>
      <c r="J424" s="15"/>
      <c r="K424" s="15"/>
      <c r="L424" s="15"/>
      <c r="M424" s="15"/>
      <c r="N424" s="15"/>
      <c r="O424" s="15"/>
      <c r="P424" s="45"/>
      <c r="Q424" s="45"/>
      <c r="R424" s="45"/>
      <c r="S424" s="45"/>
    </row>
    <row r="425" spans="1:19">
      <c r="A425" s="15"/>
      <c r="B425" s="15"/>
      <c r="C425" s="42"/>
      <c r="D425" s="15"/>
      <c r="E425" s="42"/>
      <c r="F425" s="43"/>
      <c r="G425" s="15"/>
      <c r="H425" s="44"/>
      <c r="I425" s="15"/>
      <c r="J425" s="15"/>
      <c r="K425" s="15"/>
      <c r="L425" s="15"/>
      <c r="M425" s="15"/>
      <c r="N425" s="15"/>
      <c r="O425" s="15"/>
      <c r="P425" s="45"/>
      <c r="Q425" s="45"/>
      <c r="R425" s="45"/>
      <c r="S425" s="45"/>
    </row>
    <row r="426" spans="1:19">
      <c r="A426" s="15"/>
      <c r="B426" s="15"/>
      <c r="C426" s="42"/>
      <c r="D426" s="15"/>
      <c r="E426" s="42"/>
      <c r="F426" s="43"/>
      <c r="G426" s="15"/>
      <c r="H426" s="44"/>
      <c r="I426" s="15"/>
      <c r="J426" s="15"/>
      <c r="K426" s="15"/>
      <c r="L426" s="15"/>
      <c r="M426" s="15"/>
      <c r="N426" s="15"/>
      <c r="O426" s="15"/>
      <c r="P426" s="45"/>
      <c r="Q426" s="45"/>
      <c r="R426" s="45"/>
      <c r="S426" s="45"/>
    </row>
    <row r="427" spans="1:19">
      <c r="A427" s="15"/>
      <c r="B427" s="15"/>
      <c r="C427" s="42"/>
      <c r="D427" s="15"/>
      <c r="E427" s="42"/>
      <c r="F427" s="43"/>
      <c r="G427" s="15"/>
      <c r="H427" s="44"/>
      <c r="I427" s="15"/>
      <c r="J427" s="15"/>
      <c r="K427" s="15"/>
      <c r="L427" s="15"/>
      <c r="M427" s="15"/>
      <c r="N427" s="15"/>
      <c r="O427" s="15"/>
      <c r="P427" s="45"/>
      <c r="Q427" s="45"/>
      <c r="R427" s="45"/>
      <c r="S427" s="45"/>
    </row>
    <row r="428" spans="1:19">
      <c r="A428" s="15"/>
      <c r="B428" s="15"/>
      <c r="C428" s="42"/>
      <c r="D428" s="15"/>
      <c r="E428" s="42"/>
      <c r="F428" s="43"/>
      <c r="G428" s="15"/>
      <c r="H428" s="44"/>
      <c r="I428" s="15"/>
      <c r="J428" s="15"/>
      <c r="K428" s="15"/>
      <c r="L428" s="15"/>
      <c r="M428" s="15"/>
      <c r="N428" s="15"/>
      <c r="O428" s="15"/>
      <c r="P428" s="45"/>
      <c r="Q428" s="45"/>
      <c r="R428" s="45"/>
      <c r="S428" s="45"/>
    </row>
    <row r="429" spans="1:19">
      <c r="A429" s="15"/>
      <c r="B429" s="15"/>
      <c r="C429" s="42"/>
      <c r="D429" s="15"/>
      <c r="E429" s="42"/>
      <c r="F429" s="43"/>
      <c r="G429" s="15"/>
      <c r="H429" s="44"/>
      <c r="I429" s="15"/>
      <c r="J429" s="15"/>
      <c r="K429" s="15"/>
      <c r="L429" s="15"/>
      <c r="M429" s="15"/>
      <c r="N429" s="15"/>
      <c r="O429" s="15"/>
      <c r="P429" s="45"/>
      <c r="Q429" s="45"/>
      <c r="R429" s="45"/>
      <c r="S429" s="45"/>
    </row>
    <row r="430" spans="1:19">
      <c r="A430" s="15"/>
      <c r="B430" s="15"/>
      <c r="C430" s="42"/>
      <c r="D430" s="15"/>
      <c r="E430" s="42"/>
      <c r="F430" s="43"/>
      <c r="G430" s="15"/>
      <c r="H430" s="44"/>
      <c r="I430" s="15"/>
      <c r="J430" s="15"/>
      <c r="K430" s="15"/>
      <c r="L430" s="15"/>
      <c r="M430" s="15"/>
      <c r="N430" s="15"/>
      <c r="O430" s="15"/>
      <c r="P430" s="45"/>
      <c r="Q430" s="45"/>
      <c r="R430" s="45"/>
      <c r="S430" s="45"/>
    </row>
    <row r="431" spans="1:19">
      <c r="A431" s="15"/>
      <c r="B431" s="15"/>
      <c r="C431" s="42"/>
      <c r="D431" s="15"/>
      <c r="E431" s="42"/>
      <c r="F431" s="43"/>
      <c r="G431" s="15"/>
      <c r="H431" s="44"/>
      <c r="I431" s="15"/>
      <c r="J431" s="15"/>
      <c r="K431" s="15"/>
      <c r="L431" s="15"/>
      <c r="M431" s="15"/>
      <c r="N431" s="15"/>
      <c r="O431" s="15"/>
      <c r="P431" s="45"/>
      <c r="Q431" s="45"/>
      <c r="R431" s="45"/>
      <c r="S431" s="45"/>
    </row>
    <row r="432" spans="1:19">
      <c r="A432" s="15"/>
      <c r="B432" s="15"/>
      <c r="C432" s="42"/>
      <c r="D432" s="15"/>
      <c r="E432" s="42"/>
      <c r="F432" s="43"/>
      <c r="G432" s="15"/>
      <c r="H432" s="44"/>
      <c r="I432" s="15"/>
      <c r="J432" s="15"/>
      <c r="K432" s="15"/>
      <c r="L432" s="15"/>
      <c r="M432" s="15"/>
      <c r="N432" s="15"/>
      <c r="O432" s="15"/>
      <c r="P432" s="45"/>
      <c r="Q432" s="45"/>
      <c r="R432" s="45"/>
      <c r="S432" s="45"/>
    </row>
    <row r="433" spans="1:19">
      <c r="A433" s="15"/>
      <c r="B433" s="15"/>
      <c r="C433" s="42"/>
      <c r="D433" s="15"/>
      <c r="E433" s="42"/>
      <c r="F433" s="43"/>
      <c r="G433" s="15"/>
      <c r="H433" s="44"/>
      <c r="I433" s="15"/>
      <c r="J433" s="15"/>
      <c r="K433" s="15"/>
      <c r="L433" s="15"/>
      <c r="M433" s="15"/>
      <c r="N433" s="15"/>
      <c r="O433" s="15"/>
      <c r="P433" s="45"/>
      <c r="Q433" s="45"/>
      <c r="R433" s="45"/>
      <c r="S433" s="45"/>
    </row>
    <row r="434" spans="1:19">
      <c r="A434" s="15"/>
      <c r="B434" s="15"/>
      <c r="C434" s="42"/>
      <c r="D434" s="15"/>
      <c r="E434" s="42"/>
      <c r="F434" s="43"/>
      <c r="G434" s="15"/>
      <c r="H434" s="44"/>
      <c r="I434" s="15"/>
      <c r="J434" s="15"/>
      <c r="K434" s="15"/>
      <c r="L434" s="15"/>
      <c r="M434" s="15"/>
      <c r="N434" s="15"/>
      <c r="O434" s="15"/>
      <c r="P434" s="45"/>
      <c r="Q434" s="45"/>
      <c r="R434" s="45"/>
      <c r="S434" s="45"/>
    </row>
    <row r="435" spans="1:19">
      <c r="A435" s="15"/>
      <c r="B435" s="15"/>
      <c r="C435" s="42"/>
      <c r="D435" s="15"/>
      <c r="E435" s="42"/>
      <c r="F435" s="43"/>
      <c r="G435" s="15"/>
      <c r="H435" s="44"/>
      <c r="I435" s="15"/>
      <c r="J435" s="15"/>
      <c r="K435" s="15"/>
      <c r="L435" s="15"/>
      <c r="M435" s="15"/>
      <c r="N435" s="15"/>
      <c r="O435" s="15"/>
      <c r="P435" s="45"/>
      <c r="Q435" s="45"/>
      <c r="R435" s="45"/>
      <c r="S435" s="45"/>
    </row>
    <row r="436" spans="1:19">
      <c r="A436" s="15"/>
      <c r="B436" s="15"/>
      <c r="C436" s="42"/>
      <c r="D436" s="15"/>
      <c r="E436" s="42"/>
      <c r="F436" s="43"/>
      <c r="G436" s="15"/>
      <c r="H436" s="44"/>
      <c r="I436" s="15"/>
      <c r="J436" s="15"/>
      <c r="K436" s="15"/>
      <c r="L436" s="15"/>
      <c r="M436" s="15"/>
      <c r="N436" s="15"/>
      <c r="O436" s="15"/>
      <c r="P436" s="45"/>
      <c r="Q436" s="45"/>
      <c r="R436" s="45"/>
      <c r="S436" s="45"/>
    </row>
    <row r="437" spans="1:19">
      <c r="A437" s="15"/>
      <c r="B437" s="15"/>
      <c r="C437" s="42"/>
      <c r="D437" s="15"/>
      <c r="E437" s="42"/>
      <c r="F437" s="43"/>
      <c r="G437" s="15"/>
      <c r="H437" s="44"/>
      <c r="I437" s="15"/>
      <c r="J437" s="15"/>
      <c r="K437" s="15"/>
      <c r="L437" s="15"/>
      <c r="M437" s="15"/>
      <c r="N437" s="15"/>
      <c r="O437" s="15"/>
      <c r="P437" s="45"/>
      <c r="Q437" s="45"/>
      <c r="R437" s="45"/>
      <c r="S437" s="45"/>
    </row>
    <row r="438" spans="1:19">
      <c r="A438" s="15"/>
      <c r="B438" s="15"/>
      <c r="C438" s="42"/>
      <c r="D438" s="15"/>
      <c r="E438" s="42"/>
      <c r="F438" s="43"/>
      <c r="G438" s="15"/>
      <c r="H438" s="44"/>
      <c r="I438" s="15"/>
      <c r="J438" s="15"/>
      <c r="K438" s="15"/>
      <c r="L438" s="15"/>
      <c r="M438" s="15"/>
      <c r="N438" s="15"/>
      <c r="O438" s="15"/>
      <c r="P438" s="45"/>
      <c r="Q438" s="45"/>
      <c r="R438" s="45"/>
      <c r="S438" s="45"/>
    </row>
    <row r="439" spans="1:19">
      <c r="A439" s="15"/>
      <c r="B439" s="15"/>
      <c r="C439" s="42"/>
      <c r="D439" s="15"/>
      <c r="E439" s="42"/>
      <c r="F439" s="43"/>
      <c r="G439" s="15"/>
      <c r="H439" s="44"/>
      <c r="I439" s="15"/>
      <c r="J439" s="15"/>
      <c r="K439" s="15"/>
      <c r="L439" s="15"/>
      <c r="M439" s="15"/>
      <c r="N439" s="15"/>
      <c r="O439" s="15"/>
      <c r="P439" s="45"/>
      <c r="Q439" s="45"/>
      <c r="R439" s="45"/>
      <c r="S439" s="45"/>
    </row>
    <row r="440" spans="1:19">
      <c r="A440" s="15"/>
      <c r="B440" s="15"/>
      <c r="C440" s="42"/>
      <c r="D440" s="15"/>
      <c r="E440" s="42"/>
      <c r="F440" s="43"/>
      <c r="G440" s="15"/>
      <c r="H440" s="44"/>
      <c r="I440" s="15"/>
      <c r="J440" s="15"/>
      <c r="K440" s="15"/>
      <c r="L440" s="15"/>
      <c r="M440" s="15"/>
      <c r="N440" s="15"/>
      <c r="O440" s="15"/>
      <c r="P440" s="45"/>
      <c r="Q440" s="45"/>
      <c r="R440" s="45"/>
      <c r="S440" s="45"/>
    </row>
    <row r="441" spans="1:19">
      <c r="A441" s="15"/>
      <c r="B441" s="15"/>
      <c r="C441" s="42"/>
      <c r="D441" s="15"/>
      <c r="E441" s="42"/>
      <c r="F441" s="43"/>
      <c r="G441" s="15"/>
      <c r="H441" s="44"/>
      <c r="I441" s="15"/>
      <c r="J441" s="15"/>
      <c r="K441" s="15"/>
      <c r="L441" s="15"/>
      <c r="M441" s="15"/>
      <c r="N441" s="15"/>
      <c r="O441" s="15"/>
      <c r="P441" s="45"/>
      <c r="Q441" s="45"/>
      <c r="R441" s="45"/>
      <c r="S441" s="45"/>
    </row>
    <row r="442" spans="1:19">
      <c r="A442" s="15"/>
      <c r="B442" s="15"/>
      <c r="C442" s="42"/>
      <c r="D442" s="15"/>
      <c r="E442" s="42"/>
      <c r="F442" s="43"/>
      <c r="G442" s="15"/>
      <c r="H442" s="44"/>
      <c r="I442" s="15"/>
      <c r="J442" s="15"/>
      <c r="K442" s="15"/>
      <c r="L442" s="15"/>
      <c r="M442" s="15"/>
      <c r="N442" s="15"/>
      <c r="O442" s="15"/>
      <c r="P442" s="45"/>
      <c r="Q442" s="45"/>
      <c r="R442" s="45"/>
      <c r="S442" s="45"/>
    </row>
    <row r="443" spans="1:19">
      <c r="A443" s="15"/>
      <c r="B443" s="15"/>
      <c r="C443" s="42"/>
      <c r="D443" s="15"/>
      <c r="E443" s="42"/>
      <c r="F443" s="43"/>
      <c r="G443" s="15"/>
      <c r="H443" s="44"/>
      <c r="I443" s="15"/>
      <c r="J443" s="15"/>
      <c r="K443" s="15"/>
      <c r="L443" s="15"/>
      <c r="M443" s="15"/>
      <c r="N443" s="15"/>
      <c r="O443" s="15"/>
      <c r="P443" s="45"/>
      <c r="Q443" s="45"/>
      <c r="R443" s="45"/>
      <c r="S443" s="45"/>
    </row>
    <row r="444" spans="1:19">
      <c r="A444" s="15"/>
      <c r="B444" s="15"/>
      <c r="C444" s="42"/>
      <c r="D444" s="15"/>
      <c r="E444" s="42"/>
      <c r="F444" s="43"/>
      <c r="G444" s="15"/>
      <c r="H444" s="44"/>
      <c r="I444" s="15"/>
      <c r="J444" s="15"/>
      <c r="K444" s="15"/>
      <c r="L444" s="15"/>
      <c r="M444" s="15"/>
      <c r="N444" s="15"/>
      <c r="O444" s="15"/>
      <c r="P444" s="45"/>
      <c r="Q444" s="45"/>
      <c r="R444" s="45"/>
      <c r="S444" s="45"/>
    </row>
    <row r="445" spans="1:19">
      <c r="A445" s="15"/>
      <c r="B445" s="15"/>
      <c r="C445" s="42"/>
      <c r="D445" s="15"/>
      <c r="E445" s="42"/>
      <c r="F445" s="43"/>
      <c r="G445" s="15"/>
      <c r="H445" s="44"/>
      <c r="I445" s="15"/>
      <c r="J445" s="15"/>
      <c r="K445" s="15"/>
      <c r="L445" s="15"/>
      <c r="M445" s="15"/>
      <c r="N445" s="15"/>
      <c r="O445" s="15"/>
      <c r="P445" s="45"/>
      <c r="Q445" s="45"/>
      <c r="R445" s="45"/>
      <c r="S445" s="45"/>
    </row>
    <row r="446" spans="1:19">
      <c r="A446" s="15"/>
      <c r="B446" s="15"/>
      <c r="C446" s="42"/>
      <c r="D446" s="15"/>
      <c r="E446" s="42"/>
      <c r="F446" s="43"/>
      <c r="G446" s="15"/>
      <c r="H446" s="44"/>
      <c r="I446" s="15"/>
      <c r="J446" s="15"/>
      <c r="K446" s="15"/>
      <c r="L446" s="15"/>
      <c r="M446" s="15"/>
      <c r="N446" s="15"/>
      <c r="O446" s="15"/>
      <c r="P446" s="45"/>
      <c r="Q446" s="45"/>
      <c r="R446" s="45"/>
      <c r="S446" s="45"/>
    </row>
    <row r="447" spans="1:19">
      <c r="A447" s="15"/>
      <c r="B447" s="15"/>
      <c r="C447" s="42"/>
      <c r="D447" s="15"/>
      <c r="E447" s="42"/>
      <c r="F447" s="43"/>
      <c r="G447" s="15"/>
      <c r="H447" s="44"/>
      <c r="I447" s="15"/>
      <c r="J447" s="15"/>
      <c r="K447" s="15"/>
      <c r="L447" s="15"/>
      <c r="M447" s="15"/>
      <c r="N447" s="15"/>
      <c r="O447" s="15"/>
      <c r="P447" s="45"/>
      <c r="Q447" s="45"/>
      <c r="R447" s="45"/>
      <c r="S447" s="45"/>
    </row>
    <row r="448" spans="1:19">
      <c r="A448" s="15"/>
      <c r="B448" s="15"/>
      <c r="C448" s="42"/>
      <c r="D448" s="15"/>
      <c r="E448" s="42"/>
      <c r="F448" s="43"/>
      <c r="G448" s="15"/>
      <c r="H448" s="44"/>
      <c r="I448" s="15"/>
      <c r="J448" s="15"/>
      <c r="K448" s="15"/>
      <c r="L448" s="15"/>
      <c r="M448" s="15"/>
      <c r="N448" s="15"/>
      <c r="O448" s="15"/>
      <c r="P448" s="45"/>
      <c r="Q448" s="45"/>
      <c r="R448" s="45"/>
      <c r="S448" s="45"/>
    </row>
    <row r="449" spans="1:19">
      <c r="A449" s="15"/>
      <c r="B449" s="15"/>
      <c r="C449" s="42"/>
      <c r="D449" s="15"/>
      <c r="E449" s="42"/>
      <c r="F449" s="43"/>
      <c r="G449" s="15"/>
      <c r="H449" s="44"/>
      <c r="I449" s="15"/>
      <c r="J449" s="15"/>
      <c r="K449" s="15"/>
      <c r="L449" s="15"/>
      <c r="M449" s="15"/>
      <c r="N449" s="15"/>
      <c r="O449" s="15"/>
      <c r="P449" s="45"/>
      <c r="Q449" s="45"/>
      <c r="R449" s="45"/>
      <c r="S449" s="45"/>
    </row>
    <row r="450" spans="1:19">
      <c r="A450" s="15"/>
      <c r="B450" s="15"/>
      <c r="C450" s="42"/>
      <c r="D450" s="15"/>
      <c r="E450" s="42"/>
      <c r="F450" s="43"/>
      <c r="G450" s="15"/>
      <c r="H450" s="44"/>
      <c r="I450" s="15"/>
      <c r="J450" s="15"/>
      <c r="K450" s="15"/>
      <c r="L450" s="15"/>
      <c r="M450" s="15"/>
      <c r="N450" s="15"/>
      <c r="O450" s="15"/>
      <c r="P450" s="45"/>
      <c r="Q450" s="45"/>
      <c r="R450" s="45"/>
      <c r="S450" s="45"/>
    </row>
    <row r="451" spans="1:19">
      <c r="A451" s="15"/>
      <c r="B451" s="15"/>
      <c r="C451" s="42"/>
      <c r="D451" s="15"/>
      <c r="E451" s="42"/>
      <c r="F451" s="43"/>
      <c r="G451" s="15"/>
      <c r="H451" s="44"/>
      <c r="I451" s="15"/>
      <c r="J451" s="15"/>
      <c r="K451" s="15"/>
      <c r="L451" s="15"/>
      <c r="M451" s="15"/>
      <c r="N451" s="15"/>
      <c r="O451" s="15"/>
      <c r="P451" s="45"/>
      <c r="Q451" s="45"/>
      <c r="R451" s="45"/>
      <c r="S451" s="45"/>
    </row>
    <row r="452" spans="1:19">
      <c r="A452" s="15"/>
      <c r="B452" s="15"/>
      <c r="C452" s="42"/>
      <c r="D452" s="15"/>
      <c r="E452" s="42"/>
      <c r="F452" s="43"/>
      <c r="G452" s="15"/>
      <c r="H452" s="44"/>
      <c r="I452" s="15"/>
      <c r="J452" s="15"/>
      <c r="K452" s="15"/>
      <c r="L452" s="15"/>
      <c r="M452" s="15"/>
      <c r="N452" s="15"/>
      <c r="O452" s="15"/>
      <c r="P452" s="45"/>
      <c r="Q452" s="45"/>
      <c r="R452" s="45"/>
      <c r="S452" s="45"/>
    </row>
    <row r="453" spans="1:19">
      <c r="A453" s="15"/>
      <c r="B453" s="15"/>
      <c r="C453" s="42"/>
      <c r="D453" s="15"/>
      <c r="E453" s="42"/>
      <c r="F453" s="43"/>
      <c r="G453" s="15"/>
      <c r="H453" s="44"/>
      <c r="I453" s="15"/>
      <c r="J453" s="15"/>
      <c r="K453" s="15"/>
      <c r="L453" s="15"/>
      <c r="M453" s="15"/>
      <c r="N453" s="15"/>
      <c r="O453" s="15"/>
      <c r="P453" s="45"/>
      <c r="Q453" s="45"/>
      <c r="R453" s="45"/>
      <c r="S453" s="45"/>
    </row>
    <row r="454" spans="1:19">
      <c r="A454" s="15"/>
      <c r="B454" s="15"/>
      <c r="C454" s="42"/>
      <c r="D454" s="15"/>
      <c r="E454" s="42"/>
      <c r="F454" s="43"/>
      <c r="G454" s="15"/>
      <c r="H454" s="44"/>
      <c r="I454" s="15"/>
      <c r="J454" s="15"/>
      <c r="K454" s="15"/>
      <c r="L454" s="15"/>
      <c r="M454" s="15"/>
      <c r="N454" s="15"/>
      <c r="O454" s="15"/>
      <c r="P454" s="45"/>
      <c r="Q454" s="45"/>
      <c r="R454" s="45"/>
      <c r="S454" s="45"/>
    </row>
    <row r="455" spans="1:19">
      <c r="A455" s="15"/>
      <c r="B455" s="15"/>
      <c r="C455" s="42"/>
      <c r="D455" s="15"/>
      <c r="E455" s="42"/>
      <c r="F455" s="43"/>
      <c r="G455" s="15"/>
      <c r="H455" s="44"/>
      <c r="I455" s="15"/>
      <c r="J455" s="15"/>
      <c r="K455" s="15"/>
      <c r="L455" s="15"/>
      <c r="M455" s="15"/>
      <c r="N455" s="15"/>
      <c r="O455" s="15"/>
      <c r="P455" s="45"/>
      <c r="Q455" s="45"/>
      <c r="R455" s="45"/>
      <c r="S455" s="45"/>
    </row>
    <row r="456" spans="1:19">
      <c r="A456" s="15"/>
      <c r="B456" s="15"/>
      <c r="C456" s="42"/>
      <c r="D456" s="15"/>
      <c r="E456" s="42"/>
      <c r="F456" s="43"/>
      <c r="G456" s="15"/>
      <c r="H456" s="44"/>
      <c r="I456" s="15"/>
      <c r="J456" s="15"/>
      <c r="K456" s="15"/>
      <c r="L456" s="15"/>
      <c r="M456" s="15"/>
      <c r="N456" s="15"/>
      <c r="O456" s="15"/>
      <c r="P456" s="45"/>
      <c r="Q456" s="45"/>
      <c r="R456" s="45"/>
      <c r="S456" s="45"/>
    </row>
    <row r="457" spans="1:19">
      <c r="A457" s="15"/>
      <c r="B457" s="15"/>
      <c r="C457" s="42"/>
      <c r="D457" s="15"/>
      <c r="E457" s="42"/>
      <c r="F457" s="43"/>
      <c r="G457" s="15"/>
      <c r="H457" s="44"/>
      <c r="I457" s="15"/>
      <c r="J457" s="15"/>
      <c r="K457" s="15"/>
      <c r="L457" s="15"/>
      <c r="M457" s="15"/>
      <c r="N457" s="15"/>
      <c r="O457" s="15"/>
      <c r="P457" s="45"/>
      <c r="Q457" s="45"/>
      <c r="R457" s="45"/>
      <c r="S457" s="45"/>
    </row>
    <row r="458" spans="1:19">
      <c r="A458" s="15"/>
      <c r="B458" s="15"/>
      <c r="C458" s="42"/>
      <c r="D458" s="15"/>
      <c r="E458" s="42"/>
      <c r="F458" s="43"/>
      <c r="G458" s="15"/>
      <c r="H458" s="44"/>
      <c r="I458" s="15"/>
      <c r="J458" s="15"/>
      <c r="K458" s="15"/>
      <c r="L458" s="15"/>
      <c r="M458" s="15"/>
      <c r="N458" s="15"/>
      <c r="O458" s="15"/>
      <c r="P458" s="45"/>
      <c r="Q458" s="45"/>
      <c r="R458" s="45"/>
      <c r="S458" s="45"/>
    </row>
    <row r="459" spans="1:19">
      <c r="A459" s="15"/>
      <c r="B459" s="15"/>
      <c r="C459" s="42"/>
      <c r="D459" s="15"/>
      <c r="E459" s="42"/>
      <c r="F459" s="43"/>
      <c r="G459" s="15"/>
      <c r="H459" s="44"/>
      <c r="I459" s="15"/>
      <c r="J459" s="15"/>
      <c r="K459" s="15"/>
      <c r="L459" s="15"/>
      <c r="M459" s="15"/>
      <c r="N459" s="15"/>
      <c r="O459" s="15"/>
      <c r="P459" s="45"/>
      <c r="Q459" s="45"/>
      <c r="R459" s="45"/>
      <c r="S459" s="45"/>
    </row>
    <row r="460" spans="1:19">
      <c r="A460" s="15"/>
      <c r="B460" s="15"/>
      <c r="C460" s="42"/>
      <c r="D460" s="15"/>
      <c r="E460" s="42"/>
      <c r="F460" s="43"/>
      <c r="G460" s="15"/>
      <c r="H460" s="44"/>
      <c r="I460" s="15"/>
      <c r="J460" s="15"/>
      <c r="K460" s="15"/>
      <c r="L460" s="15"/>
      <c r="M460" s="15"/>
      <c r="N460" s="15"/>
      <c r="O460" s="15"/>
      <c r="P460" s="45"/>
      <c r="Q460" s="45"/>
      <c r="R460" s="45"/>
      <c r="S460" s="45"/>
    </row>
    <row r="461" spans="1:19">
      <c r="A461" s="15"/>
      <c r="B461" s="15"/>
      <c r="C461" s="42"/>
      <c r="D461" s="15"/>
      <c r="E461" s="42"/>
      <c r="F461" s="43"/>
      <c r="G461" s="15"/>
      <c r="H461" s="44"/>
      <c r="I461" s="15"/>
      <c r="J461" s="15"/>
      <c r="K461" s="15"/>
      <c r="L461" s="15"/>
      <c r="M461" s="15"/>
      <c r="N461" s="15"/>
      <c r="O461" s="15"/>
      <c r="P461" s="45"/>
      <c r="Q461" s="45"/>
      <c r="R461" s="45"/>
      <c r="S461" s="45"/>
    </row>
    <row r="462" spans="1:19">
      <c r="A462" s="15"/>
      <c r="B462" s="15"/>
      <c r="C462" s="42"/>
      <c r="D462" s="15"/>
      <c r="E462" s="42"/>
      <c r="F462" s="43"/>
      <c r="G462" s="15"/>
      <c r="H462" s="44"/>
      <c r="I462" s="15"/>
      <c r="J462" s="15"/>
      <c r="K462" s="15"/>
      <c r="L462" s="15"/>
      <c r="M462" s="15"/>
      <c r="N462" s="15"/>
      <c r="O462" s="15"/>
      <c r="P462" s="45"/>
      <c r="Q462" s="45"/>
      <c r="R462" s="45"/>
      <c r="S462" s="45"/>
    </row>
    <row r="463" spans="1:19">
      <c r="A463" s="15"/>
      <c r="B463" s="15"/>
      <c r="C463" s="42"/>
      <c r="D463" s="15"/>
      <c r="E463" s="42"/>
      <c r="F463" s="43"/>
      <c r="G463" s="15"/>
      <c r="H463" s="44"/>
      <c r="I463" s="15"/>
      <c r="J463" s="15"/>
      <c r="K463" s="15"/>
      <c r="L463" s="15"/>
      <c r="M463" s="15"/>
      <c r="N463" s="15"/>
      <c r="O463" s="15"/>
      <c r="P463" s="45"/>
      <c r="Q463" s="45"/>
      <c r="R463" s="45"/>
      <c r="S463" s="45"/>
    </row>
    <row r="464" spans="1:19">
      <c r="A464" s="15"/>
      <c r="B464" s="15"/>
      <c r="C464" s="42"/>
      <c r="D464" s="15"/>
      <c r="E464" s="42"/>
      <c r="F464" s="43"/>
      <c r="G464" s="15"/>
      <c r="H464" s="44"/>
      <c r="I464" s="15"/>
      <c r="J464" s="15"/>
      <c r="K464" s="15"/>
      <c r="L464" s="15"/>
      <c r="M464" s="15"/>
      <c r="N464" s="15"/>
      <c r="O464" s="15"/>
      <c r="P464" s="45"/>
      <c r="Q464" s="45"/>
      <c r="R464" s="45"/>
      <c r="S464" s="45"/>
    </row>
    <row r="465" spans="1:19">
      <c r="A465" s="15"/>
      <c r="B465" s="15"/>
      <c r="C465" s="42"/>
      <c r="D465" s="15"/>
      <c r="E465" s="42"/>
      <c r="F465" s="43"/>
      <c r="G465" s="15"/>
      <c r="H465" s="44"/>
      <c r="I465" s="15"/>
      <c r="J465" s="15"/>
      <c r="K465" s="15"/>
      <c r="L465" s="15"/>
      <c r="M465" s="15"/>
      <c r="N465" s="15"/>
      <c r="O465" s="15"/>
      <c r="P465" s="45"/>
      <c r="Q465" s="45"/>
      <c r="R465" s="45"/>
      <c r="S465" s="45"/>
    </row>
    <row r="466" spans="1:19">
      <c r="A466" s="15"/>
      <c r="B466" s="15"/>
      <c r="C466" s="42"/>
      <c r="D466" s="15"/>
      <c r="E466" s="42"/>
      <c r="F466" s="43"/>
      <c r="G466" s="15"/>
      <c r="H466" s="44"/>
      <c r="I466" s="15"/>
      <c r="J466" s="15"/>
      <c r="K466" s="15"/>
      <c r="L466" s="15"/>
      <c r="M466" s="15"/>
      <c r="N466" s="15"/>
      <c r="O466" s="15"/>
      <c r="P466" s="45"/>
      <c r="Q466" s="45"/>
      <c r="R466" s="45"/>
      <c r="S466" s="45"/>
    </row>
    <row r="467" spans="1:19">
      <c r="A467" s="15"/>
      <c r="B467" s="15"/>
      <c r="C467" s="42"/>
      <c r="D467" s="15"/>
      <c r="E467" s="42"/>
      <c r="F467" s="43"/>
      <c r="G467" s="15"/>
      <c r="H467" s="44"/>
      <c r="I467" s="15"/>
      <c r="J467" s="15"/>
      <c r="K467" s="15"/>
      <c r="L467" s="15"/>
      <c r="M467" s="15"/>
      <c r="N467" s="15"/>
      <c r="O467" s="15"/>
      <c r="P467" s="45"/>
      <c r="Q467" s="45"/>
      <c r="R467" s="45"/>
      <c r="S467" s="45"/>
    </row>
    <row r="468" spans="1:19">
      <c r="A468" s="15"/>
      <c r="B468" s="15"/>
      <c r="C468" s="42"/>
      <c r="D468" s="15"/>
      <c r="E468" s="42"/>
      <c r="F468" s="43"/>
      <c r="G468" s="15"/>
      <c r="H468" s="44"/>
      <c r="I468" s="15"/>
      <c r="J468" s="15"/>
      <c r="K468" s="15"/>
      <c r="L468" s="15"/>
      <c r="M468" s="15"/>
      <c r="N468" s="15"/>
      <c r="O468" s="15"/>
      <c r="P468" s="45"/>
      <c r="Q468" s="45"/>
      <c r="R468" s="45"/>
      <c r="S468" s="45"/>
    </row>
    <row r="469" spans="1:19">
      <c r="A469" s="15"/>
      <c r="B469" s="15"/>
      <c r="C469" s="42"/>
      <c r="D469" s="15"/>
      <c r="E469" s="42"/>
      <c r="F469" s="43"/>
      <c r="G469" s="15"/>
      <c r="H469" s="44"/>
      <c r="I469" s="15"/>
      <c r="J469" s="15"/>
      <c r="K469" s="15"/>
      <c r="L469" s="15"/>
      <c r="M469" s="15"/>
      <c r="N469" s="15"/>
      <c r="O469" s="15"/>
      <c r="P469" s="45"/>
      <c r="Q469" s="45"/>
      <c r="R469" s="45"/>
      <c r="S469" s="45"/>
    </row>
    <row r="470" spans="1:19">
      <c r="A470" s="15"/>
      <c r="B470" s="15"/>
      <c r="C470" s="42"/>
      <c r="D470" s="15"/>
      <c r="E470" s="42"/>
      <c r="F470" s="43"/>
      <c r="G470" s="15"/>
      <c r="H470" s="44"/>
      <c r="I470" s="15"/>
      <c r="J470" s="15"/>
      <c r="K470" s="15"/>
      <c r="L470" s="15"/>
      <c r="M470" s="15"/>
      <c r="N470" s="15"/>
      <c r="O470" s="15"/>
      <c r="P470" s="45"/>
      <c r="Q470" s="45"/>
      <c r="R470" s="45"/>
      <c r="S470" s="45"/>
    </row>
    <row r="471" spans="1:19">
      <c r="A471" s="15"/>
      <c r="B471" s="15"/>
      <c r="C471" s="42"/>
      <c r="D471" s="15"/>
      <c r="E471" s="42"/>
      <c r="F471" s="43"/>
      <c r="G471" s="15"/>
      <c r="H471" s="44"/>
      <c r="I471" s="15"/>
      <c r="J471" s="15"/>
      <c r="K471" s="15"/>
      <c r="L471" s="15"/>
      <c r="M471" s="15"/>
      <c r="N471" s="15"/>
      <c r="O471" s="15"/>
      <c r="P471" s="45"/>
      <c r="Q471" s="45"/>
      <c r="R471" s="45"/>
      <c r="S471" s="45"/>
    </row>
    <row r="472" spans="1:19">
      <c r="A472" s="15"/>
      <c r="B472" s="15"/>
      <c r="C472" s="42"/>
      <c r="D472" s="15"/>
      <c r="E472" s="42"/>
      <c r="F472" s="43"/>
      <c r="G472" s="15"/>
      <c r="H472" s="44"/>
      <c r="I472" s="15"/>
      <c r="J472" s="15"/>
      <c r="K472" s="15"/>
      <c r="L472" s="15"/>
      <c r="M472" s="15"/>
      <c r="N472" s="15"/>
      <c r="O472" s="15"/>
      <c r="P472" s="45"/>
      <c r="Q472" s="45"/>
      <c r="R472" s="45"/>
      <c r="S472" s="45"/>
    </row>
    <row r="473" spans="1:19">
      <c r="A473" s="15"/>
      <c r="B473" s="15"/>
      <c r="C473" s="42"/>
      <c r="D473" s="15"/>
      <c r="E473" s="42"/>
      <c r="F473" s="43"/>
      <c r="G473" s="15"/>
      <c r="H473" s="44"/>
      <c r="I473" s="15"/>
      <c r="J473" s="15"/>
      <c r="K473" s="15"/>
      <c r="L473" s="15"/>
      <c r="M473" s="15"/>
      <c r="N473" s="15"/>
      <c r="O473" s="15"/>
      <c r="P473" s="45"/>
      <c r="Q473" s="45"/>
      <c r="R473" s="45"/>
      <c r="S473" s="45"/>
    </row>
    <row r="474" spans="1:19">
      <c r="A474" s="15"/>
      <c r="B474" s="15"/>
      <c r="C474" s="42"/>
      <c r="D474" s="15"/>
      <c r="E474" s="42"/>
      <c r="F474" s="43"/>
      <c r="G474" s="15"/>
      <c r="H474" s="44"/>
      <c r="I474" s="15"/>
      <c r="J474" s="15"/>
      <c r="K474" s="15"/>
      <c r="L474" s="15"/>
      <c r="M474" s="15"/>
      <c r="N474" s="15"/>
      <c r="O474" s="15"/>
      <c r="P474" s="45"/>
      <c r="Q474" s="45"/>
      <c r="R474" s="45"/>
      <c r="S474" s="45"/>
    </row>
    <row r="475" spans="1:19">
      <c r="A475" s="15"/>
      <c r="B475" s="15"/>
      <c r="C475" s="42"/>
      <c r="D475" s="15"/>
      <c r="E475" s="42"/>
      <c r="F475" s="43"/>
      <c r="G475" s="15"/>
      <c r="H475" s="44"/>
      <c r="I475" s="15"/>
      <c r="J475" s="15"/>
      <c r="K475" s="15"/>
      <c r="L475" s="15"/>
      <c r="M475" s="15"/>
      <c r="N475" s="15"/>
      <c r="O475" s="15"/>
      <c r="P475" s="45"/>
      <c r="Q475" s="45"/>
      <c r="R475" s="45"/>
      <c r="S475" s="45"/>
    </row>
    <row r="476" spans="1:19">
      <c r="A476" s="15"/>
      <c r="B476" s="15"/>
      <c r="C476" s="42"/>
      <c r="D476" s="15"/>
      <c r="E476" s="42"/>
      <c r="F476" s="43"/>
      <c r="G476" s="15"/>
      <c r="H476" s="44"/>
      <c r="I476" s="15"/>
      <c r="J476" s="15"/>
      <c r="K476" s="15"/>
      <c r="L476" s="15"/>
      <c r="M476" s="15"/>
      <c r="N476" s="15"/>
      <c r="O476" s="15"/>
      <c r="P476" s="45"/>
      <c r="Q476" s="45"/>
      <c r="R476" s="45"/>
      <c r="S476" s="45"/>
    </row>
    <row r="477" spans="1:19">
      <c r="A477" s="15"/>
      <c r="B477" s="15"/>
      <c r="C477" s="42"/>
      <c r="D477" s="15"/>
      <c r="E477" s="42"/>
      <c r="F477" s="43"/>
      <c r="G477" s="15"/>
      <c r="H477" s="44"/>
      <c r="I477" s="15"/>
      <c r="J477" s="15"/>
      <c r="K477" s="15"/>
      <c r="L477" s="15"/>
      <c r="M477" s="15"/>
      <c r="N477" s="15"/>
      <c r="O477" s="15"/>
      <c r="P477" s="45"/>
      <c r="Q477" s="45"/>
      <c r="R477" s="45"/>
      <c r="S477" s="45"/>
    </row>
    <row r="478" spans="1:19">
      <c r="A478" s="15"/>
      <c r="B478" s="15"/>
      <c r="C478" s="42"/>
      <c r="D478" s="15"/>
      <c r="E478" s="42"/>
      <c r="F478" s="43"/>
      <c r="G478" s="15"/>
      <c r="H478" s="44"/>
      <c r="I478" s="15"/>
      <c r="J478" s="15"/>
      <c r="K478" s="15"/>
      <c r="L478" s="15"/>
      <c r="M478" s="15"/>
      <c r="N478" s="15"/>
      <c r="O478" s="15"/>
      <c r="P478" s="45"/>
      <c r="Q478" s="45"/>
      <c r="R478" s="45"/>
      <c r="S478" s="45"/>
    </row>
    <row r="479" spans="1:19">
      <c r="A479" s="15"/>
      <c r="B479" s="15"/>
      <c r="C479" s="42"/>
      <c r="D479" s="15"/>
      <c r="E479" s="42"/>
      <c r="F479" s="43"/>
      <c r="G479" s="15"/>
      <c r="H479" s="44"/>
      <c r="I479" s="15"/>
      <c r="J479" s="15"/>
      <c r="K479" s="15"/>
      <c r="L479" s="15"/>
      <c r="M479" s="15"/>
      <c r="N479" s="15"/>
      <c r="O479" s="15"/>
      <c r="P479" s="45"/>
      <c r="Q479" s="45"/>
      <c r="R479" s="45"/>
      <c r="S479" s="45"/>
    </row>
    <row r="480" spans="1:19">
      <c r="A480" s="15"/>
      <c r="B480" s="15"/>
      <c r="C480" s="42"/>
      <c r="D480" s="15"/>
      <c r="E480" s="42"/>
      <c r="F480" s="43"/>
      <c r="G480" s="15"/>
      <c r="H480" s="44"/>
      <c r="I480" s="15"/>
      <c r="J480" s="15"/>
      <c r="K480" s="15"/>
      <c r="L480" s="15"/>
      <c r="M480" s="15"/>
      <c r="N480" s="15"/>
      <c r="O480" s="15"/>
      <c r="P480" s="45"/>
      <c r="Q480" s="45"/>
      <c r="R480" s="45"/>
      <c r="S480" s="45"/>
    </row>
    <row r="481" spans="1:19">
      <c r="A481" s="15"/>
      <c r="B481" s="15"/>
      <c r="C481" s="42"/>
      <c r="D481" s="15"/>
      <c r="E481" s="42"/>
      <c r="F481" s="43"/>
      <c r="G481" s="15"/>
      <c r="H481" s="44"/>
      <c r="I481" s="15"/>
      <c r="J481" s="15"/>
      <c r="K481" s="15"/>
      <c r="L481" s="15"/>
      <c r="M481" s="15"/>
      <c r="N481" s="15"/>
      <c r="O481" s="15"/>
      <c r="P481" s="45"/>
      <c r="Q481" s="45"/>
      <c r="R481" s="45"/>
      <c r="S481" s="45"/>
    </row>
    <row r="482" spans="1:19">
      <c r="A482" s="15"/>
      <c r="B482" s="15"/>
      <c r="C482" s="42"/>
      <c r="D482" s="15"/>
      <c r="E482" s="42"/>
      <c r="F482" s="43"/>
      <c r="G482" s="15"/>
      <c r="H482" s="44"/>
      <c r="I482" s="15"/>
      <c r="J482" s="15"/>
      <c r="K482" s="15"/>
      <c r="L482" s="15"/>
      <c r="M482" s="15"/>
      <c r="N482" s="15"/>
      <c r="O482" s="15"/>
      <c r="P482" s="45"/>
      <c r="Q482" s="45"/>
      <c r="R482" s="45"/>
      <c r="S482" s="45"/>
    </row>
    <row r="483" spans="1:19">
      <c r="A483" s="15"/>
      <c r="B483" s="15"/>
      <c r="C483" s="42"/>
      <c r="D483" s="15"/>
      <c r="E483" s="42"/>
      <c r="F483" s="43"/>
      <c r="G483" s="15"/>
      <c r="H483" s="44"/>
      <c r="I483" s="15"/>
      <c r="J483" s="15"/>
      <c r="K483" s="15"/>
      <c r="L483" s="15"/>
      <c r="M483" s="15"/>
      <c r="N483" s="15"/>
      <c r="O483" s="15"/>
      <c r="P483" s="45"/>
      <c r="Q483" s="45"/>
      <c r="R483" s="45"/>
      <c r="S483" s="45"/>
    </row>
    <row r="484" spans="1:19">
      <c r="A484" s="15"/>
      <c r="B484" s="15"/>
      <c r="C484" s="42"/>
      <c r="D484" s="15"/>
      <c r="E484" s="42"/>
      <c r="F484" s="43"/>
      <c r="G484" s="15"/>
      <c r="H484" s="44"/>
      <c r="I484" s="15"/>
      <c r="J484" s="15"/>
      <c r="K484" s="15"/>
      <c r="L484" s="15"/>
      <c r="M484" s="15"/>
      <c r="N484" s="15"/>
      <c r="O484" s="15"/>
      <c r="P484" s="45"/>
      <c r="Q484" s="45"/>
      <c r="R484" s="45"/>
      <c r="S484" s="45"/>
    </row>
    <row r="485" spans="1:19">
      <c r="A485" s="15"/>
      <c r="B485" s="15"/>
      <c r="C485" s="42"/>
      <c r="D485" s="15"/>
      <c r="E485" s="42"/>
      <c r="F485" s="43"/>
      <c r="G485" s="15"/>
      <c r="H485" s="44"/>
      <c r="I485" s="15"/>
      <c r="J485" s="15"/>
      <c r="K485" s="15"/>
      <c r="L485" s="15"/>
      <c r="M485" s="15"/>
      <c r="N485" s="15"/>
      <c r="O485" s="15"/>
      <c r="P485" s="45"/>
      <c r="Q485" s="45"/>
      <c r="R485" s="45"/>
      <c r="S485" s="45"/>
    </row>
    <row r="486" spans="1:19">
      <c r="A486" s="15"/>
      <c r="B486" s="15"/>
      <c r="C486" s="42"/>
      <c r="D486" s="15"/>
      <c r="E486" s="42"/>
      <c r="F486" s="43"/>
      <c r="G486" s="15"/>
      <c r="H486" s="44"/>
      <c r="I486" s="15"/>
      <c r="J486" s="15"/>
      <c r="K486" s="15"/>
      <c r="L486" s="15"/>
      <c r="M486" s="15"/>
      <c r="N486" s="15"/>
      <c r="O486" s="15"/>
      <c r="P486" s="45"/>
      <c r="Q486" s="45"/>
      <c r="R486" s="45"/>
      <c r="S486" s="45"/>
    </row>
    <row r="487" spans="1:19">
      <c r="A487" s="15"/>
      <c r="B487" s="15"/>
      <c r="C487" s="42"/>
      <c r="D487" s="15"/>
      <c r="E487" s="42"/>
      <c r="F487" s="43"/>
      <c r="G487" s="15"/>
      <c r="H487" s="44"/>
      <c r="I487" s="15"/>
      <c r="J487" s="15"/>
      <c r="K487" s="15"/>
      <c r="L487" s="15"/>
      <c r="M487" s="15"/>
      <c r="N487" s="15"/>
      <c r="O487" s="15"/>
      <c r="P487" s="45"/>
      <c r="Q487" s="45"/>
      <c r="R487" s="45"/>
      <c r="S487" s="45"/>
    </row>
    <row r="488" spans="1:19">
      <c r="A488" s="15"/>
      <c r="B488" s="15"/>
      <c r="C488" s="42"/>
      <c r="D488" s="15"/>
      <c r="E488" s="42"/>
      <c r="F488" s="43"/>
      <c r="G488" s="15"/>
      <c r="H488" s="44"/>
      <c r="I488" s="15"/>
      <c r="J488" s="15"/>
      <c r="K488" s="15"/>
      <c r="L488" s="15"/>
      <c r="M488" s="15"/>
      <c r="N488" s="15"/>
      <c r="O488" s="15"/>
      <c r="P488" s="45"/>
      <c r="Q488" s="45"/>
      <c r="R488" s="45"/>
      <c r="S488" s="45"/>
    </row>
    <row r="489" spans="1:19">
      <c r="A489" s="15"/>
      <c r="B489" s="15"/>
      <c r="C489" s="42"/>
      <c r="D489" s="15"/>
      <c r="E489" s="42"/>
      <c r="F489" s="43"/>
      <c r="G489" s="15"/>
      <c r="H489" s="44"/>
      <c r="I489" s="15"/>
      <c r="J489" s="15"/>
      <c r="K489" s="15"/>
      <c r="L489" s="15"/>
      <c r="M489" s="15"/>
      <c r="N489" s="15"/>
      <c r="O489" s="15"/>
      <c r="P489" s="45"/>
      <c r="Q489" s="45"/>
      <c r="R489" s="45"/>
      <c r="S489" s="45"/>
    </row>
    <row r="490" spans="1:19">
      <c r="A490" s="15"/>
      <c r="B490" s="15"/>
      <c r="C490" s="42"/>
      <c r="D490" s="15"/>
      <c r="E490" s="42"/>
      <c r="F490" s="43"/>
      <c r="G490" s="15"/>
      <c r="H490" s="44"/>
      <c r="I490" s="15"/>
      <c r="J490" s="15"/>
      <c r="K490" s="15"/>
      <c r="L490" s="15"/>
      <c r="M490" s="15"/>
      <c r="N490" s="15"/>
      <c r="O490" s="15"/>
      <c r="P490" s="45"/>
      <c r="Q490" s="45"/>
      <c r="R490" s="45"/>
      <c r="S490" s="45"/>
    </row>
    <row r="491" spans="1:19">
      <c r="A491" s="15"/>
      <c r="B491" s="15"/>
      <c r="C491" s="42"/>
      <c r="D491" s="15"/>
      <c r="E491" s="42"/>
      <c r="F491" s="43"/>
      <c r="G491" s="15"/>
      <c r="H491" s="44"/>
      <c r="I491" s="15"/>
      <c r="J491" s="15"/>
      <c r="K491" s="15"/>
      <c r="L491" s="15"/>
      <c r="M491" s="15"/>
      <c r="N491" s="15"/>
      <c r="O491" s="15"/>
      <c r="P491" s="45"/>
      <c r="Q491" s="45"/>
      <c r="R491" s="45"/>
      <c r="S491" s="45"/>
    </row>
    <row r="492" spans="1:19">
      <c r="A492" s="15"/>
      <c r="B492" s="15"/>
      <c r="C492" s="42"/>
      <c r="D492" s="15"/>
      <c r="E492" s="42"/>
      <c r="F492" s="43"/>
      <c r="G492" s="15"/>
      <c r="H492" s="44"/>
      <c r="I492" s="15"/>
      <c r="J492" s="15"/>
      <c r="K492" s="15"/>
      <c r="L492" s="15"/>
      <c r="M492" s="15"/>
      <c r="N492" s="15"/>
      <c r="O492" s="15"/>
      <c r="P492" s="45"/>
      <c r="Q492" s="45"/>
      <c r="R492" s="45"/>
      <c r="S492" s="45"/>
    </row>
    <row r="493" spans="1:19">
      <c r="A493" s="15"/>
      <c r="B493" s="15"/>
      <c r="C493" s="42"/>
      <c r="D493" s="15"/>
      <c r="E493" s="42"/>
      <c r="F493" s="43"/>
      <c r="G493" s="15"/>
      <c r="H493" s="44"/>
      <c r="I493" s="15"/>
      <c r="J493" s="15"/>
      <c r="K493" s="15"/>
      <c r="L493" s="15"/>
      <c r="M493" s="15"/>
      <c r="N493" s="15"/>
      <c r="O493" s="15"/>
      <c r="P493" s="45"/>
      <c r="Q493" s="45"/>
      <c r="R493" s="45"/>
      <c r="S493" s="45"/>
    </row>
    <row r="494" spans="1:19">
      <c r="A494" s="15"/>
      <c r="B494" s="15"/>
      <c r="C494" s="42"/>
      <c r="D494" s="15"/>
      <c r="E494" s="42"/>
      <c r="F494" s="43"/>
      <c r="G494" s="15"/>
      <c r="H494" s="44"/>
      <c r="I494" s="15"/>
      <c r="J494" s="15"/>
      <c r="K494" s="15"/>
      <c r="L494" s="15"/>
      <c r="M494" s="15"/>
      <c r="N494" s="15"/>
      <c r="O494" s="15"/>
      <c r="P494" s="45"/>
      <c r="Q494" s="45"/>
      <c r="R494" s="45"/>
      <c r="S494" s="45"/>
    </row>
    <row r="495" spans="1:19">
      <c r="A495" s="15"/>
      <c r="B495" s="15"/>
      <c r="C495" s="42"/>
      <c r="D495" s="15"/>
      <c r="E495" s="42"/>
      <c r="F495" s="43"/>
      <c r="G495" s="15"/>
      <c r="H495" s="44"/>
      <c r="I495" s="15"/>
      <c r="J495" s="15"/>
      <c r="K495" s="15"/>
      <c r="L495" s="15"/>
      <c r="M495" s="15"/>
      <c r="N495" s="15"/>
      <c r="O495" s="15"/>
      <c r="P495" s="45"/>
      <c r="Q495" s="45"/>
      <c r="R495" s="45"/>
      <c r="S495" s="45"/>
    </row>
    <row r="496" spans="1:19">
      <c r="A496" s="15"/>
      <c r="B496" s="15"/>
      <c r="C496" s="42"/>
      <c r="D496" s="15"/>
      <c r="E496" s="42"/>
      <c r="F496" s="43"/>
      <c r="G496" s="15"/>
      <c r="H496" s="44"/>
      <c r="I496" s="15"/>
      <c r="J496" s="15"/>
      <c r="K496" s="15"/>
      <c r="L496" s="15"/>
      <c r="M496" s="15"/>
      <c r="N496" s="15"/>
      <c r="O496" s="15"/>
      <c r="P496" s="45"/>
      <c r="Q496" s="45"/>
      <c r="R496" s="45"/>
      <c r="S496" s="45"/>
    </row>
    <row r="497" spans="1:19">
      <c r="A497" s="15"/>
      <c r="B497" s="15"/>
      <c r="C497" s="42"/>
      <c r="D497" s="15"/>
      <c r="E497" s="42"/>
      <c r="F497" s="43"/>
      <c r="G497" s="15"/>
      <c r="H497" s="44"/>
      <c r="I497" s="15"/>
      <c r="J497" s="15"/>
      <c r="K497" s="15"/>
      <c r="L497" s="15"/>
      <c r="M497" s="15"/>
      <c r="N497" s="15"/>
      <c r="O497" s="15"/>
      <c r="P497" s="45"/>
      <c r="Q497" s="45"/>
      <c r="R497" s="45"/>
      <c r="S497" s="45"/>
    </row>
    <row r="498" spans="1:19">
      <c r="A498" s="15"/>
      <c r="B498" s="15"/>
      <c r="C498" s="42"/>
      <c r="D498" s="15"/>
      <c r="E498" s="42"/>
      <c r="F498" s="43"/>
      <c r="G498" s="15"/>
      <c r="H498" s="44"/>
      <c r="I498" s="15"/>
      <c r="J498" s="15"/>
      <c r="K498" s="15"/>
      <c r="L498" s="15"/>
      <c r="M498" s="15"/>
      <c r="N498" s="15"/>
      <c r="O498" s="15"/>
      <c r="P498" s="45"/>
      <c r="Q498" s="45"/>
      <c r="R498" s="45"/>
      <c r="S498" s="45"/>
    </row>
    <row r="499" spans="1:19">
      <c r="A499" s="15"/>
      <c r="B499" s="15"/>
      <c r="C499" s="42"/>
      <c r="D499" s="15"/>
      <c r="E499" s="42"/>
      <c r="F499" s="43"/>
      <c r="G499" s="15"/>
      <c r="H499" s="44"/>
      <c r="I499" s="15"/>
      <c r="J499" s="15"/>
      <c r="K499" s="15"/>
      <c r="L499" s="15"/>
      <c r="M499" s="15"/>
      <c r="N499" s="15"/>
      <c r="O499" s="15"/>
      <c r="P499" s="45"/>
      <c r="Q499" s="45"/>
      <c r="R499" s="45"/>
      <c r="S499" s="45"/>
    </row>
    <row r="500" spans="1:19">
      <c r="A500" s="15"/>
      <c r="B500" s="15"/>
      <c r="C500" s="42"/>
      <c r="D500" s="15"/>
      <c r="E500" s="42"/>
      <c r="F500" s="43"/>
      <c r="G500" s="15"/>
      <c r="H500" s="44"/>
      <c r="I500" s="15"/>
      <c r="J500" s="15"/>
      <c r="K500" s="15"/>
      <c r="L500" s="15"/>
      <c r="M500" s="15"/>
      <c r="N500" s="15"/>
      <c r="O500" s="15"/>
      <c r="P500" s="45"/>
      <c r="Q500" s="45"/>
      <c r="R500" s="45"/>
      <c r="S500" s="45"/>
    </row>
    <row r="501" spans="1:19">
      <c r="A501" s="15"/>
      <c r="B501" s="15"/>
      <c r="C501" s="42"/>
      <c r="D501" s="15"/>
      <c r="E501" s="42"/>
      <c r="F501" s="43"/>
      <c r="G501" s="15"/>
      <c r="H501" s="44"/>
      <c r="I501" s="15"/>
      <c r="J501" s="15"/>
      <c r="K501" s="15"/>
      <c r="L501" s="15"/>
      <c r="M501" s="15"/>
      <c r="N501" s="15"/>
      <c r="O501" s="15"/>
      <c r="P501" s="45"/>
      <c r="Q501" s="45"/>
      <c r="R501" s="45"/>
      <c r="S501" s="45"/>
    </row>
    <row r="502" spans="1:19">
      <c r="A502" s="15"/>
      <c r="B502" s="15"/>
      <c r="C502" s="42"/>
      <c r="D502" s="15"/>
      <c r="E502" s="42"/>
      <c r="F502" s="43"/>
      <c r="G502" s="15"/>
      <c r="H502" s="44"/>
      <c r="I502" s="15"/>
      <c r="J502" s="15"/>
      <c r="K502" s="15"/>
      <c r="L502" s="15"/>
      <c r="M502" s="15"/>
      <c r="N502" s="15"/>
      <c r="O502" s="15"/>
      <c r="P502" s="45"/>
      <c r="Q502" s="45"/>
      <c r="R502" s="45"/>
      <c r="S502" s="45"/>
    </row>
    <row r="503" spans="1:19">
      <c r="A503" s="15"/>
      <c r="B503" s="15"/>
      <c r="C503" s="42"/>
      <c r="D503" s="15"/>
      <c r="E503" s="42"/>
      <c r="F503" s="43"/>
      <c r="G503" s="15"/>
      <c r="H503" s="44"/>
      <c r="I503" s="15"/>
      <c r="J503" s="15"/>
      <c r="K503" s="15"/>
      <c r="L503" s="15"/>
      <c r="M503" s="15"/>
      <c r="N503" s="15"/>
      <c r="O503" s="15"/>
      <c r="P503" s="45"/>
      <c r="Q503" s="45"/>
      <c r="R503" s="45"/>
      <c r="S503" s="45"/>
    </row>
    <row r="504" spans="1:19">
      <c r="A504" s="15"/>
      <c r="B504" s="15"/>
      <c r="C504" s="42"/>
      <c r="D504" s="15"/>
      <c r="E504" s="42"/>
      <c r="F504" s="43"/>
      <c r="G504" s="15"/>
      <c r="H504" s="44"/>
      <c r="I504" s="15"/>
      <c r="J504" s="15"/>
      <c r="K504" s="15"/>
      <c r="L504" s="15"/>
      <c r="M504" s="15"/>
      <c r="N504" s="15"/>
      <c r="O504" s="15"/>
      <c r="P504" s="45"/>
      <c r="Q504" s="45"/>
      <c r="R504" s="45"/>
      <c r="S504" s="45"/>
    </row>
    <row r="505" spans="1:19">
      <c r="A505" s="15"/>
      <c r="B505" s="15"/>
      <c r="C505" s="42"/>
      <c r="D505" s="15"/>
      <c r="E505" s="42"/>
      <c r="F505" s="43"/>
      <c r="G505" s="15"/>
      <c r="H505" s="44"/>
      <c r="I505" s="15"/>
      <c r="J505" s="15"/>
      <c r="K505" s="15"/>
      <c r="L505" s="15"/>
      <c r="M505" s="15"/>
      <c r="N505" s="15"/>
      <c r="O505" s="15"/>
      <c r="P505" s="45"/>
      <c r="Q505" s="45"/>
      <c r="R505" s="45"/>
      <c r="S505" s="45"/>
    </row>
    <row r="506" spans="1:19">
      <c r="A506" s="15"/>
      <c r="B506" s="15"/>
      <c r="C506" s="42"/>
      <c r="D506" s="15"/>
      <c r="E506" s="42"/>
      <c r="F506" s="43"/>
      <c r="G506" s="15"/>
      <c r="H506" s="44"/>
      <c r="I506" s="15"/>
      <c r="J506" s="15"/>
      <c r="K506" s="15"/>
      <c r="L506" s="15"/>
      <c r="M506" s="15"/>
      <c r="N506" s="15"/>
      <c r="O506" s="15"/>
      <c r="P506" s="45"/>
      <c r="Q506" s="45"/>
      <c r="R506" s="45"/>
      <c r="S506" s="45"/>
    </row>
    <row r="507" spans="1:19">
      <c r="A507" s="15"/>
      <c r="B507" s="15"/>
      <c r="C507" s="42"/>
      <c r="D507" s="15"/>
      <c r="E507" s="42"/>
      <c r="F507" s="43"/>
      <c r="G507" s="15"/>
      <c r="H507" s="44"/>
      <c r="I507" s="15"/>
      <c r="J507" s="15"/>
      <c r="K507" s="15"/>
      <c r="L507" s="15"/>
      <c r="M507" s="15"/>
      <c r="N507" s="15"/>
      <c r="O507" s="15"/>
      <c r="P507" s="45"/>
      <c r="Q507" s="45"/>
      <c r="R507" s="45"/>
      <c r="S507" s="45"/>
    </row>
    <row r="508" spans="1:19">
      <c r="A508" s="15"/>
      <c r="B508" s="15"/>
      <c r="C508" s="42"/>
      <c r="D508" s="15"/>
      <c r="E508" s="42"/>
      <c r="F508" s="43"/>
      <c r="G508" s="15"/>
      <c r="H508" s="44"/>
      <c r="I508" s="15"/>
      <c r="J508" s="15"/>
      <c r="K508" s="15"/>
      <c r="L508" s="15"/>
      <c r="M508" s="15"/>
      <c r="N508" s="15"/>
      <c r="O508" s="15"/>
      <c r="P508" s="45"/>
      <c r="Q508" s="45"/>
      <c r="R508" s="45"/>
      <c r="S508" s="45"/>
    </row>
    <row r="509" spans="1:19">
      <c r="A509" s="15"/>
      <c r="B509" s="15"/>
      <c r="C509" s="42"/>
      <c r="D509" s="15"/>
      <c r="E509" s="42"/>
      <c r="F509" s="43"/>
      <c r="G509" s="15"/>
      <c r="H509" s="44"/>
      <c r="I509" s="15"/>
      <c r="J509" s="15"/>
      <c r="K509" s="15"/>
      <c r="L509" s="15"/>
      <c r="M509" s="15"/>
      <c r="N509" s="15"/>
      <c r="O509" s="15"/>
      <c r="P509" s="45"/>
      <c r="Q509" s="45"/>
      <c r="R509" s="45"/>
      <c r="S509" s="45"/>
    </row>
    <row r="510" spans="1:19">
      <c r="A510" s="15"/>
      <c r="B510" s="15"/>
      <c r="C510" s="42"/>
      <c r="D510" s="15"/>
      <c r="E510" s="42"/>
      <c r="F510" s="43"/>
      <c r="G510" s="15"/>
      <c r="H510" s="44"/>
      <c r="I510" s="15"/>
      <c r="J510" s="15"/>
      <c r="K510" s="15"/>
      <c r="L510" s="15"/>
      <c r="M510" s="15"/>
      <c r="N510" s="15"/>
      <c r="O510" s="15"/>
      <c r="P510" s="45"/>
      <c r="Q510" s="45"/>
      <c r="R510" s="45"/>
      <c r="S510" s="45"/>
    </row>
    <row r="511" spans="1:19">
      <c r="A511" s="15"/>
      <c r="B511" s="15"/>
      <c r="C511" s="42"/>
      <c r="D511" s="15"/>
      <c r="E511" s="42"/>
      <c r="F511" s="43"/>
      <c r="G511" s="15"/>
      <c r="H511" s="44"/>
      <c r="I511" s="15"/>
      <c r="J511" s="15"/>
      <c r="K511" s="15"/>
      <c r="L511" s="15"/>
      <c r="M511" s="15"/>
      <c r="N511" s="15"/>
      <c r="O511" s="15"/>
      <c r="P511" s="45"/>
      <c r="Q511" s="45"/>
      <c r="R511" s="45"/>
      <c r="S511" s="45"/>
    </row>
    <row r="512" spans="1:19">
      <c r="A512" s="15"/>
      <c r="B512" s="15"/>
      <c r="C512" s="42"/>
      <c r="D512" s="15"/>
      <c r="E512" s="42"/>
      <c r="F512" s="43"/>
      <c r="G512" s="15"/>
      <c r="H512" s="44"/>
      <c r="I512" s="15"/>
      <c r="J512" s="15"/>
      <c r="K512" s="15"/>
      <c r="L512" s="15"/>
      <c r="M512" s="15"/>
      <c r="N512" s="15"/>
      <c r="O512" s="15"/>
      <c r="P512" s="45"/>
      <c r="Q512" s="45"/>
      <c r="R512" s="45"/>
      <c r="S512" s="45"/>
    </row>
    <row r="513" spans="1:19">
      <c r="A513" s="15"/>
      <c r="B513" s="15"/>
      <c r="C513" s="42"/>
      <c r="D513" s="15"/>
      <c r="E513" s="42"/>
      <c r="F513" s="43"/>
      <c r="G513" s="15"/>
      <c r="H513" s="44"/>
      <c r="I513" s="15"/>
      <c r="J513" s="15"/>
      <c r="K513" s="15"/>
      <c r="L513" s="15"/>
      <c r="M513" s="15"/>
      <c r="N513" s="15"/>
      <c r="O513" s="15"/>
      <c r="P513" s="45"/>
      <c r="Q513" s="45"/>
      <c r="R513" s="45"/>
      <c r="S513" s="45"/>
    </row>
    <row r="514" spans="1:19">
      <c r="A514" s="15"/>
      <c r="B514" s="15"/>
      <c r="C514" s="42"/>
      <c r="D514" s="15"/>
      <c r="E514" s="42"/>
      <c r="F514" s="43"/>
      <c r="G514" s="15"/>
      <c r="H514" s="44"/>
      <c r="I514" s="15"/>
      <c r="J514" s="15"/>
      <c r="K514" s="15"/>
      <c r="L514" s="15"/>
      <c r="M514" s="15"/>
      <c r="N514" s="15"/>
      <c r="O514" s="15"/>
      <c r="P514" s="45"/>
      <c r="Q514" s="45"/>
      <c r="R514" s="45"/>
      <c r="S514" s="45"/>
    </row>
    <row r="515" spans="1:19">
      <c r="A515" s="15"/>
      <c r="B515" s="15"/>
      <c r="C515" s="42"/>
      <c r="D515" s="15"/>
      <c r="E515" s="42"/>
      <c r="F515" s="43"/>
      <c r="G515" s="15"/>
      <c r="H515" s="44"/>
      <c r="I515" s="15"/>
      <c r="J515" s="15"/>
      <c r="K515" s="15"/>
      <c r="L515" s="15"/>
      <c r="M515" s="15"/>
      <c r="N515" s="15"/>
      <c r="O515" s="15"/>
      <c r="P515" s="45"/>
      <c r="Q515" s="45"/>
      <c r="R515" s="45"/>
      <c r="S515" s="45"/>
    </row>
    <row r="516" spans="1:19">
      <c r="A516" s="15"/>
      <c r="B516" s="15"/>
      <c r="C516" s="42"/>
      <c r="D516" s="15"/>
      <c r="E516" s="42"/>
      <c r="F516" s="43"/>
      <c r="G516" s="15"/>
      <c r="H516" s="44"/>
      <c r="I516" s="15"/>
      <c r="J516" s="15"/>
      <c r="K516" s="15"/>
      <c r="L516" s="15"/>
      <c r="M516" s="15"/>
      <c r="N516" s="15"/>
      <c r="O516" s="15"/>
      <c r="P516" s="45"/>
      <c r="Q516" s="45"/>
      <c r="R516" s="45"/>
      <c r="S516" s="45"/>
    </row>
    <row r="517" spans="1:19">
      <c r="A517" s="15"/>
      <c r="B517" s="15"/>
      <c r="C517" s="42"/>
      <c r="D517" s="15"/>
      <c r="E517" s="42"/>
      <c r="F517" s="43"/>
      <c r="G517" s="15"/>
      <c r="H517" s="44"/>
      <c r="I517" s="15"/>
      <c r="J517" s="15"/>
      <c r="K517" s="15"/>
      <c r="L517" s="15"/>
      <c r="M517" s="15"/>
      <c r="N517" s="15"/>
      <c r="O517" s="15"/>
      <c r="P517" s="45"/>
      <c r="Q517" s="45"/>
      <c r="R517" s="45"/>
      <c r="S517" s="45"/>
    </row>
    <row r="518" spans="1:19">
      <c r="A518" s="15"/>
      <c r="B518" s="15"/>
      <c r="C518" s="42"/>
      <c r="D518" s="15"/>
      <c r="E518" s="42"/>
      <c r="F518" s="43"/>
      <c r="G518" s="15"/>
      <c r="H518" s="44"/>
      <c r="I518" s="15"/>
      <c r="J518" s="15"/>
      <c r="K518" s="15"/>
      <c r="L518" s="15"/>
      <c r="M518" s="15"/>
      <c r="N518" s="15"/>
      <c r="O518" s="15"/>
      <c r="P518" s="45"/>
      <c r="Q518" s="45"/>
      <c r="R518" s="45"/>
      <c r="S518" s="45"/>
    </row>
    <row r="519" spans="1:19">
      <c r="A519" s="15"/>
      <c r="B519" s="15"/>
      <c r="C519" s="42"/>
      <c r="D519" s="15"/>
      <c r="E519" s="42"/>
      <c r="F519" s="43"/>
      <c r="G519" s="15"/>
      <c r="H519" s="44"/>
      <c r="I519" s="15"/>
      <c r="J519" s="15"/>
      <c r="K519" s="15"/>
      <c r="L519" s="15"/>
      <c r="M519" s="15"/>
      <c r="N519" s="15"/>
      <c r="O519" s="15"/>
      <c r="P519" s="45"/>
      <c r="Q519" s="45"/>
      <c r="R519" s="45"/>
      <c r="S519" s="45"/>
    </row>
    <row r="520" spans="1:19">
      <c r="A520" s="15"/>
      <c r="B520" s="15"/>
      <c r="C520" s="42"/>
      <c r="D520" s="15"/>
      <c r="E520" s="42"/>
      <c r="F520" s="43"/>
      <c r="G520" s="15"/>
      <c r="H520" s="44"/>
      <c r="I520" s="15"/>
      <c r="J520" s="15"/>
      <c r="K520" s="15"/>
      <c r="L520" s="15"/>
      <c r="M520" s="15"/>
      <c r="N520" s="15"/>
      <c r="O520" s="15"/>
      <c r="P520" s="45"/>
      <c r="Q520" s="45"/>
      <c r="R520" s="45"/>
      <c r="S520" s="45"/>
    </row>
    <row r="521" spans="1:19">
      <c r="A521" s="15"/>
      <c r="B521" s="15"/>
      <c r="C521" s="42"/>
      <c r="D521" s="15"/>
      <c r="E521" s="42"/>
      <c r="F521" s="43"/>
      <c r="G521" s="15"/>
      <c r="H521" s="44"/>
      <c r="I521" s="15"/>
      <c r="J521" s="15"/>
      <c r="K521" s="15"/>
      <c r="L521" s="15"/>
      <c r="M521" s="15"/>
      <c r="N521" s="15"/>
      <c r="O521" s="15"/>
      <c r="P521" s="45"/>
      <c r="Q521" s="45"/>
      <c r="R521" s="45"/>
      <c r="S521" s="45"/>
    </row>
    <row r="522" spans="1:19">
      <c r="A522" s="15"/>
      <c r="B522" s="15"/>
      <c r="C522" s="42"/>
      <c r="D522" s="15"/>
      <c r="E522" s="42"/>
      <c r="F522" s="43"/>
      <c r="G522" s="15"/>
      <c r="H522" s="44"/>
      <c r="I522" s="15"/>
      <c r="J522" s="15"/>
      <c r="K522" s="15"/>
      <c r="L522" s="15"/>
      <c r="M522" s="15"/>
      <c r="N522" s="15"/>
      <c r="O522" s="15"/>
      <c r="P522" s="45"/>
      <c r="Q522" s="45"/>
      <c r="R522" s="45"/>
      <c r="S522" s="45"/>
    </row>
    <row r="523" spans="1:19">
      <c r="A523" s="15"/>
      <c r="B523" s="15"/>
      <c r="C523" s="42"/>
      <c r="D523" s="15"/>
      <c r="E523" s="42"/>
      <c r="F523" s="43"/>
      <c r="G523" s="15"/>
      <c r="H523" s="44"/>
      <c r="I523" s="15"/>
      <c r="J523" s="15"/>
      <c r="K523" s="15"/>
      <c r="L523" s="15"/>
      <c r="M523" s="15"/>
      <c r="N523" s="15"/>
      <c r="O523" s="15"/>
      <c r="P523" s="45"/>
      <c r="Q523" s="45"/>
      <c r="R523" s="45"/>
      <c r="S523" s="45"/>
    </row>
    <row r="524" spans="1:19">
      <c r="A524" s="15"/>
      <c r="B524" s="15"/>
      <c r="C524" s="42"/>
      <c r="D524" s="15"/>
      <c r="E524" s="42"/>
      <c r="F524" s="43"/>
      <c r="G524" s="15"/>
      <c r="H524" s="44"/>
      <c r="I524" s="15"/>
      <c r="J524" s="15"/>
      <c r="K524" s="15"/>
      <c r="L524" s="15"/>
      <c r="M524" s="15"/>
      <c r="N524" s="15"/>
      <c r="O524" s="15"/>
      <c r="P524" s="45"/>
      <c r="Q524" s="45"/>
      <c r="R524" s="45"/>
      <c r="S524" s="45"/>
    </row>
    <row r="525" spans="1:19">
      <c r="A525" s="15"/>
      <c r="B525" s="15"/>
      <c r="C525" s="42"/>
      <c r="D525" s="15"/>
      <c r="E525" s="42"/>
      <c r="F525" s="43"/>
      <c r="G525" s="15"/>
      <c r="H525" s="44"/>
      <c r="I525" s="15"/>
      <c r="J525" s="15"/>
      <c r="K525" s="15"/>
      <c r="L525" s="15"/>
      <c r="M525" s="15"/>
      <c r="N525" s="15"/>
      <c r="O525" s="15"/>
      <c r="P525" s="45"/>
      <c r="Q525" s="45"/>
      <c r="R525" s="45"/>
      <c r="S525" s="45"/>
    </row>
    <row r="526" spans="1:19">
      <c r="A526" s="15"/>
      <c r="B526" s="15"/>
      <c r="C526" s="42"/>
      <c r="D526" s="15"/>
      <c r="E526" s="42"/>
      <c r="F526" s="43"/>
      <c r="G526" s="15"/>
      <c r="H526" s="44"/>
      <c r="I526" s="15"/>
      <c r="J526" s="15"/>
      <c r="K526" s="15"/>
      <c r="L526" s="15"/>
      <c r="M526" s="15"/>
      <c r="N526" s="15"/>
      <c r="O526" s="15"/>
      <c r="P526" s="45"/>
      <c r="Q526" s="45"/>
      <c r="R526" s="45"/>
      <c r="S526" s="45"/>
    </row>
    <row r="527" spans="1:19">
      <c r="A527" s="15"/>
      <c r="B527" s="15"/>
      <c r="C527" s="42"/>
      <c r="D527" s="15"/>
      <c r="E527" s="42"/>
      <c r="F527" s="43"/>
      <c r="G527" s="15"/>
      <c r="H527" s="44"/>
      <c r="I527" s="15"/>
      <c r="J527" s="15"/>
      <c r="K527" s="15"/>
      <c r="L527" s="15"/>
      <c r="M527" s="15"/>
      <c r="N527" s="15"/>
      <c r="O527" s="15"/>
      <c r="P527" s="45"/>
      <c r="Q527" s="45"/>
      <c r="R527" s="45"/>
      <c r="S527" s="45"/>
    </row>
    <row r="528" spans="1:19">
      <c r="A528" s="15"/>
      <c r="B528" s="15"/>
      <c r="C528" s="42"/>
      <c r="D528" s="15"/>
      <c r="E528" s="42"/>
      <c r="F528" s="43"/>
      <c r="G528" s="15"/>
      <c r="H528" s="44"/>
      <c r="I528" s="15"/>
      <c r="J528" s="15"/>
      <c r="K528" s="15"/>
      <c r="L528" s="15"/>
      <c r="M528" s="15"/>
      <c r="N528" s="15"/>
      <c r="O528" s="15"/>
      <c r="P528" s="45"/>
      <c r="Q528" s="45"/>
      <c r="R528" s="45"/>
      <c r="S528" s="45"/>
    </row>
    <row r="529" spans="1:19">
      <c r="A529" s="15"/>
      <c r="B529" s="15"/>
      <c r="C529" s="42"/>
      <c r="D529" s="15"/>
      <c r="E529" s="42"/>
      <c r="F529" s="43"/>
      <c r="G529" s="15"/>
      <c r="H529" s="44"/>
      <c r="I529" s="15"/>
      <c r="J529" s="15"/>
      <c r="K529" s="15"/>
      <c r="L529" s="15"/>
      <c r="M529" s="15"/>
      <c r="N529" s="15"/>
      <c r="O529" s="15"/>
      <c r="P529" s="45"/>
      <c r="Q529" s="45"/>
      <c r="R529" s="45"/>
      <c r="S529" s="45"/>
    </row>
    <row r="530" spans="1:19">
      <c r="A530" s="15"/>
      <c r="B530" s="15"/>
      <c r="C530" s="42"/>
      <c r="D530" s="15"/>
      <c r="E530" s="42"/>
      <c r="F530" s="43"/>
      <c r="G530" s="15"/>
      <c r="H530" s="44"/>
      <c r="I530" s="15"/>
      <c r="J530" s="15"/>
      <c r="K530" s="15"/>
      <c r="L530" s="15"/>
      <c r="M530" s="15"/>
      <c r="N530" s="15"/>
      <c r="O530" s="15"/>
      <c r="P530" s="45"/>
      <c r="Q530" s="45"/>
      <c r="R530" s="45"/>
      <c r="S530" s="45"/>
    </row>
    <row r="531" spans="1:19">
      <c r="A531" s="15"/>
      <c r="B531" s="15"/>
      <c r="C531" s="42"/>
      <c r="D531" s="15"/>
      <c r="E531" s="42"/>
      <c r="F531" s="43"/>
      <c r="G531" s="15"/>
      <c r="H531" s="44"/>
      <c r="I531" s="15"/>
      <c r="J531" s="15"/>
      <c r="K531" s="15"/>
      <c r="L531" s="15"/>
      <c r="M531" s="15"/>
      <c r="N531" s="15"/>
      <c r="O531" s="15"/>
      <c r="P531" s="45"/>
      <c r="Q531" s="45"/>
      <c r="R531" s="45"/>
      <c r="S531" s="45"/>
    </row>
    <row r="532" spans="1:19">
      <c r="A532" s="15"/>
      <c r="B532" s="15"/>
      <c r="C532" s="42"/>
      <c r="D532" s="15"/>
      <c r="E532" s="42"/>
      <c r="F532" s="43"/>
      <c r="G532" s="15"/>
      <c r="H532" s="44"/>
      <c r="I532" s="15"/>
      <c r="J532" s="15"/>
      <c r="K532" s="15"/>
      <c r="L532" s="15"/>
      <c r="M532" s="15"/>
      <c r="N532" s="15"/>
      <c r="O532" s="15"/>
      <c r="P532" s="45"/>
      <c r="Q532" s="45"/>
      <c r="R532" s="45"/>
      <c r="S532" s="45"/>
    </row>
    <row r="533" spans="1:19">
      <c r="A533" s="15"/>
      <c r="B533" s="15"/>
      <c r="C533" s="42"/>
      <c r="D533" s="15"/>
      <c r="E533" s="42"/>
      <c r="F533" s="43"/>
      <c r="G533" s="15"/>
      <c r="H533" s="44"/>
      <c r="I533" s="15"/>
      <c r="J533" s="15"/>
      <c r="K533" s="15"/>
      <c r="L533" s="15"/>
      <c r="M533" s="15"/>
      <c r="N533" s="15"/>
      <c r="O533" s="15"/>
      <c r="P533" s="45"/>
      <c r="Q533" s="45"/>
      <c r="R533" s="45"/>
      <c r="S533" s="45"/>
    </row>
    <row r="534" spans="1:19">
      <c r="A534" s="15"/>
      <c r="B534" s="15"/>
      <c r="C534" s="42"/>
      <c r="D534" s="15"/>
      <c r="E534" s="42"/>
      <c r="F534" s="43"/>
      <c r="G534" s="15"/>
      <c r="H534" s="44"/>
      <c r="I534" s="15"/>
      <c r="J534" s="15"/>
      <c r="K534" s="15"/>
      <c r="L534" s="15"/>
      <c r="M534" s="15"/>
      <c r="N534" s="15"/>
      <c r="O534" s="15"/>
      <c r="P534" s="45"/>
      <c r="Q534" s="45"/>
      <c r="R534" s="45"/>
      <c r="S534" s="45"/>
    </row>
    <row r="535" spans="1:19">
      <c r="A535" s="15"/>
      <c r="B535" s="15"/>
      <c r="C535" s="42"/>
      <c r="D535" s="15"/>
      <c r="E535" s="42"/>
      <c r="F535" s="43"/>
      <c r="G535" s="15"/>
      <c r="H535" s="44"/>
      <c r="I535" s="15"/>
      <c r="J535" s="15"/>
      <c r="K535" s="15"/>
      <c r="L535" s="15"/>
      <c r="M535" s="15"/>
      <c r="N535" s="15"/>
      <c r="O535" s="15"/>
      <c r="P535" s="45"/>
      <c r="Q535" s="45"/>
      <c r="R535" s="45"/>
      <c r="S535" s="45"/>
    </row>
    <row r="536" spans="1:19">
      <c r="A536" s="15"/>
      <c r="B536" s="15"/>
      <c r="C536" s="42"/>
      <c r="D536" s="15"/>
      <c r="E536" s="42"/>
      <c r="F536" s="43"/>
      <c r="G536" s="15"/>
      <c r="H536" s="44"/>
      <c r="I536" s="15"/>
      <c r="J536" s="15"/>
      <c r="K536" s="15"/>
      <c r="L536" s="15"/>
      <c r="M536" s="15"/>
      <c r="N536" s="15"/>
      <c r="O536" s="15"/>
      <c r="P536" s="45"/>
      <c r="Q536" s="45"/>
      <c r="R536" s="45"/>
      <c r="S536" s="45"/>
    </row>
    <row r="537" spans="1:19">
      <c r="A537" s="15"/>
      <c r="B537" s="15"/>
      <c r="C537" s="42"/>
      <c r="D537" s="15"/>
      <c r="E537" s="42"/>
      <c r="F537" s="43"/>
      <c r="G537" s="15"/>
      <c r="H537" s="44"/>
      <c r="I537" s="15"/>
      <c r="J537" s="15"/>
      <c r="K537" s="15"/>
      <c r="L537" s="15"/>
      <c r="M537" s="15"/>
      <c r="N537" s="15"/>
      <c r="O537" s="15"/>
      <c r="P537" s="45"/>
      <c r="Q537" s="45"/>
      <c r="R537" s="45"/>
      <c r="S537" s="45"/>
    </row>
    <row r="538" spans="1:19">
      <c r="A538" s="15"/>
      <c r="B538" s="15"/>
      <c r="C538" s="42"/>
      <c r="D538" s="15"/>
      <c r="E538" s="42"/>
      <c r="F538" s="43"/>
      <c r="G538" s="15"/>
      <c r="H538" s="44"/>
      <c r="I538" s="15"/>
      <c r="J538" s="15"/>
      <c r="K538" s="15"/>
      <c r="L538" s="15"/>
      <c r="M538" s="15"/>
      <c r="N538" s="15"/>
      <c r="O538" s="15"/>
      <c r="P538" s="45"/>
      <c r="Q538" s="45"/>
      <c r="R538" s="45"/>
      <c r="S538" s="45"/>
    </row>
    <row r="539" spans="1:19">
      <c r="A539" s="15"/>
      <c r="B539" s="15"/>
      <c r="C539" s="42"/>
      <c r="D539" s="15"/>
      <c r="E539" s="42"/>
      <c r="F539" s="43"/>
      <c r="G539" s="15"/>
      <c r="H539" s="44"/>
      <c r="I539" s="15"/>
      <c r="J539" s="15"/>
      <c r="K539" s="15"/>
      <c r="L539" s="15"/>
      <c r="M539" s="15"/>
      <c r="N539" s="15"/>
      <c r="O539" s="15"/>
      <c r="P539" s="45"/>
      <c r="Q539" s="45"/>
      <c r="R539" s="45"/>
      <c r="S539" s="45"/>
    </row>
    <row r="540" spans="1:19">
      <c r="A540" s="15"/>
      <c r="B540" s="15"/>
      <c r="C540" s="42"/>
      <c r="D540" s="15"/>
      <c r="E540" s="42"/>
      <c r="F540" s="43"/>
      <c r="G540" s="15"/>
      <c r="H540" s="44"/>
      <c r="I540" s="15"/>
      <c r="J540" s="15"/>
      <c r="K540" s="15"/>
      <c r="L540" s="15"/>
      <c r="M540" s="15"/>
      <c r="N540" s="15"/>
      <c r="O540" s="15"/>
      <c r="P540" s="45"/>
      <c r="Q540" s="45"/>
      <c r="R540" s="45"/>
      <c r="S540" s="45"/>
    </row>
    <row r="541" spans="1:19">
      <c r="A541" s="15"/>
      <c r="B541" s="15"/>
      <c r="C541" s="42"/>
      <c r="D541" s="15"/>
      <c r="E541" s="42"/>
      <c r="F541" s="43"/>
      <c r="G541" s="15"/>
      <c r="H541" s="44"/>
      <c r="I541" s="15"/>
      <c r="J541" s="15"/>
      <c r="K541" s="15"/>
      <c r="L541" s="15"/>
      <c r="M541" s="15"/>
      <c r="N541" s="15"/>
      <c r="O541" s="15"/>
      <c r="P541" s="45"/>
      <c r="Q541" s="45"/>
      <c r="R541" s="45"/>
      <c r="S541" s="45"/>
    </row>
    <row r="542" spans="1:19">
      <c r="A542" s="15"/>
      <c r="B542" s="15"/>
      <c r="C542" s="42"/>
      <c r="D542" s="15"/>
      <c r="E542" s="42"/>
      <c r="F542" s="43"/>
      <c r="G542" s="15"/>
      <c r="H542" s="44"/>
      <c r="I542" s="15"/>
      <c r="J542" s="15"/>
      <c r="K542" s="15"/>
      <c r="L542" s="15"/>
      <c r="M542" s="15"/>
      <c r="N542" s="15"/>
      <c r="O542" s="15"/>
      <c r="P542" s="45"/>
      <c r="Q542" s="45"/>
      <c r="R542" s="45"/>
      <c r="S542" s="45"/>
    </row>
    <row r="543" spans="1:19">
      <c r="A543" s="15"/>
      <c r="B543" s="15"/>
      <c r="C543" s="42"/>
      <c r="D543" s="15"/>
      <c r="E543" s="42"/>
      <c r="F543" s="43"/>
      <c r="G543" s="15"/>
      <c r="H543" s="44"/>
      <c r="I543" s="15"/>
      <c r="J543" s="15"/>
      <c r="K543" s="15"/>
      <c r="L543" s="15"/>
      <c r="M543" s="15"/>
      <c r="N543" s="15"/>
      <c r="O543" s="15"/>
      <c r="P543" s="45"/>
      <c r="Q543" s="45"/>
      <c r="R543" s="45"/>
      <c r="S543" s="45"/>
    </row>
    <row r="544" spans="1:19">
      <c r="A544" s="15"/>
      <c r="B544" s="15"/>
      <c r="C544" s="42"/>
      <c r="D544" s="15"/>
      <c r="E544" s="42"/>
      <c r="F544" s="43"/>
      <c r="G544" s="15"/>
      <c r="H544" s="44"/>
      <c r="I544" s="15"/>
      <c r="J544" s="15"/>
      <c r="K544" s="15"/>
      <c r="L544" s="15"/>
      <c r="M544" s="15"/>
      <c r="N544" s="15"/>
      <c r="O544" s="15"/>
      <c r="P544" s="45"/>
      <c r="Q544" s="45"/>
      <c r="R544" s="45"/>
      <c r="S544" s="45"/>
    </row>
    <row r="545" spans="1:19">
      <c r="A545" s="15"/>
      <c r="B545" s="15"/>
      <c r="C545" s="42"/>
      <c r="D545" s="15"/>
      <c r="E545" s="42"/>
      <c r="F545" s="43"/>
      <c r="G545" s="15"/>
      <c r="H545" s="44"/>
      <c r="I545" s="15"/>
      <c r="J545" s="15"/>
      <c r="K545" s="15"/>
      <c r="L545" s="15"/>
      <c r="M545" s="15"/>
      <c r="N545" s="15"/>
      <c r="O545" s="15"/>
      <c r="P545" s="45"/>
      <c r="Q545" s="45"/>
      <c r="R545" s="45"/>
      <c r="S545" s="45"/>
    </row>
    <row r="546" spans="1:19">
      <c r="A546" s="15"/>
      <c r="B546" s="15"/>
      <c r="C546" s="42"/>
      <c r="D546" s="15"/>
      <c r="E546" s="42"/>
      <c r="F546" s="43"/>
      <c r="G546" s="15"/>
      <c r="H546" s="44"/>
      <c r="I546" s="15"/>
      <c r="J546" s="15"/>
      <c r="K546" s="15"/>
      <c r="L546" s="15"/>
      <c r="M546" s="15"/>
      <c r="N546" s="15"/>
      <c r="O546" s="15"/>
      <c r="P546" s="45"/>
      <c r="Q546" s="45"/>
      <c r="R546" s="45"/>
      <c r="S546" s="45"/>
    </row>
    <row r="547" spans="1:19">
      <c r="A547" s="15"/>
      <c r="B547" s="15"/>
      <c r="C547" s="42"/>
      <c r="D547" s="15"/>
      <c r="E547" s="42"/>
      <c r="F547" s="43"/>
      <c r="G547" s="15"/>
      <c r="H547" s="44"/>
      <c r="I547" s="15"/>
      <c r="J547" s="15"/>
      <c r="K547" s="15"/>
      <c r="L547" s="15"/>
      <c r="M547" s="15"/>
      <c r="N547" s="15"/>
      <c r="O547" s="15"/>
      <c r="P547" s="45"/>
      <c r="Q547" s="45"/>
      <c r="R547" s="45"/>
      <c r="S547" s="45"/>
    </row>
    <row r="548" spans="1:19">
      <c r="A548" s="15"/>
      <c r="B548" s="15"/>
      <c r="C548" s="42"/>
      <c r="D548" s="15"/>
      <c r="E548" s="42"/>
      <c r="F548" s="43"/>
      <c r="G548" s="15"/>
      <c r="H548" s="44"/>
      <c r="I548" s="15"/>
      <c r="J548" s="15"/>
      <c r="K548" s="15"/>
      <c r="L548" s="15"/>
      <c r="M548" s="15"/>
      <c r="N548" s="15"/>
      <c r="O548" s="15"/>
      <c r="P548" s="45"/>
      <c r="Q548" s="45"/>
      <c r="R548" s="45"/>
      <c r="S548" s="45"/>
    </row>
    <row r="549" spans="1:19">
      <c r="A549" s="15"/>
      <c r="B549" s="15"/>
      <c r="C549" s="42"/>
      <c r="D549" s="15"/>
      <c r="E549" s="42"/>
      <c r="F549" s="43"/>
      <c r="G549" s="15"/>
      <c r="H549" s="44"/>
      <c r="I549" s="15"/>
      <c r="J549" s="15"/>
      <c r="K549" s="15"/>
      <c r="L549" s="15"/>
      <c r="M549" s="15"/>
      <c r="N549" s="15"/>
      <c r="O549" s="15"/>
      <c r="P549" s="45"/>
      <c r="Q549" s="45"/>
      <c r="R549" s="45"/>
      <c r="S549" s="45"/>
    </row>
    <row r="550" spans="1:19">
      <c r="A550" s="15"/>
      <c r="B550" s="15"/>
      <c r="C550" s="42"/>
      <c r="D550" s="15"/>
      <c r="E550" s="42"/>
      <c r="F550" s="43"/>
      <c r="G550" s="15"/>
      <c r="H550" s="44"/>
      <c r="I550" s="15"/>
      <c r="J550" s="15"/>
      <c r="K550" s="15"/>
      <c r="L550" s="15"/>
      <c r="M550" s="15"/>
      <c r="N550" s="15"/>
      <c r="O550" s="15"/>
      <c r="P550" s="45"/>
      <c r="Q550" s="45"/>
      <c r="R550" s="45"/>
      <c r="S550" s="45"/>
    </row>
    <row r="551" spans="1:19">
      <c r="A551" s="15"/>
      <c r="B551" s="15"/>
      <c r="C551" s="42"/>
      <c r="D551" s="15"/>
      <c r="E551" s="42"/>
      <c r="F551" s="43"/>
      <c r="G551" s="15"/>
      <c r="H551" s="44"/>
      <c r="I551" s="15"/>
      <c r="J551" s="15"/>
      <c r="K551" s="15"/>
      <c r="L551" s="15"/>
      <c r="M551" s="15"/>
      <c r="N551" s="15"/>
      <c r="O551" s="15"/>
      <c r="P551" s="45"/>
      <c r="Q551" s="45"/>
      <c r="R551" s="45"/>
      <c r="S551" s="45"/>
    </row>
    <row r="552" spans="1:19">
      <c r="A552" s="15"/>
      <c r="B552" s="15"/>
      <c r="C552" s="42"/>
      <c r="D552" s="15"/>
      <c r="E552" s="42"/>
      <c r="F552" s="43"/>
      <c r="G552" s="15"/>
      <c r="H552" s="44"/>
      <c r="I552" s="15"/>
      <c r="J552" s="15"/>
      <c r="K552" s="15"/>
      <c r="L552" s="15"/>
      <c r="M552" s="15"/>
      <c r="N552" s="15"/>
      <c r="O552" s="15"/>
      <c r="P552" s="45"/>
      <c r="Q552" s="45"/>
      <c r="R552" s="45"/>
      <c r="S552" s="45"/>
    </row>
    <row r="553" spans="1:19">
      <c r="A553" s="15"/>
      <c r="B553" s="15"/>
      <c r="C553" s="42"/>
      <c r="D553" s="15"/>
      <c r="E553" s="42"/>
      <c r="F553" s="43"/>
      <c r="G553" s="15"/>
      <c r="H553" s="44"/>
      <c r="I553" s="15"/>
      <c r="J553" s="15"/>
      <c r="K553" s="15"/>
      <c r="L553" s="15"/>
      <c r="M553" s="15"/>
      <c r="N553" s="15"/>
      <c r="O553" s="15"/>
      <c r="P553" s="45"/>
      <c r="Q553" s="45"/>
      <c r="R553" s="45"/>
      <c r="S553" s="45"/>
    </row>
    <row r="554" spans="1:19">
      <c r="A554" s="15"/>
      <c r="B554" s="15"/>
      <c r="C554" s="42"/>
      <c r="D554" s="15"/>
      <c r="E554" s="42"/>
      <c r="F554" s="43"/>
      <c r="G554" s="15"/>
      <c r="H554" s="44"/>
      <c r="I554" s="15"/>
      <c r="J554" s="15"/>
      <c r="K554" s="15"/>
      <c r="L554" s="15"/>
      <c r="M554" s="15"/>
      <c r="N554" s="15"/>
      <c r="O554" s="15"/>
      <c r="P554" s="45"/>
      <c r="Q554" s="45"/>
      <c r="R554" s="45"/>
      <c r="S554" s="45"/>
    </row>
    <row r="555" spans="1:19">
      <c r="A555" s="15"/>
      <c r="B555" s="15"/>
      <c r="C555" s="42"/>
      <c r="D555" s="15"/>
      <c r="E555" s="42"/>
      <c r="F555" s="43"/>
      <c r="G555" s="15"/>
      <c r="H555" s="44"/>
      <c r="I555" s="15"/>
      <c r="J555" s="15"/>
      <c r="K555" s="15"/>
      <c r="L555" s="15"/>
      <c r="M555" s="15"/>
      <c r="N555" s="15"/>
      <c r="O555" s="15"/>
      <c r="P555" s="45"/>
      <c r="Q555" s="45"/>
      <c r="R555" s="45"/>
      <c r="S555" s="45"/>
    </row>
    <row r="556" spans="1:19">
      <c r="A556" s="15"/>
      <c r="B556" s="15"/>
      <c r="C556" s="42"/>
      <c r="D556" s="15"/>
      <c r="E556" s="42"/>
      <c r="F556" s="43"/>
      <c r="G556" s="15"/>
      <c r="H556" s="44"/>
      <c r="I556" s="15"/>
      <c r="J556" s="15"/>
      <c r="K556" s="15"/>
      <c r="L556" s="15"/>
      <c r="M556" s="15"/>
      <c r="N556" s="15"/>
      <c r="O556" s="15"/>
      <c r="P556" s="45"/>
      <c r="Q556" s="45"/>
      <c r="R556" s="45"/>
      <c r="S556" s="45"/>
    </row>
    <row r="557" spans="1:19">
      <c r="A557" s="15"/>
      <c r="B557" s="15"/>
      <c r="C557" s="42"/>
      <c r="D557" s="15"/>
      <c r="E557" s="42"/>
      <c r="F557" s="43"/>
      <c r="G557" s="15"/>
      <c r="H557" s="44"/>
      <c r="I557" s="15"/>
      <c r="J557" s="15"/>
      <c r="K557" s="15"/>
      <c r="L557" s="15"/>
      <c r="M557" s="15"/>
      <c r="N557" s="15"/>
      <c r="O557" s="15"/>
      <c r="P557" s="45"/>
      <c r="Q557" s="45"/>
      <c r="R557" s="45"/>
      <c r="S557" s="45"/>
    </row>
    <row r="558" spans="1:19">
      <c r="A558" s="15"/>
      <c r="B558" s="15"/>
      <c r="C558" s="42"/>
      <c r="D558" s="15"/>
      <c r="E558" s="42"/>
      <c r="F558" s="43"/>
      <c r="G558" s="15"/>
      <c r="H558" s="44"/>
      <c r="I558" s="15"/>
      <c r="J558" s="15"/>
      <c r="K558" s="15"/>
      <c r="L558" s="15"/>
      <c r="M558" s="15"/>
      <c r="N558" s="15"/>
      <c r="O558" s="15"/>
      <c r="P558" s="45"/>
      <c r="Q558" s="45"/>
      <c r="R558" s="45"/>
      <c r="S558" s="45"/>
    </row>
    <row r="559" spans="1:19">
      <c r="A559" s="15"/>
      <c r="B559" s="15"/>
      <c r="C559" s="42"/>
      <c r="D559" s="15"/>
      <c r="E559" s="42"/>
      <c r="F559" s="43"/>
      <c r="G559" s="15"/>
      <c r="H559" s="44"/>
      <c r="I559" s="15"/>
      <c r="J559" s="15"/>
      <c r="K559" s="15"/>
      <c r="L559" s="15"/>
      <c r="M559" s="15"/>
      <c r="N559" s="15"/>
      <c r="O559" s="15"/>
      <c r="P559" s="45"/>
      <c r="Q559" s="45"/>
      <c r="R559" s="45"/>
      <c r="S559" s="45"/>
    </row>
    <row r="560" spans="1:19">
      <c r="A560" s="15"/>
      <c r="B560" s="15"/>
      <c r="C560" s="42"/>
      <c r="D560" s="15"/>
      <c r="E560" s="42"/>
      <c r="F560" s="43"/>
      <c r="G560" s="15"/>
      <c r="H560" s="44"/>
      <c r="I560" s="15"/>
      <c r="J560" s="15"/>
      <c r="K560" s="15"/>
      <c r="L560" s="15"/>
      <c r="M560" s="15"/>
      <c r="N560" s="15"/>
      <c r="O560" s="15"/>
      <c r="P560" s="45"/>
      <c r="Q560" s="45"/>
      <c r="R560" s="45"/>
      <c r="S560" s="45"/>
    </row>
    <row r="561" spans="1:19">
      <c r="A561" s="15"/>
      <c r="B561" s="15"/>
      <c r="C561" s="42"/>
      <c r="D561" s="15"/>
      <c r="E561" s="42"/>
      <c r="F561" s="43"/>
      <c r="G561" s="15"/>
      <c r="H561" s="44"/>
      <c r="I561" s="15"/>
      <c r="J561" s="15"/>
      <c r="K561" s="15"/>
      <c r="L561" s="15"/>
      <c r="M561" s="15"/>
      <c r="N561" s="15"/>
      <c r="O561" s="15"/>
      <c r="P561" s="45"/>
      <c r="Q561" s="45"/>
      <c r="R561" s="45"/>
      <c r="S561" s="45"/>
    </row>
    <row r="562" spans="1:19">
      <c r="A562" s="15"/>
      <c r="B562" s="15"/>
      <c r="C562" s="42"/>
      <c r="D562" s="15"/>
      <c r="E562" s="42"/>
      <c r="F562" s="43"/>
      <c r="G562" s="15"/>
      <c r="H562" s="44"/>
      <c r="I562" s="15"/>
      <c r="J562" s="15"/>
      <c r="K562" s="15"/>
      <c r="L562" s="15"/>
      <c r="M562" s="15"/>
      <c r="N562" s="15"/>
      <c r="O562" s="15"/>
      <c r="P562" s="45"/>
      <c r="Q562" s="45"/>
      <c r="R562" s="45"/>
      <c r="S562" s="45"/>
    </row>
    <row r="563" spans="1:19">
      <c r="A563" s="15"/>
      <c r="B563" s="15"/>
      <c r="C563" s="42"/>
      <c r="D563" s="15"/>
      <c r="E563" s="42"/>
      <c r="F563" s="43"/>
      <c r="G563" s="15"/>
      <c r="H563" s="44"/>
      <c r="I563" s="15"/>
      <c r="J563" s="15"/>
      <c r="K563" s="15"/>
      <c r="L563" s="15"/>
      <c r="M563" s="15"/>
      <c r="N563" s="15"/>
      <c r="O563" s="15"/>
      <c r="P563" s="45"/>
      <c r="Q563" s="45"/>
      <c r="R563" s="45"/>
      <c r="S563" s="45"/>
    </row>
    <row r="564" spans="1:19">
      <c r="A564" s="15"/>
      <c r="B564" s="15"/>
      <c r="C564" s="42"/>
      <c r="D564" s="15"/>
      <c r="E564" s="42"/>
      <c r="F564" s="43"/>
      <c r="G564" s="15"/>
      <c r="H564" s="44"/>
      <c r="I564" s="15"/>
      <c r="J564" s="15"/>
      <c r="K564" s="15"/>
      <c r="L564" s="15"/>
      <c r="M564" s="15"/>
      <c r="N564" s="15"/>
      <c r="O564" s="15"/>
      <c r="P564" s="45"/>
      <c r="Q564" s="45"/>
      <c r="R564" s="45"/>
      <c r="S564" s="45"/>
    </row>
    <row r="565" spans="1:19">
      <c r="A565" s="15"/>
      <c r="B565" s="15"/>
      <c r="C565" s="42"/>
      <c r="D565" s="15"/>
      <c r="E565" s="42"/>
      <c r="F565" s="43"/>
      <c r="G565" s="15"/>
      <c r="H565" s="44"/>
      <c r="I565" s="15"/>
      <c r="J565" s="15"/>
      <c r="K565" s="15"/>
      <c r="L565" s="15"/>
      <c r="M565" s="15"/>
      <c r="N565" s="15"/>
      <c r="O565" s="15"/>
      <c r="P565" s="45"/>
      <c r="Q565" s="45"/>
      <c r="R565" s="45"/>
      <c r="S565" s="45"/>
    </row>
    <row r="566" spans="1:19">
      <c r="A566" s="15"/>
      <c r="B566" s="15"/>
      <c r="C566" s="42"/>
      <c r="D566" s="15"/>
      <c r="E566" s="42"/>
      <c r="F566" s="43"/>
      <c r="G566" s="15"/>
      <c r="H566" s="44"/>
      <c r="I566" s="15"/>
      <c r="J566" s="15"/>
      <c r="K566" s="15"/>
      <c r="L566" s="15"/>
      <c r="M566" s="15"/>
      <c r="N566" s="15"/>
      <c r="O566" s="15"/>
      <c r="P566" s="45"/>
      <c r="Q566" s="45"/>
      <c r="R566" s="45"/>
      <c r="S566" s="45"/>
    </row>
    <row r="567" spans="1:19">
      <c r="A567" s="15"/>
      <c r="B567" s="15"/>
      <c r="C567" s="42"/>
      <c r="D567" s="15"/>
      <c r="E567" s="42"/>
      <c r="F567" s="43"/>
      <c r="G567" s="15"/>
      <c r="H567" s="44"/>
      <c r="I567" s="15"/>
      <c r="J567" s="15"/>
      <c r="K567" s="15"/>
      <c r="L567" s="15"/>
      <c r="M567" s="15"/>
      <c r="N567" s="15"/>
      <c r="O567" s="15"/>
      <c r="P567" s="45"/>
      <c r="Q567" s="45"/>
      <c r="R567" s="45"/>
      <c r="S567" s="45"/>
    </row>
    <row r="568" spans="1:19">
      <c r="A568" s="15"/>
      <c r="B568" s="15"/>
      <c r="C568" s="42"/>
      <c r="D568" s="15"/>
      <c r="E568" s="42"/>
      <c r="F568" s="43"/>
      <c r="G568" s="15"/>
      <c r="H568" s="44"/>
      <c r="I568" s="15"/>
      <c r="J568" s="15"/>
      <c r="K568" s="15"/>
      <c r="L568" s="15"/>
      <c r="M568" s="15"/>
      <c r="N568" s="15"/>
      <c r="O568" s="15"/>
      <c r="P568" s="45"/>
      <c r="Q568" s="45"/>
      <c r="R568" s="45"/>
      <c r="S568" s="45"/>
    </row>
    <row r="569" spans="1:19">
      <c r="A569" s="15"/>
      <c r="B569" s="15"/>
      <c r="C569" s="42"/>
      <c r="D569" s="15"/>
      <c r="E569" s="42"/>
      <c r="F569" s="43"/>
      <c r="G569" s="15"/>
      <c r="H569" s="44"/>
      <c r="I569" s="15"/>
      <c r="J569" s="15"/>
      <c r="K569" s="15"/>
      <c r="L569" s="15"/>
      <c r="M569" s="15"/>
      <c r="N569" s="15"/>
      <c r="O569" s="15"/>
      <c r="P569" s="45"/>
      <c r="Q569" s="45"/>
      <c r="R569" s="45"/>
      <c r="S569" s="45"/>
    </row>
    <row r="570" spans="1:19">
      <c r="A570" s="15"/>
      <c r="B570" s="15"/>
      <c r="C570" s="42"/>
      <c r="D570" s="15"/>
      <c r="E570" s="42"/>
      <c r="F570" s="43"/>
      <c r="G570" s="15"/>
      <c r="H570" s="44"/>
      <c r="I570" s="15"/>
      <c r="J570" s="15"/>
      <c r="K570" s="15"/>
      <c r="L570" s="15"/>
      <c r="M570" s="15"/>
      <c r="N570" s="15"/>
      <c r="O570" s="15"/>
      <c r="P570" s="45"/>
      <c r="Q570" s="45"/>
      <c r="R570" s="45"/>
      <c r="S570" s="45"/>
    </row>
    <row r="571" spans="1:19">
      <c r="A571" s="15"/>
      <c r="B571" s="15"/>
      <c r="C571" s="42"/>
      <c r="D571" s="15"/>
      <c r="E571" s="42"/>
      <c r="F571" s="43"/>
      <c r="G571" s="15"/>
      <c r="H571" s="44"/>
      <c r="I571" s="15"/>
      <c r="J571" s="15"/>
      <c r="K571" s="15"/>
      <c r="L571" s="15"/>
      <c r="M571" s="15"/>
      <c r="N571" s="15"/>
      <c r="O571" s="15"/>
      <c r="P571" s="45"/>
      <c r="Q571" s="45"/>
      <c r="R571" s="45"/>
      <c r="S571" s="45"/>
    </row>
    <row r="572" spans="1:19">
      <c r="A572" s="15"/>
      <c r="B572" s="15"/>
      <c r="C572" s="42"/>
      <c r="D572" s="15"/>
      <c r="E572" s="42"/>
      <c r="F572" s="43"/>
      <c r="G572" s="15"/>
      <c r="H572" s="44"/>
      <c r="I572" s="15"/>
      <c r="J572" s="15"/>
      <c r="K572" s="15"/>
      <c r="L572" s="15"/>
      <c r="M572" s="15"/>
      <c r="N572" s="15"/>
      <c r="O572" s="15"/>
      <c r="P572" s="45"/>
      <c r="Q572" s="45"/>
      <c r="R572" s="45"/>
      <c r="S572" s="45"/>
    </row>
    <row r="573" spans="1:19">
      <c r="A573" s="15"/>
      <c r="B573" s="15"/>
      <c r="C573" s="42"/>
      <c r="D573" s="15"/>
      <c r="E573" s="42"/>
      <c r="F573" s="43"/>
      <c r="G573" s="15"/>
      <c r="H573" s="44"/>
      <c r="I573" s="15"/>
      <c r="J573" s="15"/>
      <c r="K573" s="15"/>
      <c r="L573" s="15"/>
      <c r="M573" s="15"/>
      <c r="N573" s="15"/>
      <c r="O573" s="15"/>
      <c r="P573" s="45"/>
      <c r="Q573" s="45"/>
      <c r="R573" s="45"/>
      <c r="S573" s="45"/>
    </row>
    <row r="574" spans="1:19">
      <c r="A574" s="15"/>
      <c r="B574" s="15"/>
      <c r="C574" s="42"/>
      <c r="D574" s="15"/>
      <c r="E574" s="42"/>
      <c r="F574" s="43"/>
      <c r="G574" s="15"/>
      <c r="H574" s="44"/>
      <c r="I574" s="15"/>
      <c r="J574" s="15"/>
      <c r="K574" s="15"/>
      <c r="L574" s="15"/>
      <c r="M574" s="15"/>
      <c r="N574" s="15"/>
      <c r="O574" s="15"/>
      <c r="P574" s="45"/>
      <c r="Q574" s="45"/>
      <c r="R574" s="45"/>
      <c r="S574" s="45"/>
    </row>
    <row r="575" spans="1:19">
      <c r="A575" s="15"/>
      <c r="B575" s="15"/>
      <c r="C575" s="42"/>
      <c r="D575" s="15"/>
      <c r="E575" s="42"/>
      <c r="F575" s="43"/>
      <c r="G575" s="15"/>
      <c r="H575" s="44"/>
      <c r="I575" s="15"/>
      <c r="J575" s="15"/>
      <c r="K575" s="15"/>
      <c r="L575" s="15"/>
      <c r="M575" s="15"/>
      <c r="N575" s="15"/>
      <c r="O575" s="15"/>
      <c r="P575" s="45"/>
      <c r="Q575" s="45"/>
      <c r="R575" s="45"/>
      <c r="S575" s="45"/>
    </row>
    <row r="576" spans="1:19">
      <c r="A576" s="15"/>
      <c r="B576" s="15"/>
      <c r="C576" s="42"/>
      <c r="D576" s="15"/>
      <c r="E576" s="42"/>
      <c r="F576" s="43"/>
      <c r="G576" s="15"/>
      <c r="H576" s="44"/>
      <c r="I576" s="15"/>
      <c r="J576" s="15"/>
      <c r="K576" s="15"/>
      <c r="L576" s="15"/>
      <c r="M576" s="15"/>
      <c r="N576" s="15"/>
      <c r="O576" s="15"/>
      <c r="P576" s="45"/>
      <c r="Q576" s="45"/>
      <c r="R576" s="45"/>
      <c r="S576" s="45"/>
    </row>
    <row r="577" spans="1:19">
      <c r="A577" s="15"/>
      <c r="B577" s="15"/>
      <c r="C577" s="42"/>
      <c r="D577" s="15"/>
      <c r="E577" s="42"/>
      <c r="F577" s="43"/>
      <c r="G577" s="15"/>
      <c r="H577" s="44"/>
      <c r="I577" s="15"/>
      <c r="J577" s="15"/>
      <c r="K577" s="15"/>
      <c r="L577" s="15"/>
      <c r="M577" s="15"/>
      <c r="N577" s="15"/>
      <c r="O577" s="15"/>
      <c r="P577" s="45"/>
      <c r="Q577" s="45"/>
      <c r="R577" s="45"/>
      <c r="S577" s="45"/>
    </row>
    <row r="578" spans="1:19">
      <c r="A578" s="15"/>
      <c r="B578" s="15"/>
      <c r="C578" s="42"/>
      <c r="D578" s="15"/>
      <c r="E578" s="42"/>
      <c r="F578" s="43"/>
      <c r="G578" s="15"/>
      <c r="H578" s="44"/>
      <c r="I578" s="15"/>
      <c r="J578" s="15"/>
      <c r="K578" s="15"/>
      <c r="L578" s="15"/>
      <c r="M578" s="15"/>
      <c r="N578" s="15"/>
      <c r="O578" s="15"/>
      <c r="P578" s="45"/>
      <c r="Q578" s="45"/>
      <c r="R578" s="45"/>
      <c r="S578" s="45"/>
    </row>
    <row r="579" spans="1:19">
      <c r="A579" s="15"/>
      <c r="B579" s="15"/>
      <c r="C579" s="42"/>
      <c r="D579" s="15"/>
      <c r="E579" s="42"/>
      <c r="F579" s="43"/>
      <c r="G579" s="15"/>
      <c r="H579" s="44"/>
      <c r="I579" s="15"/>
      <c r="J579" s="15"/>
      <c r="K579" s="15"/>
      <c r="L579" s="15"/>
      <c r="M579" s="15"/>
      <c r="N579" s="15"/>
      <c r="O579" s="15"/>
      <c r="P579" s="45"/>
      <c r="Q579" s="45"/>
      <c r="R579" s="45"/>
      <c r="S579" s="45"/>
    </row>
    <row r="580" spans="1:19">
      <c r="A580" s="15"/>
      <c r="B580" s="15"/>
      <c r="C580" s="42"/>
      <c r="D580" s="15"/>
      <c r="E580" s="42"/>
      <c r="F580" s="43"/>
      <c r="G580" s="15"/>
      <c r="H580" s="44"/>
      <c r="I580" s="15"/>
      <c r="J580" s="15"/>
      <c r="K580" s="15"/>
      <c r="L580" s="15"/>
      <c r="M580" s="15"/>
      <c r="N580" s="15"/>
      <c r="O580" s="15"/>
      <c r="P580" s="45"/>
      <c r="Q580" s="45"/>
      <c r="R580" s="45"/>
      <c r="S580" s="45"/>
    </row>
    <row r="581" spans="1:19">
      <c r="A581" s="15"/>
      <c r="B581" s="15"/>
      <c r="C581" s="42"/>
      <c r="D581" s="15"/>
      <c r="E581" s="42"/>
      <c r="F581" s="43"/>
      <c r="G581" s="15"/>
      <c r="H581" s="44"/>
      <c r="I581" s="15"/>
      <c r="J581" s="15"/>
      <c r="K581" s="15"/>
      <c r="L581" s="15"/>
      <c r="M581" s="15"/>
      <c r="N581" s="15"/>
      <c r="O581" s="15"/>
      <c r="P581" s="45"/>
      <c r="Q581" s="45"/>
      <c r="R581" s="45"/>
      <c r="S581" s="45"/>
    </row>
    <row r="582" spans="1:19">
      <c r="A582" s="15"/>
      <c r="B582" s="15"/>
      <c r="C582" s="42"/>
      <c r="D582" s="15"/>
      <c r="E582" s="42"/>
      <c r="F582" s="43"/>
      <c r="G582" s="15"/>
      <c r="H582" s="44"/>
      <c r="I582" s="15"/>
      <c r="J582" s="15"/>
      <c r="K582" s="15"/>
      <c r="L582" s="15"/>
      <c r="M582" s="15"/>
      <c r="N582" s="15"/>
      <c r="O582" s="15"/>
      <c r="P582" s="45"/>
      <c r="Q582" s="45"/>
      <c r="R582" s="45"/>
      <c r="S582" s="45"/>
    </row>
    <row r="583" spans="1:19">
      <c r="A583" s="15"/>
      <c r="B583" s="15"/>
      <c r="C583" s="42"/>
      <c r="D583" s="15"/>
      <c r="E583" s="42"/>
      <c r="F583" s="43"/>
      <c r="G583" s="15"/>
      <c r="H583" s="44"/>
      <c r="I583" s="15"/>
      <c r="J583" s="15"/>
      <c r="K583" s="15"/>
      <c r="L583" s="15"/>
      <c r="M583" s="15"/>
      <c r="N583" s="15"/>
      <c r="O583" s="15"/>
      <c r="P583" s="45"/>
      <c r="Q583" s="45"/>
      <c r="R583" s="45"/>
      <c r="S583" s="45"/>
    </row>
    <row r="584" spans="1:19">
      <c r="A584" s="15"/>
      <c r="B584" s="15"/>
      <c r="C584" s="42"/>
      <c r="D584" s="15"/>
      <c r="E584" s="42"/>
      <c r="F584" s="43"/>
      <c r="G584" s="15"/>
      <c r="H584" s="44"/>
      <c r="I584" s="15"/>
      <c r="J584" s="15"/>
      <c r="K584" s="15"/>
      <c r="L584" s="15"/>
      <c r="M584" s="15"/>
      <c r="N584" s="15"/>
      <c r="O584" s="15"/>
      <c r="P584" s="45"/>
      <c r="Q584" s="45"/>
      <c r="R584" s="45"/>
      <c r="S584" s="45"/>
    </row>
    <row r="585" spans="1:19">
      <c r="A585" s="15"/>
      <c r="B585" s="15"/>
      <c r="C585" s="42"/>
      <c r="D585" s="15"/>
      <c r="E585" s="42"/>
      <c r="F585" s="43"/>
      <c r="G585" s="15"/>
      <c r="H585" s="44"/>
      <c r="I585" s="15"/>
      <c r="J585" s="15"/>
      <c r="K585" s="15"/>
      <c r="L585" s="15"/>
      <c r="M585" s="15"/>
      <c r="N585" s="15"/>
      <c r="O585" s="15"/>
      <c r="P585" s="45"/>
      <c r="Q585" s="45"/>
      <c r="R585" s="45"/>
      <c r="S585" s="45"/>
    </row>
    <row r="586" spans="1:19">
      <c r="A586" s="15"/>
      <c r="B586" s="15"/>
      <c r="C586" s="42"/>
      <c r="D586" s="15"/>
      <c r="E586" s="42"/>
      <c r="F586" s="43"/>
      <c r="G586" s="15"/>
      <c r="H586" s="44"/>
      <c r="I586" s="15"/>
      <c r="J586" s="15"/>
      <c r="K586" s="15"/>
      <c r="L586" s="15"/>
      <c r="M586" s="15"/>
      <c r="N586" s="15"/>
      <c r="O586" s="15"/>
      <c r="P586" s="45"/>
      <c r="Q586" s="45"/>
      <c r="R586" s="45"/>
      <c r="S586" s="45"/>
    </row>
    <row r="587" spans="1:19">
      <c r="A587" s="15"/>
      <c r="B587" s="15"/>
      <c r="C587" s="42"/>
      <c r="D587" s="15"/>
      <c r="E587" s="42"/>
      <c r="F587" s="43"/>
      <c r="G587" s="15"/>
      <c r="H587" s="44"/>
      <c r="I587" s="15"/>
      <c r="J587" s="15"/>
      <c r="K587" s="15"/>
      <c r="L587" s="15"/>
      <c r="M587" s="15"/>
      <c r="N587" s="15"/>
      <c r="O587" s="15"/>
      <c r="P587" s="45"/>
      <c r="Q587" s="45"/>
      <c r="R587" s="45"/>
      <c r="S587" s="45"/>
    </row>
    <row r="588" spans="1:19">
      <c r="A588" s="15"/>
      <c r="B588" s="15"/>
      <c r="C588" s="42"/>
      <c r="D588" s="15"/>
      <c r="E588" s="42"/>
      <c r="F588" s="43"/>
      <c r="G588" s="15"/>
      <c r="H588" s="44"/>
      <c r="I588" s="15"/>
      <c r="J588" s="15"/>
      <c r="K588" s="15"/>
      <c r="L588" s="15"/>
      <c r="M588" s="15"/>
      <c r="N588" s="15"/>
      <c r="O588" s="15"/>
      <c r="P588" s="45"/>
      <c r="Q588" s="45"/>
      <c r="R588" s="45"/>
      <c r="S588" s="45"/>
    </row>
    <row r="589" spans="1:19">
      <c r="A589" s="15"/>
      <c r="B589" s="15"/>
      <c r="C589" s="42"/>
      <c r="D589" s="15"/>
      <c r="E589" s="42"/>
      <c r="F589" s="43"/>
      <c r="G589" s="15"/>
      <c r="H589" s="44"/>
      <c r="I589" s="15"/>
      <c r="J589" s="15"/>
      <c r="K589" s="15"/>
      <c r="L589" s="15"/>
      <c r="M589" s="15"/>
      <c r="N589" s="15"/>
      <c r="O589" s="15"/>
      <c r="P589" s="45"/>
      <c r="Q589" s="45"/>
      <c r="R589" s="45"/>
      <c r="S589" s="45"/>
    </row>
    <row r="590" spans="1:19">
      <c r="A590" s="15"/>
      <c r="B590" s="15"/>
      <c r="C590" s="42"/>
      <c r="D590" s="15"/>
      <c r="E590" s="42"/>
      <c r="F590" s="43"/>
      <c r="G590" s="15"/>
      <c r="H590" s="44"/>
      <c r="I590" s="15"/>
      <c r="J590" s="15"/>
      <c r="K590" s="15"/>
      <c r="L590" s="15"/>
      <c r="M590" s="15"/>
      <c r="N590" s="15"/>
      <c r="O590" s="15"/>
      <c r="P590" s="45"/>
      <c r="Q590" s="45"/>
      <c r="R590" s="45"/>
      <c r="S590" s="45"/>
    </row>
    <row r="591" spans="1:19">
      <c r="A591" s="15"/>
      <c r="B591" s="15"/>
      <c r="C591" s="42"/>
      <c r="D591" s="15"/>
      <c r="E591" s="42"/>
      <c r="F591" s="43"/>
      <c r="G591" s="15"/>
      <c r="H591" s="44"/>
      <c r="I591" s="15"/>
      <c r="J591" s="15"/>
      <c r="K591" s="15"/>
      <c r="L591" s="15"/>
      <c r="M591" s="15"/>
      <c r="N591" s="15"/>
      <c r="O591" s="15"/>
      <c r="P591" s="45"/>
      <c r="Q591" s="45"/>
      <c r="R591" s="45"/>
      <c r="S591" s="45"/>
    </row>
    <row r="592" spans="1:19">
      <c r="A592" s="15"/>
      <c r="B592" s="15"/>
      <c r="C592" s="42"/>
      <c r="D592" s="15"/>
      <c r="E592" s="42"/>
      <c r="F592" s="43"/>
      <c r="G592" s="15"/>
      <c r="H592" s="44"/>
      <c r="I592" s="15"/>
      <c r="J592" s="15"/>
      <c r="K592" s="15"/>
      <c r="L592" s="15"/>
      <c r="M592" s="15"/>
      <c r="N592" s="15"/>
      <c r="O592" s="15"/>
      <c r="P592" s="45"/>
      <c r="Q592" s="45"/>
      <c r="R592" s="45"/>
      <c r="S592" s="45"/>
    </row>
    <row r="593" spans="1:19">
      <c r="A593" s="15"/>
      <c r="B593" s="15"/>
      <c r="C593" s="42"/>
      <c r="D593" s="15"/>
      <c r="E593" s="42"/>
      <c r="F593" s="43"/>
      <c r="G593" s="15"/>
      <c r="H593" s="44"/>
      <c r="I593" s="15"/>
      <c r="J593" s="15"/>
      <c r="K593" s="15"/>
      <c r="L593" s="15"/>
      <c r="M593" s="15"/>
      <c r="N593" s="15"/>
      <c r="O593" s="15"/>
      <c r="P593" s="45"/>
      <c r="Q593" s="45"/>
      <c r="R593" s="45"/>
      <c r="S593" s="45"/>
    </row>
    <row r="594" spans="1:19">
      <c r="A594" s="15"/>
      <c r="B594" s="15"/>
      <c r="C594" s="42"/>
      <c r="D594" s="15"/>
      <c r="E594" s="42"/>
      <c r="F594" s="43"/>
      <c r="G594" s="15"/>
      <c r="H594" s="44"/>
      <c r="I594" s="15"/>
      <c r="J594" s="15"/>
      <c r="K594" s="15"/>
      <c r="L594" s="15"/>
      <c r="M594" s="15"/>
      <c r="N594" s="15"/>
      <c r="O594" s="15"/>
      <c r="P594" s="45"/>
      <c r="Q594" s="45"/>
      <c r="R594" s="45"/>
      <c r="S594" s="45"/>
    </row>
    <row r="595" spans="1:19">
      <c r="A595" s="15"/>
      <c r="B595" s="15"/>
      <c r="C595" s="42"/>
      <c r="D595" s="15"/>
      <c r="E595" s="42"/>
      <c r="F595" s="43"/>
      <c r="G595" s="15"/>
      <c r="H595" s="44"/>
      <c r="I595" s="15"/>
      <c r="J595" s="15"/>
      <c r="K595" s="15"/>
      <c r="L595" s="15"/>
      <c r="M595" s="15"/>
      <c r="N595" s="15"/>
      <c r="O595" s="15"/>
      <c r="P595" s="45"/>
      <c r="Q595" s="45"/>
      <c r="R595" s="45"/>
      <c r="S595" s="45"/>
    </row>
    <row r="596" spans="1:19">
      <c r="A596" s="15"/>
      <c r="B596" s="15"/>
      <c r="C596" s="42"/>
      <c r="D596" s="15"/>
      <c r="E596" s="42"/>
      <c r="F596" s="43"/>
      <c r="G596" s="15"/>
      <c r="H596" s="44"/>
      <c r="I596" s="15"/>
      <c r="J596" s="15"/>
      <c r="K596" s="15"/>
      <c r="L596" s="15"/>
      <c r="M596" s="15"/>
      <c r="N596" s="15"/>
      <c r="O596" s="15"/>
      <c r="P596" s="45"/>
      <c r="Q596" s="45"/>
      <c r="R596" s="45"/>
      <c r="S596" s="45"/>
    </row>
    <row r="597" spans="1:19">
      <c r="A597" s="15"/>
      <c r="B597" s="15"/>
      <c r="C597" s="42"/>
      <c r="D597" s="15"/>
      <c r="E597" s="42"/>
      <c r="F597" s="43"/>
      <c r="G597" s="15"/>
      <c r="H597" s="44"/>
      <c r="I597" s="15"/>
      <c r="J597" s="15"/>
      <c r="K597" s="15"/>
      <c r="L597" s="15"/>
      <c r="M597" s="15"/>
      <c r="N597" s="15"/>
      <c r="O597" s="15"/>
      <c r="P597" s="45"/>
      <c r="Q597" s="45"/>
      <c r="R597" s="45"/>
      <c r="S597" s="45"/>
    </row>
    <row r="598" spans="1:19">
      <c r="A598" s="15"/>
      <c r="B598" s="15"/>
      <c r="C598" s="42"/>
      <c r="D598" s="15"/>
      <c r="E598" s="42"/>
      <c r="F598" s="43"/>
      <c r="G598" s="15"/>
      <c r="H598" s="44"/>
      <c r="I598" s="15"/>
      <c r="J598" s="15"/>
      <c r="K598" s="15"/>
      <c r="L598" s="15"/>
      <c r="M598" s="15"/>
      <c r="N598" s="15"/>
      <c r="O598" s="15"/>
      <c r="P598" s="45"/>
      <c r="Q598" s="45"/>
      <c r="R598" s="45"/>
      <c r="S598" s="45"/>
    </row>
    <row r="599" spans="1:19">
      <c r="A599" s="15"/>
      <c r="B599" s="15"/>
      <c r="C599" s="42"/>
      <c r="D599" s="15"/>
      <c r="E599" s="42"/>
      <c r="F599" s="43"/>
      <c r="G599" s="15"/>
      <c r="H599" s="44"/>
      <c r="I599" s="15"/>
      <c r="J599" s="15"/>
      <c r="K599" s="15"/>
      <c r="L599" s="15"/>
      <c r="M599" s="15"/>
      <c r="N599" s="15"/>
      <c r="O599" s="15"/>
      <c r="P599" s="45"/>
      <c r="Q599" s="45"/>
      <c r="R599" s="45"/>
      <c r="S599" s="45"/>
    </row>
    <row r="600" spans="1:19">
      <c r="A600" s="15"/>
      <c r="B600" s="15"/>
      <c r="C600" s="42"/>
      <c r="D600" s="15"/>
      <c r="E600" s="42"/>
      <c r="F600" s="43"/>
      <c r="G600" s="15"/>
      <c r="H600" s="44"/>
      <c r="I600" s="15"/>
      <c r="J600" s="15"/>
      <c r="K600" s="15"/>
      <c r="L600" s="15"/>
      <c r="M600" s="15"/>
      <c r="N600" s="15"/>
      <c r="O600" s="15"/>
      <c r="P600" s="45"/>
      <c r="Q600" s="45"/>
      <c r="R600" s="45"/>
      <c r="S600" s="45"/>
    </row>
    <row r="601" spans="1:19">
      <c r="A601" s="15"/>
      <c r="B601" s="15"/>
      <c r="C601" s="42"/>
      <c r="D601" s="15"/>
      <c r="E601" s="42"/>
      <c r="F601" s="43"/>
      <c r="G601" s="15"/>
      <c r="H601" s="44"/>
      <c r="I601" s="15"/>
      <c r="J601" s="15"/>
      <c r="K601" s="15"/>
      <c r="L601" s="15"/>
      <c r="M601" s="15"/>
      <c r="N601" s="15"/>
      <c r="O601" s="15"/>
      <c r="P601" s="45"/>
      <c r="Q601" s="45"/>
      <c r="R601" s="45"/>
      <c r="S601" s="45"/>
    </row>
    <row r="602" spans="1:19">
      <c r="A602" s="15"/>
      <c r="B602" s="15"/>
      <c r="C602" s="42"/>
      <c r="D602" s="15"/>
      <c r="E602" s="42"/>
      <c r="F602" s="43"/>
      <c r="G602" s="15"/>
      <c r="H602" s="44"/>
      <c r="I602" s="15"/>
      <c r="J602" s="15"/>
      <c r="K602" s="15"/>
      <c r="L602" s="15"/>
      <c r="M602" s="15"/>
      <c r="N602" s="15"/>
      <c r="O602" s="15"/>
      <c r="P602" s="45"/>
      <c r="Q602" s="45"/>
      <c r="R602" s="45"/>
      <c r="S602" s="45"/>
    </row>
    <row r="603" spans="1:19">
      <c r="A603" s="15"/>
      <c r="B603" s="15"/>
      <c r="C603" s="42"/>
      <c r="D603" s="15"/>
      <c r="E603" s="42"/>
      <c r="F603" s="43"/>
      <c r="G603" s="15"/>
      <c r="H603" s="44"/>
      <c r="I603" s="15"/>
      <c r="J603" s="15"/>
      <c r="K603" s="15"/>
      <c r="L603" s="15"/>
      <c r="M603" s="15"/>
      <c r="N603" s="15"/>
      <c r="O603" s="15"/>
      <c r="P603" s="45"/>
      <c r="Q603" s="45"/>
      <c r="R603" s="45"/>
      <c r="S603" s="45"/>
    </row>
    <row r="604" spans="1:19">
      <c r="A604" s="15"/>
      <c r="B604" s="15"/>
      <c r="C604" s="42"/>
      <c r="D604" s="15"/>
      <c r="E604" s="42"/>
      <c r="F604" s="43"/>
      <c r="G604" s="15"/>
      <c r="H604" s="44"/>
      <c r="I604" s="15"/>
      <c r="J604" s="15"/>
      <c r="K604" s="15"/>
      <c r="L604" s="15"/>
      <c r="M604" s="15"/>
      <c r="N604" s="15"/>
      <c r="O604" s="15"/>
      <c r="P604" s="45"/>
      <c r="Q604" s="45"/>
      <c r="R604" s="45"/>
      <c r="S604" s="45"/>
    </row>
    <row r="605" spans="1:19">
      <c r="A605" s="15"/>
      <c r="B605" s="15"/>
      <c r="C605" s="42"/>
      <c r="D605" s="15"/>
      <c r="E605" s="42"/>
      <c r="F605" s="43"/>
      <c r="G605" s="15"/>
      <c r="H605" s="44"/>
      <c r="I605" s="15"/>
      <c r="J605" s="15"/>
      <c r="K605" s="15"/>
      <c r="L605" s="15"/>
      <c r="M605" s="15"/>
      <c r="N605" s="15"/>
      <c r="O605" s="15"/>
      <c r="P605" s="45"/>
      <c r="Q605" s="45"/>
      <c r="R605" s="45"/>
      <c r="S605" s="45"/>
    </row>
    <row r="606" spans="1:19">
      <c r="A606" s="15"/>
      <c r="B606" s="15"/>
      <c r="C606" s="42"/>
      <c r="D606" s="15"/>
      <c r="E606" s="42"/>
      <c r="F606" s="43"/>
      <c r="G606" s="15"/>
      <c r="H606" s="44"/>
      <c r="I606" s="15"/>
      <c r="J606" s="15"/>
      <c r="K606" s="15"/>
      <c r="L606" s="15"/>
      <c r="M606" s="15"/>
      <c r="N606" s="15"/>
      <c r="O606" s="15"/>
      <c r="P606" s="45"/>
      <c r="Q606" s="45"/>
      <c r="R606" s="45"/>
      <c r="S606" s="45"/>
    </row>
    <row r="607" spans="1:19">
      <c r="A607" s="15"/>
      <c r="B607" s="15"/>
      <c r="C607" s="42"/>
      <c r="D607" s="15"/>
      <c r="E607" s="42"/>
      <c r="F607" s="43"/>
      <c r="G607" s="15"/>
      <c r="H607" s="44"/>
      <c r="I607" s="15"/>
      <c r="J607" s="15"/>
      <c r="K607" s="15"/>
      <c r="L607" s="15"/>
      <c r="M607" s="15"/>
      <c r="N607" s="15"/>
      <c r="O607" s="15"/>
      <c r="P607" s="45"/>
      <c r="Q607" s="45"/>
      <c r="R607" s="45"/>
      <c r="S607" s="45"/>
    </row>
    <row r="608" spans="1:19">
      <c r="A608" s="15"/>
      <c r="B608" s="15"/>
      <c r="C608" s="42"/>
      <c r="D608" s="15"/>
      <c r="E608" s="42"/>
      <c r="F608" s="43"/>
      <c r="G608" s="15"/>
      <c r="H608" s="44"/>
      <c r="I608" s="15"/>
      <c r="J608" s="15"/>
      <c r="K608" s="15"/>
      <c r="L608" s="15"/>
      <c r="M608" s="15"/>
      <c r="N608" s="15"/>
      <c r="O608" s="15"/>
      <c r="P608" s="45"/>
      <c r="Q608" s="45"/>
      <c r="R608" s="45"/>
      <c r="S608" s="45"/>
    </row>
    <row r="609" spans="1:19">
      <c r="A609" s="15"/>
      <c r="B609" s="15"/>
      <c r="C609" s="42"/>
      <c r="D609" s="15"/>
      <c r="E609" s="42"/>
      <c r="F609" s="43"/>
      <c r="G609" s="15"/>
      <c r="H609" s="44"/>
      <c r="I609" s="15"/>
      <c r="J609" s="15"/>
      <c r="K609" s="15"/>
      <c r="L609" s="15"/>
      <c r="M609" s="15"/>
      <c r="N609" s="15"/>
      <c r="O609" s="15"/>
      <c r="P609" s="45"/>
      <c r="Q609" s="45"/>
      <c r="R609" s="45"/>
      <c r="S609" s="45"/>
    </row>
    <row r="610" spans="1:19">
      <c r="A610" s="15"/>
      <c r="B610" s="15"/>
      <c r="C610" s="42"/>
      <c r="D610" s="15"/>
      <c r="E610" s="42"/>
      <c r="F610" s="43"/>
      <c r="G610" s="15"/>
      <c r="H610" s="44"/>
      <c r="I610" s="15"/>
      <c r="J610" s="15"/>
      <c r="K610" s="15"/>
      <c r="L610" s="15"/>
      <c r="M610" s="15"/>
      <c r="N610" s="15"/>
      <c r="O610" s="15"/>
      <c r="P610" s="45"/>
      <c r="Q610" s="45"/>
      <c r="R610" s="45"/>
      <c r="S610" s="45"/>
    </row>
    <row r="611" spans="1:19">
      <c r="A611" s="15"/>
      <c r="B611" s="15"/>
      <c r="C611" s="42"/>
      <c r="D611" s="15"/>
      <c r="E611" s="42"/>
      <c r="F611" s="43"/>
      <c r="G611" s="15"/>
      <c r="H611" s="44"/>
      <c r="I611" s="15"/>
      <c r="J611" s="15"/>
      <c r="K611" s="15"/>
      <c r="L611" s="15"/>
      <c r="M611" s="15"/>
      <c r="N611" s="15"/>
      <c r="O611" s="15"/>
      <c r="P611" s="45"/>
      <c r="Q611" s="45"/>
      <c r="R611" s="45"/>
      <c r="S611" s="45"/>
    </row>
    <row r="612" spans="1:19">
      <c r="A612" s="15"/>
      <c r="B612" s="15"/>
      <c r="C612" s="42"/>
      <c r="D612" s="15"/>
      <c r="E612" s="42"/>
      <c r="F612" s="43"/>
      <c r="G612" s="15"/>
      <c r="H612" s="44"/>
      <c r="I612" s="15"/>
      <c r="J612" s="15"/>
      <c r="K612" s="15"/>
      <c r="L612" s="15"/>
      <c r="M612" s="15"/>
      <c r="N612" s="15"/>
      <c r="O612" s="15"/>
      <c r="P612" s="45"/>
      <c r="Q612" s="45"/>
      <c r="R612" s="45"/>
      <c r="S612" s="45"/>
    </row>
    <row r="613" spans="1:19">
      <c r="A613" s="15"/>
      <c r="B613" s="15"/>
      <c r="C613" s="42"/>
      <c r="D613" s="15"/>
      <c r="E613" s="42"/>
      <c r="F613" s="43"/>
      <c r="G613" s="15"/>
      <c r="H613" s="44"/>
      <c r="I613" s="15"/>
      <c r="J613" s="15"/>
      <c r="K613" s="15"/>
      <c r="L613" s="15"/>
      <c r="M613" s="15"/>
      <c r="N613" s="15"/>
      <c r="O613" s="15"/>
      <c r="P613" s="45"/>
      <c r="Q613" s="45"/>
      <c r="R613" s="45"/>
      <c r="S613" s="45"/>
    </row>
    <row r="614" spans="1:19">
      <c r="A614" s="15"/>
      <c r="B614" s="15"/>
      <c r="C614" s="42"/>
      <c r="D614" s="15"/>
      <c r="E614" s="42"/>
      <c r="F614" s="43"/>
      <c r="G614" s="15"/>
      <c r="H614" s="44"/>
      <c r="I614" s="15"/>
      <c r="J614" s="15"/>
      <c r="K614" s="15"/>
      <c r="L614" s="15"/>
      <c r="M614" s="15"/>
      <c r="N614" s="15"/>
      <c r="O614" s="15"/>
      <c r="P614" s="45"/>
      <c r="Q614" s="45"/>
      <c r="R614" s="45"/>
      <c r="S614" s="45"/>
    </row>
    <row r="615" spans="1:19">
      <c r="A615" s="15"/>
      <c r="B615" s="15"/>
      <c r="C615" s="42"/>
      <c r="D615" s="15"/>
      <c r="E615" s="42"/>
      <c r="F615" s="43"/>
      <c r="G615" s="15"/>
      <c r="H615" s="44"/>
      <c r="I615" s="15"/>
      <c r="J615" s="15"/>
      <c r="K615" s="15"/>
      <c r="L615" s="15"/>
      <c r="M615" s="15"/>
      <c r="N615" s="15"/>
      <c r="O615" s="15"/>
      <c r="P615" s="45"/>
      <c r="Q615" s="45"/>
      <c r="R615" s="45"/>
      <c r="S615" s="45"/>
    </row>
    <row r="616" spans="1:19">
      <c r="A616" s="15"/>
      <c r="B616" s="15"/>
      <c r="C616" s="42"/>
      <c r="D616" s="15"/>
      <c r="E616" s="42"/>
      <c r="F616" s="43"/>
      <c r="G616" s="15"/>
      <c r="H616" s="44"/>
      <c r="I616" s="15"/>
      <c r="J616" s="15"/>
      <c r="K616" s="15"/>
      <c r="L616" s="15"/>
      <c r="M616" s="15"/>
      <c r="N616" s="15"/>
      <c r="O616" s="15"/>
      <c r="P616" s="45"/>
      <c r="Q616" s="45"/>
      <c r="R616" s="45"/>
      <c r="S616" s="45"/>
    </row>
    <row r="617" spans="1:19">
      <c r="A617" s="15"/>
      <c r="B617" s="15"/>
      <c r="C617" s="42"/>
      <c r="D617" s="15"/>
      <c r="E617" s="42"/>
      <c r="F617" s="43"/>
      <c r="G617" s="15"/>
      <c r="H617" s="44"/>
      <c r="I617" s="15"/>
      <c r="J617" s="15"/>
      <c r="K617" s="15"/>
      <c r="L617" s="15"/>
      <c r="M617" s="15"/>
      <c r="N617" s="15"/>
      <c r="O617" s="15"/>
      <c r="P617" s="45"/>
      <c r="Q617" s="45"/>
      <c r="R617" s="45"/>
      <c r="S617" s="45"/>
    </row>
    <row r="618" spans="1:19">
      <c r="A618" s="15"/>
      <c r="B618" s="15"/>
      <c r="C618" s="42"/>
      <c r="D618" s="15"/>
      <c r="E618" s="42"/>
      <c r="F618" s="43"/>
      <c r="G618" s="15"/>
      <c r="H618" s="44"/>
      <c r="I618" s="15"/>
      <c r="J618" s="15"/>
      <c r="K618" s="15"/>
      <c r="L618" s="15"/>
      <c r="M618" s="15"/>
      <c r="N618" s="15"/>
      <c r="O618" s="15"/>
      <c r="P618" s="45"/>
      <c r="Q618" s="45"/>
      <c r="R618" s="45"/>
      <c r="S618" s="45"/>
    </row>
    <row r="619" spans="1:19">
      <c r="A619" s="15"/>
      <c r="B619" s="15"/>
      <c r="C619" s="42"/>
      <c r="D619" s="15"/>
      <c r="E619" s="42"/>
      <c r="F619" s="43"/>
      <c r="G619" s="15"/>
      <c r="H619" s="44"/>
      <c r="I619" s="15"/>
      <c r="J619" s="15"/>
      <c r="K619" s="15"/>
      <c r="L619" s="15"/>
      <c r="M619" s="15"/>
      <c r="N619" s="15"/>
      <c r="O619" s="15"/>
      <c r="P619" s="45"/>
      <c r="Q619" s="45"/>
      <c r="R619" s="45"/>
      <c r="S619" s="45"/>
    </row>
    <row r="620" spans="1:19">
      <c r="A620" s="15"/>
      <c r="B620" s="15"/>
      <c r="C620" s="42"/>
      <c r="D620" s="15"/>
      <c r="E620" s="42"/>
      <c r="F620" s="43"/>
      <c r="G620" s="15"/>
      <c r="H620" s="44"/>
      <c r="I620" s="15"/>
      <c r="J620" s="15"/>
      <c r="K620" s="15"/>
      <c r="L620" s="15"/>
      <c r="M620" s="15"/>
      <c r="N620" s="15"/>
      <c r="O620" s="15"/>
      <c r="P620" s="45"/>
      <c r="Q620" s="45"/>
      <c r="R620" s="45"/>
      <c r="S620" s="45"/>
    </row>
    <row r="621" spans="1:19">
      <c r="A621" s="15"/>
      <c r="B621" s="15"/>
      <c r="C621" s="42"/>
      <c r="D621" s="15"/>
      <c r="E621" s="42"/>
      <c r="F621" s="43"/>
      <c r="G621" s="15"/>
      <c r="H621" s="44"/>
      <c r="I621" s="15"/>
      <c r="J621" s="15"/>
      <c r="K621" s="15"/>
      <c r="L621" s="15"/>
      <c r="M621" s="15"/>
      <c r="N621" s="15"/>
      <c r="O621" s="15"/>
      <c r="P621" s="45"/>
      <c r="Q621" s="45"/>
      <c r="R621" s="45"/>
      <c r="S621" s="45"/>
    </row>
    <row r="622" spans="1:19">
      <c r="A622" s="15"/>
      <c r="B622" s="15"/>
      <c r="C622" s="42"/>
      <c r="D622" s="15"/>
      <c r="E622" s="42"/>
      <c r="F622" s="43"/>
      <c r="G622" s="15"/>
      <c r="H622" s="44"/>
      <c r="I622" s="15"/>
      <c r="J622" s="15"/>
      <c r="K622" s="15"/>
      <c r="L622" s="15"/>
      <c r="M622" s="15"/>
      <c r="N622" s="15"/>
      <c r="O622" s="15"/>
      <c r="P622" s="45"/>
      <c r="Q622" s="45"/>
      <c r="R622" s="45"/>
      <c r="S622" s="45"/>
    </row>
    <row r="623" spans="1:19">
      <c r="A623" s="15"/>
      <c r="B623" s="15"/>
      <c r="C623" s="42"/>
      <c r="D623" s="15"/>
      <c r="E623" s="42"/>
      <c r="F623" s="43"/>
      <c r="G623" s="15"/>
      <c r="H623" s="44"/>
      <c r="I623" s="15"/>
      <c r="J623" s="15"/>
      <c r="K623" s="15"/>
      <c r="L623" s="15"/>
      <c r="M623" s="15"/>
      <c r="N623" s="15"/>
      <c r="O623" s="15"/>
      <c r="P623" s="45"/>
      <c r="Q623" s="45"/>
      <c r="R623" s="45"/>
      <c r="S623" s="45"/>
    </row>
    <row r="624" spans="1:19">
      <c r="A624" s="15"/>
      <c r="B624" s="15"/>
      <c r="C624" s="42"/>
      <c r="D624" s="15"/>
      <c r="E624" s="42"/>
      <c r="F624" s="43"/>
      <c r="G624" s="15"/>
      <c r="H624" s="44"/>
      <c r="I624" s="15"/>
      <c r="J624" s="15"/>
      <c r="K624" s="15"/>
      <c r="L624" s="15"/>
      <c r="M624" s="15"/>
      <c r="N624" s="15"/>
      <c r="O624" s="15"/>
      <c r="P624" s="45"/>
      <c r="Q624" s="45"/>
      <c r="R624" s="45"/>
      <c r="S624" s="45"/>
    </row>
    <row r="625" spans="1:19">
      <c r="A625" s="15"/>
      <c r="B625" s="15"/>
      <c r="C625" s="42"/>
      <c r="D625" s="15"/>
      <c r="E625" s="42"/>
      <c r="F625" s="43"/>
      <c r="G625" s="15"/>
      <c r="H625" s="44"/>
      <c r="I625" s="15"/>
      <c r="J625" s="15"/>
      <c r="K625" s="15"/>
      <c r="L625" s="15"/>
      <c r="M625" s="15"/>
      <c r="N625" s="15"/>
      <c r="O625" s="15"/>
      <c r="P625" s="45"/>
      <c r="Q625" s="45"/>
      <c r="R625" s="45"/>
      <c r="S625" s="45"/>
    </row>
    <row r="626" spans="1:19">
      <c r="A626" s="15"/>
      <c r="B626" s="15"/>
      <c r="C626" s="42"/>
      <c r="D626" s="15"/>
      <c r="E626" s="42"/>
      <c r="F626" s="43"/>
      <c r="G626" s="15"/>
      <c r="H626" s="44"/>
      <c r="I626" s="15"/>
      <c r="J626" s="15"/>
      <c r="K626" s="15"/>
      <c r="L626" s="15"/>
      <c r="M626" s="15"/>
      <c r="N626" s="15"/>
      <c r="O626" s="15"/>
      <c r="P626" s="45"/>
      <c r="Q626" s="45"/>
      <c r="R626" s="45"/>
      <c r="S626" s="45"/>
    </row>
    <row r="627" spans="1:19">
      <c r="A627" s="15"/>
      <c r="B627" s="15"/>
      <c r="C627" s="42"/>
      <c r="D627" s="15"/>
      <c r="E627" s="42"/>
      <c r="F627" s="43"/>
      <c r="G627" s="15"/>
      <c r="H627" s="44"/>
      <c r="I627" s="15"/>
      <c r="J627" s="15"/>
      <c r="K627" s="15"/>
      <c r="L627" s="15"/>
      <c r="M627" s="15"/>
      <c r="N627" s="15"/>
      <c r="O627" s="15"/>
      <c r="P627" s="45"/>
      <c r="Q627" s="45"/>
      <c r="R627" s="45"/>
      <c r="S627" s="45"/>
    </row>
    <row r="628" spans="1:19">
      <c r="A628" s="15"/>
      <c r="B628" s="15"/>
      <c r="C628" s="42"/>
      <c r="D628" s="15"/>
      <c r="E628" s="42"/>
      <c r="F628" s="43"/>
      <c r="G628" s="15"/>
      <c r="H628" s="44"/>
      <c r="I628" s="15"/>
      <c r="J628" s="15"/>
      <c r="K628" s="15"/>
      <c r="L628" s="15"/>
      <c r="M628" s="15"/>
      <c r="N628" s="15"/>
      <c r="O628" s="15"/>
      <c r="P628" s="45"/>
      <c r="Q628" s="45"/>
      <c r="R628" s="45"/>
      <c r="S628" s="45"/>
    </row>
    <row r="629" spans="1:19">
      <c r="A629" s="15"/>
      <c r="B629" s="15"/>
      <c r="C629" s="42"/>
      <c r="D629" s="15"/>
      <c r="E629" s="42"/>
      <c r="F629" s="43"/>
      <c r="G629" s="15"/>
      <c r="H629" s="44"/>
      <c r="I629" s="15"/>
      <c r="J629" s="15"/>
      <c r="K629" s="15"/>
      <c r="L629" s="15"/>
      <c r="M629" s="15"/>
      <c r="N629" s="15"/>
      <c r="O629" s="15"/>
      <c r="P629" s="45"/>
      <c r="Q629" s="45"/>
      <c r="R629" s="45"/>
      <c r="S629" s="45"/>
    </row>
    <row r="630" spans="1:19">
      <c r="A630" s="15"/>
      <c r="B630" s="15"/>
      <c r="C630" s="42"/>
      <c r="D630" s="15"/>
      <c r="E630" s="42"/>
      <c r="F630" s="43"/>
      <c r="G630" s="15"/>
      <c r="H630" s="44"/>
      <c r="I630" s="15"/>
      <c r="J630" s="15"/>
      <c r="K630" s="15"/>
      <c r="L630" s="15"/>
      <c r="M630" s="15"/>
      <c r="N630" s="15"/>
      <c r="O630" s="15"/>
      <c r="P630" s="45"/>
      <c r="Q630" s="45"/>
      <c r="R630" s="45"/>
      <c r="S630" s="45"/>
    </row>
    <row r="631" spans="1:19">
      <c r="A631" s="15"/>
      <c r="B631" s="15"/>
      <c r="C631" s="42"/>
      <c r="D631" s="15"/>
      <c r="E631" s="42"/>
      <c r="F631" s="43"/>
      <c r="G631" s="15"/>
      <c r="H631" s="44"/>
      <c r="I631" s="15"/>
      <c r="J631" s="15"/>
      <c r="K631" s="15"/>
      <c r="L631" s="15"/>
      <c r="M631" s="15"/>
      <c r="N631" s="15"/>
      <c r="O631" s="15"/>
      <c r="P631" s="45"/>
      <c r="Q631" s="45"/>
      <c r="R631" s="45"/>
      <c r="S631" s="45"/>
    </row>
    <row r="632" spans="1:19">
      <c r="A632" s="15"/>
      <c r="B632" s="15"/>
      <c r="C632" s="42"/>
      <c r="D632" s="15"/>
      <c r="E632" s="42"/>
      <c r="F632" s="43"/>
      <c r="G632" s="15"/>
      <c r="H632" s="44"/>
      <c r="I632" s="15"/>
      <c r="J632" s="15"/>
      <c r="K632" s="15"/>
      <c r="L632" s="15"/>
      <c r="M632" s="15"/>
      <c r="N632" s="15"/>
      <c r="O632" s="15"/>
      <c r="P632" s="45"/>
      <c r="Q632" s="45"/>
      <c r="R632" s="45"/>
      <c r="S632" s="45"/>
    </row>
    <row r="633" spans="1:19">
      <c r="A633" s="15"/>
      <c r="B633" s="15"/>
      <c r="C633" s="42"/>
      <c r="D633" s="15"/>
      <c r="E633" s="42"/>
      <c r="F633" s="43"/>
      <c r="G633" s="15"/>
      <c r="H633" s="44"/>
      <c r="I633" s="15"/>
      <c r="J633" s="15"/>
      <c r="K633" s="15"/>
      <c r="L633" s="15"/>
      <c r="M633" s="15"/>
      <c r="N633" s="15"/>
      <c r="O633" s="15"/>
      <c r="P633" s="45"/>
      <c r="Q633" s="45"/>
      <c r="R633" s="45"/>
      <c r="S633" s="45"/>
    </row>
    <row r="634" spans="1:19">
      <c r="A634" s="15"/>
      <c r="B634" s="15"/>
      <c r="C634" s="42"/>
      <c r="D634" s="15"/>
      <c r="E634" s="42"/>
      <c r="F634" s="43"/>
      <c r="G634" s="15"/>
      <c r="H634" s="44"/>
      <c r="I634" s="15"/>
      <c r="J634" s="15"/>
      <c r="K634" s="15"/>
      <c r="L634" s="15"/>
      <c r="M634" s="15"/>
      <c r="N634" s="15"/>
      <c r="O634" s="15"/>
      <c r="P634" s="45"/>
      <c r="Q634" s="45"/>
      <c r="R634" s="45"/>
      <c r="S634" s="45"/>
    </row>
    <row r="635" spans="1:19">
      <c r="A635" s="15"/>
      <c r="B635" s="15"/>
      <c r="C635" s="42"/>
      <c r="D635" s="15"/>
      <c r="E635" s="42"/>
      <c r="F635" s="43"/>
      <c r="G635" s="15"/>
      <c r="H635" s="44"/>
      <c r="I635" s="15"/>
      <c r="J635" s="15"/>
      <c r="K635" s="15"/>
      <c r="L635" s="15"/>
      <c r="M635" s="15"/>
      <c r="N635" s="15"/>
      <c r="O635" s="15"/>
      <c r="P635" s="45"/>
      <c r="Q635" s="45"/>
      <c r="R635" s="45"/>
      <c r="S635" s="45"/>
    </row>
    <row r="636" spans="1:19">
      <c r="A636" s="15"/>
      <c r="B636" s="15"/>
      <c r="C636" s="42"/>
      <c r="D636" s="15"/>
      <c r="E636" s="42"/>
      <c r="F636" s="43"/>
      <c r="G636" s="15"/>
      <c r="H636" s="44"/>
      <c r="I636" s="15"/>
      <c r="J636" s="15"/>
      <c r="K636" s="15"/>
      <c r="L636" s="15"/>
      <c r="M636" s="15"/>
      <c r="N636" s="15"/>
      <c r="O636" s="15"/>
      <c r="P636" s="45"/>
      <c r="Q636" s="45"/>
      <c r="R636" s="45"/>
      <c r="S636" s="45"/>
    </row>
    <row r="637" spans="1:19">
      <c r="A637" s="15"/>
      <c r="B637" s="15"/>
      <c r="C637" s="42"/>
      <c r="D637" s="15"/>
      <c r="E637" s="42"/>
      <c r="F637" s="43"/>
      <c r="G637" s="15"/>
      <c r="H637" s="44"/>
      <c r="I637" s="15"/>
      <c r="J637" s="15"/>
      <c r="K637" s="15"/>
      <c r="L637" s="15"/>
      <c r="M637" s="15"/>
      <c r="N637" s="15"/>
      <c r="O637" s="15"/>
      <c r="P637" s="45"/>
      <c r="Q637" s="45"/>
      <c r="R637" s="45"/>
      <c r="S637" s="45"/>
    </row>
    <row r="638" spans="1:19">
      <c r="A638" s="15"/>
      <c r="B638" s="15"/>
      <c r="C638" s="42"/>
      <c r="D638" s="15"/>
      <c r="E638" s="42"/>
      <c r="F638" s="43"/>
      <c r="G638" s="15"/>
      <c r="H638" s="44"/>
      <c r="I638" s="15"/>
      <c r="J638" s="15"/>
      <c r="K638" s="15"/>
      <c r="L638" s="15"/>
      <c r="M638" s="15"/>
      <c r="N638" s="15"/>
      <c r="O638" s="15"/>
      <c r="P638" s="45"/>
      <c r="Q638" s="45"/>
      <c r="R638" s="45"/>
      <c r="S638" s="45"/>
    </row>
    <row r="639" spans="1:19">
      <c r="A639" s="15"/>
      <c r="B639" s="15"/>
      <c r="C639" s="42"/>
      <c r="D639" s="15"/>
      <c r="E639" s="42"/>
      <c r="F639" s="43"/>
      <c r="G639" s="15"/>
      <c r="H639" s="44"/>
      <c r="I639" s="15"/>
      <c r="J639" s="15"/>
      <c r="K639" s="15"/>
      <c r="L639" s="15"/>
      <c r="M639" s="15"/>
      <c r="N639" s="15"/>
      <c r="O639" s="15"/>
      <c r="P639" s="45"/>
      <c r="Q639" s="45"/>
      <c r="R639" s="45"/>
      <c r="S639" s="45"/>
    </row>
    <row r="640" spans="1:19">
      <c r="A640" s="15"/>
      <c r="B640" s="15"/>
      <c r="C640" s="42"/>
      <c r="D640" s="15"/>
      <c r="E640" s="42"/>
      <c r="F640" s="43"/>
      <c r="G640" s="15"/>
      <c r="H640" s="44"/>
      <c r="I640" s="15"/>
      <c r="J640" s="15"/>
      <c r="K640" s="15"/>
      <c r="L640" s="15"/>
      <c r="M640" s="15"/>
      <c r="N640" s="15"/>
      <c r="O640" s="15"/>
      <c r="P640" s="45"/>
      <c r="Q640" s="45"/>
      <c r="R640" s="45"/>
      <c r="S640" s="45"/>
    </row>
    <row r="641" spans="1:19">
      <c r="A641" s="15"/>
      <c r="B641" s="15"/>
      <c r="C641" s="42"/>
      <c r="D641" s="15"/>
      <c r="E641" s="42"/>
      <c r="F641" s="43"/>
      <c r="G641" s="15"/>
      <c r="H641" s="44"/>
      <c r="I641" s="15"/>
      <c r="J641" s="15"/>
      <c r="K641" s="15"/>
      <c r="L641" s="15"/>
      <c r="M641" s="15"/>
      <c r="N641" s="15"/>
      <c r="O641" s="15"/>
      <c r="P641" s="45"/>
      <c r="Q641" s="45"/>
      <c r="R641" s="45"/>
      <c r="S641" s="45"/>
    </row>
    <row r="642" spans="1:19">
      <c r="A642" s="15"/>
      <c r="B642" s="15"/>
      <c r="C642" s="42"/>
      <c r="D642" s="15"/>
      <c r="E642" s="42"/>
      <c r="F642" s="43"/>
      <c r="G642" s="15"/>
      <c r="H642" s="44"/>
      <c r="I642" s="15"/>
      <c r="J642" s="15"/>
      <c r="K642" s="15"/>
      <c r="L642" s="15"/>
      <c r="M642" s="15"/>
      <c r="N642" s="15"/>
      <c r="O642" s="15"/>
      <c r="P642" s="45"/>
      <c r="Q642" s="45"/>
      <c r="R642" s="45"/>
      <c r="S642" s="45"/>
    </row>
    <row r="643" spans="1:19">
      <c r="A643" s="15"/>
      <c r="B643" s="15"/>
      <c r="C643" s="42"/>
      <c r="D643" s="15"/>
      <c r="E643" s="42"/>
      <c r="F643" s="43"/>
      <c r="G643" s="15"/>
      <c r="H643" s="44"/>
      <c r="I643" s="15"/>
      <c r="J643" s="15"/>
      <c r="K643" s="15"/>
      <c r="L643" s="15"/>
      <c r="M643" s="15"/>
      <c r="N643" s="15"/>
      <c r="O643" s="15"/>
      <c r="P643" s="45"/>
      <c r="Q643" s="45"/>
      <c r="R643" s="45"/>
      <c r="S643" s="45"/>
    </row>
    <row r="644" spans="1:19">
      <c r="A644" s="15"/>
      <c r="B644" s="15"/>
      <c r="C644" s="42"/>
      <c r="D644" s="15"/>
      <c r="E644" s="42"/>
      <c r="F644" s="43"/>
      <c r="G644" s="15"/>
      <c r="H644" s="44"/>
      <c r="I644" s="15"/>
      <c r="J644" s="15"/>
      <c r="K644" s="15"/>
      <c r="L644" s="15"/>
      <c r="M644" s="15"/>
      <c r="N644" s="15"/>
      <c r="O644" s="15"/>
      <c r="P644" s="45"/>
      <c r="Q644" s="45"/>
      <c r="R644" s="45"/>
      <c r="S644" s="45"/>
    </row>
    <row r="645" spans="1:19">
      <c r="A645" s="15"/>
      <c r="B645" s="15"/>
      <c r="C645" s="42"/>
      <c r="D645" s="15"/>
      <c r="E645" s="42"/>
      <c r="F645" s="43"/>
      <c r="G645" s="15"/>
      <c r="H645" s="44"/>
      <c r="I645" s="15"/>
      <c r="J645" s="15"/>
      <c r="K645" s="15"/>
      <c r="L645" s="15"/>
      <c r="M645" s="15"/>
      <c r="N645" s="15"/>
      <c r="O645" s="15"/>
      <c r="P645" s="45"/>
      <c r="Q645" s="45"/>
      <c r="R645" s="45"/>
      <c r="S645" s="45"/>
    </row>
    <row r="646" spans="1:19">
      <c r="A646" s="15"/>
      <c r="B646" s="15"/>
      <c r="C646" s="42"/>
      <c r="D646" s="15"/>
      <c r="E646" s="42"/>
      <c r="F646" s="43"/>
      <c r="G646" s="15"/>
      <c r="H646" s="44"/>
      <c r="I646" s="15"/>
      <c r="J646" s="15"/>
      <c r="K646" s="15"/>
      <c r="L646" s="15"/>
      <c r="M646" s="15"/>
      <c r="N646" s="15"/>
      <c r="O646" s="15"/>
      <c r="P646" s="45"/>
      <c r="Q646" s="45"/>
      <c r="R646" s="45"/>
      <c r="S646" s="45"/>
    </row>
    <row r="647" spans="1:19">
      <c r="A647" s="15"/>
      <c r="B647" s="15"/>
      <c r="C647" s="42"/>
      <c r="D647" s="15"/>
      <c r="E647" s="42"/>
      <c r="F647" s="43"/>
      <c r="G647" s="15"/>
      <c r="H647" s="44"/>
      <c r="I647" s="15"/>
      <c r="J647" s="15"/>
      <c r="K647" s="15"/>
      <c r="L647" s="15"/>
      <c r="M647" s="15"/>
      <c r="N647" s="15"/>
      <c r="O647" s="15"/>
      <c r="P647" s="45"/>
      <c r="Q647" s="45"/>
      <c r="R647" s="45"/>
      <c r="S647" s="45"/>
    </row>
    <row r="648" spans="1:19">
      <c r="A648" s="15"/>
      <c r="B648" s="15"/>
      <c r="C648" s="42"/>
      <c r="D648" s="15"/>
      <c r="E648" s="42"/>
      <c r="F648" s="43"/>
      <c r="G648" s="15"/>
      <c r="H648" s="44"/>
      <c r="I648" s="15"/>
      <c r="J648" s="15"/>
      <c r="K648" s="15"/>
      <c r="L648" s="15"/>
      <c r="M648" s="15"/>
      <c r="N648" s="15"/>
      <c r="O648" s="15"/>
      <c r="P648" s="45"/>
      <c r="Q648" s="45"/>
      <c r="R648" s="45"/>
      <c r="S648" s="45"/>
    </row>
    <row r="649" spans="1:19">
      <c r="A649" s="15"/>
      <c r="B649" s="15"/>
      <c r="C649" s="42"/>
      <c r="D649" s="15"/>
      <c r="E649" s="42"/>
      <c r="F649" s="43"/>
      <c r="G649" s="15"/>
      <c r="H649" s="44"/>
      <c r="I649" s="15"/>
      <c r="J649" s="15"/>
      <c r="K649" s="15"/>
      <c r="L649" s="15"/>
      <c r="M649" s="15"/>
      <c r="N649" s="15"/>
      <c r="O649" s="15"/>
      <c r="P649" s="45"/>
      <c r="Q649" s="45"/>
      <c r="R649" s="45"/>
      <c r="S649" s="45"/>
    </row>
    <row r="650" spans="1:19">
      <c r="A650" s="15"/>
      <c r="B650" s="15"/>
      <c r="C650" s="42"/>
      <c r="D650" s="15"/>
      <c r="E650" s="42"/>
      <c r="F650" s="43"/>
      <c r="G650" s="15"/>
      <c r="H650" s="44"/>
      <c r="I650" s="15"/>
      <c r="J650" s="15"/>
      <c r="K650" s="15"/>
      <c r="L650" s="15"/>
      <c r="M650" s="15"/>
      <c r="N650" s="15"/>
      <c r="O650" s="15"/>
      <c r="P650" s="45"/>
      <c r="Q650" s="45"/>
      <c r="R650" s="45"/>
      <c r="S650" s="45"/>
    </row>
    <row r="651" spans="1:19">
      <c r="A651" s="15"/>
      <c r="B651" s="15"/>
      <c r="C651" s="42"/>
      <c r="D651" s="15"/>
      <c r="E651" s="42"/>
      <c r="F651" s="43"/>
      <c r="G651" s="15"/>
      <c r="H651" s="44"/>
      <c r="I651" s="15"/>
      <c r="J651" s="15"/>
      <c r="K651" s="15"/>
      <c r="L651" s="15"/>
      <c r="M651" s="15"/>
      <c r="N651" s="15"/>
      <c r="O651" s="15"/>
      <c r="P651" s="45"/>
      <c r="Q651" s="45"/>
      <c r="R651" s="45"/>
      <c r="S651" s="45"/>
    </row>
    <row r="652" spans="1:19">
      <c r="A652" s="15"/>
      <c r="B652" s="15"/>
      <c r="C652" s="42"/>
      <c r="D652" s="15"/>
      <c r="E652" s="42"/>
      <c r="F652" s="43"/>
      <c r="G652" s="15"/>
      <c r="H652" s="44"/>
      <c r="I652" s="15"/>
      <c r="J652" s="15"/>
      <c r="K652" s="15"/>
      <c r="L652" s="15"/>
      <c r="M652" s="15"/>
      <c r="N652" s="15"/>
      <c r="O652" s="15"/>
      <c r="P652" s="45"/>
      <c r="Q652" s="45"/>
      <c r="R652" s="45"/>
      <c r="S652" s="45"/>
    </row>
    <row r="653" spans="1:19">
      <c r="A653" s="15"/>
      <c r="B653" s="15"/>
      <c r="C653" s="42"/>
      <c r="D653" s="15"/>
      <c r="E653" s="42"/>
      <c r="F653" s="43"/>
      <c r="G653" s="15"/>
      <c r="H653" s="44"/>
      <c r="I653" s="15"/>
      <c r="J653" s="15"/>
      <c r="K653" s="15"/>
      <c r="L653" s="15"/>
      <c r="M653" s="15"/>
      <c r="N653" s="15"/>
      <c r="O653" s="15"/>
      <c r="P653" s="45"/>
      <c r="Q653" s="45"/>
      <c r="R653" s="45"/>
      <c r="S653" s="45"/>
    </row>
    <row r="654" spans="1:19">
      <c r="A654" s="15"/>
      <c r="B654" s="15"/>
      <c r="C654" s="42"/>
      <c r="D654" s="15"/>
      <c r="E654" s="42"/>
      <c r="F654" s="43"/>
      <c r="G654" s="15"/>
      <c r="H654" s="44"/>
      <c r="I654" s="15"/>
      <c r="J654" s="15"/>
      <c r="K654" s="15"/>
      <c r="L654" s="15"/>
      <c r="M654" s="15"/>
      <c r="N654" s="15"/>
      <c r="O654" s="15"/>
      <c r="P654" s="45"/>
      <c r="Q654" s="45"/>
      <c r="R654" s="45"/>
      <c r="S654" s="45"/>
    </row>
    <row r="655" spans="1:19">
      <c r="A655" s="15"/>
      <c r="B655" s="15"/>
      <c r="C655" s="42"/>
      <c r="D655" s="15"/>
      <c r="E655" s="42"/>
      <c r="F655" s="43"/>
      <c r="G655" s="15"/>
      <c r="H655" s="44"/>
      <c r="I655" s="15"/>
      <c r="J655" s="15"/>
      <c r="K655" s="15"/>
      <c r="L655" s="15"/>
      <c r="M655" s="15"/>
      <c r="N655" s="15"/>
      <c r="O655" s="15"/>
      <c r="P655" s="45"/>
      <c r="Q655" s="45"/>
      <c r="R655" s="45"/>
      <c r="S655" s="45"/>
    </row>
    <row r="656" spans="1:19">
      <c r="A656" s="15"/>
      <c r="B656" s="15"/>
      <c r="C656" s="42"/>
      <c r="D656" s="15"/>
      <c r="E656" s="42"/>
      <c r="F656" s="43"/>
      <c r="G656" s="15"/>
      <c r="H656" s="44"/>
      <c r="I656" s="15"/>
      <c r="J656" s="15"/>
      <c r="K656" s="15"/>
      <c r="L656" s="15"/>
      <c r="M656" s="15"/>
      <c r="N656" s="15"/>
      <c r="O656" s="15"/>
      <c r="P656" s="45"/>
      <c r="Q656" s="45"/>
      <c r="R656" s="45"/>
      <c r="S656" s="45"/>
    </row>
    <row r="657" spans="1:19">
      <c r="A657" s="15"/>
      <c r="B657" s="15"/>
      <c r="C657" s="42"/>
      <c r="D657" s="15"/>
      <c r="E657" s="42"/>
      <c r="F657" s="43"/>
      <c r="G657" s="15"/>
      <c r="H657" s="44"/>
      <c r="I657" s="15"/>
      <c r="J657" s="15"/>
      <c r="K657" s="15"/>
      <c r="L657" s="15"/>
      <c r="M657" s="15"/>
      <c r="N657" s="15"/>
      <c r="O657" s="15"/>
      <c r="P657" s="45"/>
      <c r="Q657" s="45"/>
      <c r="R657" s="45"/>
      <c r="S657" s="45"/>
    </row>
    <row r="658" spans="1:19">
      <c r="A658" s="15"/>
      <c r="B658" s="15"/>
      <c r="C658" s="42"/>
      <c r="D658" s="15"/>
      <c r="E658" s="42"/>
      <c r="F658" s="43"/>
      <c r="G658" s="15"/>
      <c r="H658" s="44"/>
      <c r="I658" s="15"/>
      <c r="J658" s="15"/>
      <c r="K658" s="15"/>
      <c r="L658" s="15"/>
      <c r="M658" s="15"/>
      <c r="N658" s="15"/>
      <c r="O658" s="15"/>
      <c r="P658" s="45"/>
      <c r="Q658" s="45"/>
      <c r="R658" s="45"/>
      <c r="S658" s="45"/>
    </row>
    <row r="659" spans="1:19">
      <c r="A659" s="15"/>
      <c r="B659" s="15"/>
      <c r="C659" s="42"/>
      <c r="D659" s="15"/>
      <c r="E659" s="42"/>
      <c r="F659" s="43"/>
      <c r="G659" s="15"/>
      <c r="H659" s="44"/>
      <c r="I659" s="15"/>
      <c r="J659" s="15"/>
      <c r="K659" s="15"/>
      <c r="L659" s="15"/>
      <c r="M659" s="15"/>
      <c r="N659" s="15"/>
      <c r="O659" s="15"/>
      <c r="P659" s="45"/>
      <c r="Q659" s="45"/>
      <c r="R659" s="45"/>
      <c r="S659" s="45"/>
    </row>
    <row r="660" spans="1:19">
      <c r="A660" s="15"/>
      <c r="B660" s="15"/>
      <c r="C660" s="42"/>
      <c r="D660" s="15"/>
      <c r="E660" s="42"/>
      <c r="F660" s="43"/>
      <c r="G660" s="15"/>
      <c r="H660" s="44"/>
      <c r="I660" s="15"/>
      <c r="J660" s="15"/>
      <c r="K660" s="15"/>
      <c r="L660" s="15"/>
      <c r="M660" s="15"/>
      <c r="N660" s="15"/>
      <c r="O660" s="15"/>
      <c r="P660" s="45"/>
      <c r="Q660" s="45"/>
      <c r="R660" s="45"/>
      <c r="S660" s="45"/>
    </row>
    <row r="661" spans="1:19">
      <c r="A661" s="15"/>
      <c r="B661" s="15"/>
      <c r="C661" s="42"/>
      <c r="D661" s="15"/>
      <c r="E661" s="42"/>
      <c r="F661" s="43"/>
      <c r="G661" s="15"/>
      <c r="H661" s="44"/>
      <c r="I661" s="15"/>
      <c r="J661" s="15"/>
      <c r="K661" s="15"/>
      <c r="L661" s="15"/>
      <c r="M661" s="15"/>
      <c r="N661" s="15"/>
      <c r="O661" s="15"/>
      <c r="P661" s="45"/>
      <c r="Q661" s="45"/>
      <c r="R661" s="45"/>
      <c r="S661" s="45"/>
    </row>
    <row r="662" spans="1:19">
      <c r="A662" s="15"/>
      <c r="B662" s="15"/>
      <c r="C662" s="42"/>
      <c r="D662" s="15"/>
      <c r="E662" s="42"/>
      <c r="F662" s="43"/>
      <c r="G662" s="15"/>
      <c r="H662" s="44"/>
      <c r="I662" s="15"/>
      <c r="J662" s="15"/>
      <c r="K662" s="15"/>
      <c r="L662" s="15"/>
      <c r="M662" s="15"/>
      <c r="N662" s="15"/>
      <c r="O662" s="15"/>
      <c r="P662" s="45"/>
      <c r="Q662" s="45"/>
      <c r="R662" s="45"/>
      <c r="S662" s="45"/>
    </row>
    <row r="663" spans="1:19">
      <c r="A663" s="15"/>
      <c r="B663" s="15"/>
      <c r="C663" s="42"/>
      <c r="D663" s="15"/>
      <c r="E663" s="42"/>
      <c r="F663" s="43"/>
      <c r="G663" s="15"/>
      <c r="H663" s="44"/>
      <c r="I663" s="15"/>
      <c r="J663" s="15"/>
      <c r="K663" s="15"/>
      <c r="L663" s="15"/>
      <c r="M663" s="15"/>
      <c r="N663" s="15"/>
      <c r="O663" s="15"/>
      <c r="P663" s="45"/>
      <c r="Q663" s="45"/>
      <c r="R663" s="45"/>
      <c r="S663" s="45"/>
    </row>
    <row r="664" spans="1:19">
      <c r="A664" s="15"/>
      <c r="B664" s="15"/>
      <c r="C664" s="42"/>
      <c r="D664" s="15"/>
      <c r="E664" s="42"/>
      <c r="F664" s="43"/>
      <c r="G664" s="15"/>
      <c r="H664" s="44"/>
      <c r="I664" s="15"/>
      <c r="J664" s="15"/>
      <c r="K664" s="15"/>
      <c r="L664" s="15"/>
      <c r="M664" s="15"/>
      <c r="N664" s="15"/>
      <c r="O664" s="15"/>
      <c r="P664" s="45"/>
      <c r="Q664" s="45"/>
      <c r="R664" s="45"/>
      <c r="S664" s="45"/>
    </row>
    <row r="665" spans="1:19">
      <c r="A665" s="15"/>
      <c r="B665" s="15"/>
      <c r="C665" s="42"/>
      <c r="D665" s="15"/>
      <c r="E665" s="42"/>
      <c r="F665" s="43"/>
      <c r="G665" s="15"/>
      <c r="H665" s="44"/>
      <c r="I665" s="15"/>
      <c r="J665" s="15"/>
      <c r="K665" s="15"/>
      <c r="L665" s="15"/>
      <c r="M665" s="15"/>
      <c r="N665" s="15"/>
      <c r="O665" s="15"/>
      <c r="P665" s="45"/>
      <c r="Q665" s="45"/>
      <c r="R665" s="45"/>
      <c r="S665" s="45"/>
    </row>
    <row r="666" spans="1:19">
      <c r="A666" s="15"/>
      <c r="B666" s="15"/>
      <c r="C666" s="42"/>
      <c r="D666" s="15"/>
      <c r="E666" s="42"/>
      <c r="F666" s="43"/>
      <c r="G666" s="15"/>
      <c r="H666" s="44"/>
      <c r="I666" s="15"/>
      <c r="J666" s="15"/>
      <c r="K666" s="15"/>
      <c r="L666" s="15"/>
      <c r="M666" s="15"/>
      <c r="N666" s="15"/>
      <c r="O666" s="15"/>
      <c r="P666" s="45"/>
      <c r="Q666" s="45"/>
      <c r="R666" s="45"/>
      <c r="S666" s="45"/>
    </row>
    <row r="667" spans="1:19">
      <c r="A667" s="15"/>
      <c r="B667" s="15"/>
      <c r="C667" s="42"/>
      <c r="D667" s="15"/>
      <c r="E667" s="42"/>
      <c r="F667" s="43"/>
      <c r="G667" s="15"/>
      <c r="H667" s="44"/>
      <c r="I667" s="15"/>
      <c r="J667" s="15"/>
      <c r="K667" s="15"/>
      <c r="L667" s="15"/>
      <c r="M667" s="15"/>
      <c r="N667" s="15"/>
      <c r="O667" s="15"/>
      <c r="P667" s="45"/>
      <c r="Q667" s="45"/>
      <c r="R667" s="45"/>
      <c r="S667" s="45"/>
    </row>
    <row r="668" spans="1:19">
      <c r="A668" s="15"/>
      <c r="B668" s="15"/>
      <c r="C668" s="42"/>
      <c r="D668" s="15"/>
      <c r="E668" s="42"/>
      <c r="F668" s="43"/>
      <c r="G668" s="15"/>
      <c r="H668" s="44"/>
      <c r="I668" s="15"/>
      <c r="J668" s="15"/>
      <c r="K668" s="15"/>
      <c r="L668" s="15"/>
      <c r="M668" s="15"/>
      <c r="N668" s="15"/>
      <c r="O668" s="15"/>
      <c r="P668" s="45"/>
      <c r="Q668" s="45"/>
      <c r="R668" s="45"/>
      <c r="S668" s="45"/>
    </row>
    <row r="669" spans="1:19">
      <c r="A669" s="15"/>
      <c r="B669" s="15"/>
      <c r="C669" s="42"/>
      <c r="D669" s="15"/>
      <c r="E669" s="42"/>
      <c r="F669" s="43"/>
      <c r="G669" s="15"/>
      <c r="H669" s="44"/>
      <c r="I669" s="15"/>
      <c r="J669" s="15"/>
      <c r="K669" s="15"/>
      <c r="L669" s="15"/>
      <c r="M669" s="15"/>
      <c r="N669" s="15"/>
      <c r="O669" s="15"/>
      <c r="P669" s="45"/>
      <c r="Q669" s="45"/>
      <c r="R669" s="45"/>
      <c r="S669" s="45"/>
    </row>
    <row r="670" spans="1:19">
      <c r="A670" s="15"/>
      <c r="B670" s="15"/>
      <c r="C670" s="42"/>
      <c r="D670" s="15"/>
      <c r="E670" s="42"/>
      <c r="F670" s="43"/>
      <c r="G670" s="15"/>
      <c r="H670" s="44"/>
      <c r="I670" s="15"/>
      <c r="J670" s="15"/>
      <c r="K670" s="15"/>
      <c r="L670" s="15"/>
      <c r="M670" s="15"/>
      <c r="N670" s="15"/>
      <c r="O670" s="15"/>
      <c r="P670" s="45"/>
      <c r="Q670" s="45"/>
      <c r="R670" s="45"/>
      <c r="S670" s="45"/>
    </row>
    <row r="671" spans="1:19">
      <c r="A671" s="15"/>
      <c r="B671" s="15"/>
      <c r="C671" s="42"/>
      <c r="D671" s="15"/>
      <c r="E671" s="42"/>
      <c r="F671" s="43"/>
      <c r="G671" s="15"/>
      <c r="H671" s="44"/>
      <c r="I671" s="15"/>
      <c r="J671" s="15"/>
      <c r="K671" s="15"/>
      <c r="L671" s="15"/>
      <c r="M671" s="15"/>
      <c r="N671" s="15"/>
      <c r="O671" s="15"/>
      <c r="P671" s="45"/>
      <c r="Q671" s="45"/>
      <c r="R671" s="45"/>
      <c r="S671" s="45"/>
    </row>
    <row r="672" spans="1:19">
      <c r="A672" s="15"/>
      <c r="B672" s="15"/>
      <c r="C672" s="42"/>
      <c r="D672" s="15"/>
      <c r="E672" s="42"/>
      <c r="F672" s="43"/>
      <c r="G672" s="15"/>
      <c r="H672" s="44"/>
      <c r="I672" s="15"/>
      <c r="J672" s="15"/>
      <c r="K672" s="15"/>
      <c r="L672" s="15"/>
      <c r="M672" s="15"/>
      <c r="N672" s="15"/>
      <c r="O672" s="15"/>
      <c r="P672" s="45"/>
      <c r="Q672" s="45"/>
      <c r="R672" s="45"/>
      <c r="S672" s="45"/>
    </row>
    <row r="673" spans="1:19">
      <c r="A673" s="15"/>
      <c r="B673" s="15"/>
      <c r="C673" s="42"/>
      <c r="D673" s="15"/>
      <c r="E673" s="42"/>
      <c r="F673" s="43"/>
      <c r="G673" s="15"/>
      <c r="H673" s="44"/>
      <c r="I673" s="15"/>
      <c r="J673" s="15"/>
      <c r="K673" s="15"/>
      <c r="L673" s="15"/>
      <c r="M673" s="15"/>
      <c r="N673" s="15"/>
      <c r="O673" s="15"/>
      <c r="P673" s="45"/>
      <c r="Q673" s="45"/>
      <c r="R673" s="45"/>
      <c r="S673" s="45"/>
    </row>
    <row r="674" spans="1:19">
      <c r="A674" s="15"/>
      <c r="B674" s="15"/>
      <c r="C674" s="42"/>
      <c r="D674" s="15"/>
      <c r="E674" s="42"/>
      <c r="F674" s="43"/>
      <c r="G674" s="15"/>
      <c r="H674" s="44"/>
      <c r="I674" s="15"/>
      <c r="J674" s="15"/>
      <c r="K674" s="15"/>
      <c r="L674" s="15"/>
      <c r="M674" s="15"/>
      <c r="N674" s="15"/>
      <c r="O674" s="15"/>
      <c r="P674" s="45"/>
      <c r="Q674" s="45"/>
      <c r="R674" s="45"/>
      <c r="S674" s="45"/>
    </row>
    <row r="675" spans="1:19">
      <c r="A675" s="15"/>
      <c r="B675" s="15"/>
      <c r="C675" s="42"/>
      <c r="D675" s="15"/>
      <c r="E675" s="42"/>
      <c r="F675" s="43"/>
      <c r="G675" s="15"/>
      <c r="H675" s="44"/>
      <c r="I675" s="15"/>
      <c r="J675" s="15"/>
      <c r="K675" s="15"/>
      <c r="L675" s="15"/>
      <c r="M675" s="15"/>
      <c r="N675" s="15"/>
      <c r="O675" s="15"/>
      <c r="P675" s="45"/>
      <c r="Q675" s="45"/>
      <c r="R675" s="45"/>
      <c r="S675" s="45"/>
    </row>
    <row r="676" spans="1:19">
      <c r="A676" s="15"/>
      <c r="B676" s="15"/>
      <c r="C676" s="42"/>
      <c r="D676" s="15"/>
      <c r="E676" s="42"/>
      <c r="F676" s="43"/>
      <c r="G676" s="15"/>
      <c r="H676" s="44"/>
      <c r="I676" s="15"/>
      <c r="J676" s="15"/>
      <c r="K676" s="15"/>
      <c r="L676" s="15"/>
      <c r="M676" s="15"/>
      <c r="N676" s="15"/>
      <c r="O676" s="15"/>
      <c r="P676" s="45"/>
      <c r="Q676" s="45"/>
      <c r="R676" s="45"/>
      <c r="S676" s="45"/>
    </row>
    <row r="677" spans="1:19">
      <c r="A677" s="15"/>
      <c r="B677" s="15"/>
      <c r="C677" s="42"/>
      <c r="D677" s="15"/>
      <c r="E677" s="42"/>
      <c r="F677" s="43"/>
      <c r="G677" s="15"/>
      <c r="H677" s="44"/>
      <c r="I677" s="15"/>
      <c r="J677" s="15"/>
      <c r="K677" s="15"/>
      <c r="L677" s="15"/>
      <c r="M677" s="15"/>
      <c r="N677" s="15"/>
      <c r="O677" s="15"/>
      <c r="P677" s="45"/>
      <c r="Q677" s="45"/>
      <c r="R677" s="45"/>
      <c r="S677" s="45"/>
    </row>
    <row r="678" spans="1:19">
      <c r="A678" s="15"/>
      <c r="B678" s="15"/>
      <c r="C678" s="42"/>
      <c r="D678" s="15"/>
      <c r="E678" s="42"/>
      <c r="F678" s="43"/>
      <c r="G678" s="15"/>
      <c r="H678" s="44"/>
      <c r="I678" s="15"/>
      <c r="J678" s="15"/>
      <c r="K678" s="15"/>
      <c r="L678" s="15"/>
      <c r="M678" s="15"/>
      <c r="N678" s="15"/>
      <c r="O678" s="15"/>
      <c r="P678" s="45"/>
      <c r="Q678" s="45"/>
      <c r="R678" s="45"/>
      <c r="S678" s="45"/>
    </row>
    <row r="679" spans="1:19">
      <c r="A679" s="15"/>
      <c r="B679" s="15"/>
      <c r="C679" s="42"/>
      <c r="D679" s="15"/>
      <c r="E679" s="42"/>
      <c r="F679" s="43"/>
      <c r="G679" s="15"/>
      <c r="H679" s="44"/>
      <c r="I679" s="15"/>
      <c r="J679" s="15"/>
      <c r="K679" s="15"/>
      <c r="L679" s="15"/>
      <c r="M679" s="15"/>
      <c r="N679" s="15"/>
      <c r="O679" s="15"/>
      <c r="P679" s="45"/>
      <c r="Q679" s="45"/>
      <c r="R679" s="45"/>
      <c r="S679" s="45"/>
    </row>
    <row r="680" spans="1:19">
      <c r="A680" s="15"/>
      <c r="B680" s="15"/>
      <c r="C680" s="42"/>
      <c r="D680" s="15"/>
      <c r="E680" s="42"/>
      <c r="F680" s="43"/>
      <c r="G680" s="15"/>
      <c r="H680" s="44"/>
      <c r="I680" s="15"/>
      <c r="J680" s="15"/>
      <c r="K680" s="15"/>
      <c r="L680" s="15"/>
      <c r="M680" s="15"/>
      <c r="N680" s="15"/>
      <c r="O680" s="15"/>
      <c r="P680" s="45"/>
      <c r="Q680" s="45"/>
      <c r="R680" s="45"/>
      <c r="S680" s="45"/>
    </row>
    <row r="681" spans="1:19">
      <c r="A681" s="15"/>
      <c r="B681" s="15"/>
      <c r="C681" s="42"/>
      <c r="D681" s="15"/>
      <c r="E681" s="42"/>
      <c r="F681" s="43"/>
      <c r="G681" s="15"/>
      <c r="H681" s="44"/>
      <c r="I681" s="15"/>
      <c r="J681" s="15"/>
      <c r="K681" s="15"/>
      <c r="L681" s="15"/>
      <c r="M681" s="15"/>
      <c r="N681" s="15"/>
      <c r="O681" s="15"/>
      <c r="P681" s="45"/>
      <c r="Q681" s="45"/>
      <c r="R681" s="45"/>
      <c r="S681" s="45"/>
    </row>
    <row r="682" spans="1:19">
      <c r="A682" s="15"/>
      <c r="B682" s="15"/>
      <c r="C682" s="42"/>
      <c r="D682" s="15"/>
      <c r="E682" s="42"/>
      <c r="F682" s="43"/>
      <c r="G682" s="15"/>
      <c r="H682" s="44"/>
      <c r="I682" s="15"/>
      <c r="J682" s="15"/>
      <c r="K682" s="15"/>
      <c r="L682" s="15"/>
      <c r="M682" s="15"/>
      <c r="N682" s="15"/>
      <c r="O682" s="15"/>
      <c r="P682" s="45"/>
      <c r="Q682" s="45"/>
      <c r="R682" s="45"/>
      <c r="S682" s="45"/>
    </row>
    <row r="683" spans="1:19">
      <c r="A683" s="15"/>
      <c r="B683" s="15"/>
      <c r="C683" s="42"/>
      <c r="D683" s="15"/>
      <c r="E683" s="42"/>
      <c r="F683" s="43"/>
      <c r="G683" s="15"/>
      <c r="H683" s="44"/>
      <c r="I683" s="15"/>
      <c r="J683" s="15"/>
      <c r="K683" s="15"/>
      <c r="L683" s="15"/>
      <c r="M683" s="15"/>
      <c r="N683" s="15"/>
      <c r="O683" s="15"/>
      <c r="P683" s="45"/>
      <c r="Q683" s="45"/>
      <c r="R683" s="45"/>
      <c r="S683" s="45"/>
    </row>
    <row r="684" spans="1:19">
      <c r="A684" s="15"/>
      <c r="B684" s="15"/>
      <c r="C684" s="42"/>
      <c r="D684" s="15"/>
      <c r="E684" s="42"/>
      <c r="F684" s="43"/>
      <c r="G684" s="15"/>
      <c r="H684" s="44"/>
      <c r="I684" s="15"/>
      <c r="J684" s="15"/>
      <c r="K684" s="15"/>
      <c r="L684" s="15"/>
      <c r="M684" s="15"/>
      <c r="N684" s="15"/>
      <c r="O684" s="15"/>
      <c r="P684" s="45"/>
      <c r="Q684" s="45"/>
      <c r="R684" s="45"/>
      <c r="S684" s="45"/>
    </row>
    <row r="685" spans="1:19">
      <c r="A685" s="15"/>
      <c r="B685" s="15"/>
      <c r="C685" s="42"/>
      <c r="D685" s="15"/>
      <c r="E685" s="42"/>
      <c r="F685" s="43"/>
      <c r="G685" s="15"/>
      <c r="H685" s="44"/>
      <c r="I685" s="15"/>
      <c r="J685" s="15"/>
      <c r="K685" s="15"/>
      <c r="L685" s="15"/>
      <c r="M685" s="15"/>
      <c r="N685" s="15"/>
      <c r="O685" s="15"/>
      <c r="P685" s="45"/>
      <c r="Q685" s="45"/>
      <c r="R685" s="45"/>
      <c r="S685" s="45"/>
    </row>
    <row r="686" spans="1:19">
      <c r="A686" s="15"/>
      <c r="B686" s="15"/>
      <c r="C686" s="42"/>
      <c r="D686" s="15"/>
      <c r="E686" s="42"/>
      <c r="F686" s="43"/>
      <c r="G686" s="15"/>
      <c r="H686" s="44"/>
      <c r="I686" s="15"/>
      <c r="J686" s="15"/>
      <c r="K686" s="15"/>
      <c r="L686" s="15"/>
      <c r="M686" s="15"/>
      <c r="N686" s="15"/>
      <c r="O686" s="15"/>
      <c r="P686" s="45"/>
      <c r="Q686" s="45"/>
      <c r="R686" s="45"/>
      <c r="S686" s="45"/>
    </row>
    <row r="687" spans="1:19">
      <c r="A687" s="15"/>
      <c r="B687" s="15"/>
      <c r="C687" s="42"/>
      <c r="D687" s="15"/>
      <c r="E687" s="42"/>
      <c r="F687" s="43"/>
      <c r="G687" s="15"/>
      <c r="H687" s="44"/>
      <c r="I687" s="15"/>
      <c r="J687" s="15"/>
      <c r="K687" s="15"/>
      <c r="L687" s="15"/>
      <c r="M687" s="15"/>
      <c r="N687" s="15"/>
      <c r="O687" s="15"/>
      <c r="P687" s="45"/>
      <c r="Q687" s="45"/>
      <c r="R687" s="45"/>
      <c r="S687" s="45"/>
    </row>
    <row r="688" spans="1:19">
      <c r="A688" s="15"/>
      <c r="B688" s="15"/>
      <c r="C688" s="42"/>
      <c r="D688" s="15"/>
      <c r="E688" s="42"/>
      <c r="F688" s="43"/>
      <c r="G688" s="15"/>
      <c r="H688" s="44"/>
      <c r="I688" s="15"/>
      <c r="J688" s="15"/>
      <c r="K688" s="15"/>
      <c r="L688" s="15"/>
      <c r="M688" s="15"/>
      <c r="N688" s="15"/>
      <c r="O688" s="15"/>
      <c r="P688" s="45"/>
      <c r="Q688" s="45"/>
      <c r="R688" s="45"/>
      <c r="S688" s="45"/>
    </row>
    <row r="689" spans="1:19">
      <c r="A689" s="15"/>
      <c r="B689" s="15"/>
      <c r="C689" s="42"/>
      <c r="D689" s="15"/>
      <c r="E689" s="42"/>
      <c r="F689" s="43"/>
      <c r="G689" s="15"/>
      <c r="H689" s="44"/>
      <c r="I689" s="15"/>
      <c r="J689" s="15"/>
      <c r="K689" s="15"/>
      <c r="L689" s="15"/>
      <c r="M689" s="15"/>
      <c r="N689" s="15"/>
      <c r="O689" s="15"/>
      <c r="P689" s="45"/>
      <c r="Q689" s="45"/>
      <c r="R689" s="45"/>
      <c r="S689" s="45"/>
    </row>
    <row r="690" spans="1:19">
      <c r="A690" s="15"/>
      <c r="B690" s="15"/>
      <c r="C690" s="42"/>
      <c r="D690" s="15"/>
      <c r="E690" s="42"/>
      <c r="F690" s="43"/>
      <c r="G690" s="15"/>
      <c r="H690" s="44"/>
      <c r="I690" s="15"/>
      <c r="J690" s="15"/>
      <c r="K690" s="15"/>
      <c r="L690" s="15"/>
      <c r="M690" s="15"/>
      <c r="N690" s="15"/>
      <c r="O690" s="15"/>
      <c r="P690" s="45"/>
      <c r="Q690" s="45"/>
      <c r="R690" s="45"/>
      <c r="S690" s="45"/>
    </row>
    <row r="691" spans="1:19">
      <c r="A691" s="15"/>
      <c r="B691" s="15"/>
      <c r="C691" s="42"/>
      <c r="D691" s="15"/>
      <c r="E691" s="42"/>
      <c r="F691" s="43"/>
      <c r="G691" s="15"/>
      <c r="H691" s="44"/>
      <c r="I691" s="15"/>
      <c r="J691" s="15"/>
      <c r="K691" s="15"/>
      <c r="L691" s="15"/>
      <c r="M691" s="15"/>
      <c r="N691" s="15"/>
      <c r="O691" s="15"/>
      <c r="P691" s="45"/>
      <c r="Q691" s="45"/>
      <c r="R691" s="45"/>
      <c r="S691" s="45"/>
    </row>
    <row r="692" spans="1:19">
      <c r="A692" s="15"/>
      <c r="B692" s="15"/>
      <c r="C692" s="42"/>
      <c r="D692" s="15"/>
      <c r="E692" s="42"/>
      <c r="F692" s="43"/>
      <c r="G692" s="15"/>
      <c r="H692" s="44"/>
      <c r="I692" s="15"/>
      <c r="J692" s="15"/>
      <c r="K692" s="15"/>
      <c r="L692" s="15"/>
      <c r="M692" s="15"/>
      <c r="N692" s="15"/>
      <c r="O692" s="15"/>
      <c r="P692" s="45"/>
      <c r="Q692" s="45"/>
      <c r="R692" s="45"/>
      <c r="S692" s="45"/>
    </row>
    <row r="693" spans="1:19">
      <c r="A693" s="15"/>
      <c r="B693" s="15"/>
      <c r="C693" s="42"/>
      <c r="D693" s="15"/>
      <c r="E693" s="42"/>
      <c r="F693" s="43"/>
      <c r="G693" s="15"/>
      <c r="H693" s="44"/>
      <c r="I693" s="15"/>
      <c r="J693" s="15"/>
      <c r="K693" s="15"/>
      <c r="L693" s="15"/>
      <c r="M693" s="15"/>
      <c r="N693" s="15"/>
      <c r="O693" s="15"/>
      <c r="P693" s="45"/>
      <c r="Q693" s="45"/>
      <c r="R693" s="45"/>
      <c r="S693" s="45"/>
    </row>
    <row r="694" spans="1:19">
      <c r="A694" s="15"/>
      <c r="B694" s="15"/>
      <c r="C694" s="42"/>
      <c r="D694" s="15"/>
      <c r="E694" s="42"/>
      <c r="F694" s="43"/>
      <c r="G694" s="15"/>
      <c r="H694" s="44"/>
      <c r="I694" s="15"/>
      <c r="J694" s="15"/>
      <c r="K694" s="15"/>
      <c r="L694" s="15"/>
      <c r="M694" s="15"/>
      <c r="N694" s="15"/>
      <c r="O694" s="15"/>
      <c r="P694" s="45"/>
      <c r="Q694" s="45"/>
      <c r="R694" s="45"/>
      <c r="S694" s="45"/>
    </row>
    <row r="695" spans="1:19">
      <c r="A695" s="15"/>
      <c r="B695" s="15"/>
      <c r="C695" s="42"/>
      <c r="D695" s="15"/>
      <c r="E695" s="42"/>
      <c r="F695" s="43"/>
      <c r="G695" s="15"/>
      <c r="H695" s="44"/>
      <c r="I695" s="15"/>
      <c r="J695" s="15"/>
      <c r="K695" s="15"/>
      <c r="L695" s="15"/>
      <c r="M695" s="15"/>
      <c r="N695" s="15"/>
      <c r="O695" s="15"/>
      <c r="P695" s="45"/>
      <c r="Q695" s="45"/>
      <c r="R695" s="45"/>
      <c r="S695" s="45"/>
    </row>
    <row r="696" spans="1:19">
      <c r="A696" s="15"/>
      <c r="B696" s="15"/>
      <c r="C696" s="42"/>
      <c r="D696" s="15"/>
      <c r="E696" s="42"/>
      <c r="F696" s="43"/>
      <c r="G696" s="15"/>
      <c r="H696" s="44"/>
      <c r="I696" s="15"/>
      <c r="J696" s="15"/>
      <c r="K696" s="15"/>
      <c r="L696" s="15"/>
      <c r="M696" s="15"/>
      <c r="N696" s="15"/>
      <c r="O696" s="15"/>
      <c r="P696" s="45"/>
      <c r="Q696" s="45"/>
      <c r="R696" s="45"/>
      <c r="S696" s="45"/>
    </row>
    <row r="697" spans="1:19">
      <c r="A697" s="15"/>
      <c r="B697" s="15"/>
      <c r="C697" s="42"/>
      <c r="D697" s="15"/>
      <c r="E697" s="42"/>
      <c r="F697" s="43"/>
      <c r="G697" s="15"/>
      <c r="H697" s="44"/>
      <c r="I697" s="15"/>
      <c r="J697" s="15"/>
      <c r="K697" s="15"/>
      <c r="L697" s="15"/>
      <c r="M697" s="15"/>
      <c r="N697" s="15"/>
      <c r="O697" s="15"/>
      <c r="P697" s="45"/>
      <c r="Q697" s="45"/>
      <c r="R697" s="45"/>
      <c r="S697" s="45"/>
    </row>
    <row r="698" spans="1:19">
      <c r="A698" s="15"/>
      <c r="B698" s="15"/>
      <c r="C698" s="42"/>
      <c r="D698" s="15"/>
      <c r="E698" s="42"/>
      <c r="F698" s="43"/>
      <c r="G698" s="15"/>
      <c r="H698" s="44"/>
      <c r="I698" s="15"/>
      <c r="J698" s="15"/>
      <c r="K698" s="15"/>
      <c r="L698" s="15"/>
      <c r="M698" s="15"/>
      <c r="N698" s="15"/>
      <c r="O698" s="15"/>
      <c r="P698" s="45"/>
      <c r="Q698" s="45"/>
      <c r="R698" s="45"/>
      <c r="S698" s="45"/>
    </row>
    <row r="699" spans="1:19">
      <c r="A699" s="15"/>
      <c r="B699" s="15"/>
      <c r="C699" s="42"/>
      <c r="D699" s="15"/>
      <c r="E699" s="42"/>
      <c r="F699" s="43"/>
      <c r="G699" s="15"/>
      <c r="H699" s="44"/>
      <c r="I699" s="15"/>
      <c r="J699" s="15"/>
      <c r="K699" s="15"/>
      <c r="L699" s="15"/>
      <c r="M699" s="15"/>
      <c r="N699" s="15"/>
      <c r="O699" s="15"/>
      <c r="P699" s="45"/>
      <c r="Q699" s="45"/>
      <c r="R699" s="45"/>
      <c r="S699" s="45"/>
    </row>
    <row r="700" spans="1:19">
      <c r="A700" s="15"/>
      <c r="B700" s="15"/>
      <c r="C700" s="42"/>
      <c r="D700" s="15"/>
      <c r="E700" s="42"/>
      <c r="F700" s="43"/>
      <c r="G700" s="15"/>
      <c r="H700" s="44"/>
      <c r="I700" s="15"/>
      <c r="J700" s="15"/>
      <c r="K700" s="15"/>
      <c r="L700" s="15"/>
      <c r="M700" s="15"/>
      <c r="N700" s="15"/>
      <c r="O700" s="15"/>
      <c r="P700" s="45"/>
      <c r="Q700" s="45"/>
      <c r="R700" s="45"/>
      <c r="S700" s="45"/>
    </row>
    <row r="701" spans="1:19">
      <c r="A701" s="15"/>
      <c r="B701" s="15"/>
      <c r="C701" s="42"/>
      <c r="D701" s="15"/>
      <c r="E701" s="42"/>
      <c r="F701" s="43"/>
      <c r="G701" s="15"/>
      <c r="H701" s="44"/>
      <c r="I701" s="15"/>
      <c r="J701" s="15"/>
      <c r="K701" s="15"/>
      <c r="L701" s="15"/>
      <c r="M701" s="15"/>
      <c r="N701" s="15"/>
      <c r="O701" s="15"/>
      <c r="P701" s="45"/>
      <c r="Q701" s="45"/>
      <c r="R701" s="45"/>
      <c r="S701" s="45"/>
    </row>
    <row r="702" spans="1:19">
      <c r="A702" s="15"/>
      <c r="B702" s="15"/>
      <c r="C702" s="42"/>
      <c r="D702" s="15"/>
      <c r="E702" s="42"/>
      <c r="F702" s="43"/>
      <c r="G702" s="15"/>
      <c r="H702" s="44"/>
      <c r="I702" s="15"/>
      <c r="J702" s="15"/>
      <c r="K702" s="15"/>
      <c r="L702" s="15"/>
      <c r="M702" s="15"/>
      <c r="N702" s="15"/>
      <c r="O702" s="15"/>
      <c r="P702" s="45"/>
      <c r="Q702" s="45"/>
      <c r="R702" s="45"/>
      <c r="S702" s="45"/>
    </row>
    <row r="703" spans="1:19">
      <c r="A703" s="15"/>
      <c r="B703" s="15"/>
      <c r="C703" s="42"/>
      <c r="D703" s="15"/>
      <c r="E703" s="42"/>
      <c r="F703" s="43"/>
      <c r="G703" s="15"/>
      <c r="H703" s="44"/>
      <c r="I703" s="15"/>
      <c r="J703" s="15"/>
      <c r="K703" s="15"/>
      <c r="L703" s="15"/>
      <c r="M703" s="15"/>
      <c r="N703" s="15"/>
      <c r="O703" s="15"/>
      <c r="P703" s="45"/>
      <c r="Q703" s="45"/>
      <c r="R703" s="45"/>
      <c r="S703" s="45"/>
    </row>
    <row r="704" spans="1:19">
      <c r="A704" s="15"/>
      <c r="B704" s="15"/>
      <c r="C704" s="42"/>
      <c r="D704" s="15"/>
      <c r="E704" s="42"/>
      <c r="F704" s="43"/>
      <c r="G704" s="15"/>
      <c r="H704" s="44"/>
      <c r="I704" s="15"/>
      <c r="J704" s="15"/>
      <c r="K704" s="15"/>
      <c r="L704" s="15"/>
      <c r="M704" s="15"/>
      <c r="N704" s="15"/>
      <c r="O704" s="15"/>
      <c r="P704" s="45"/>
      <c r="Q704" s="45"/>
      <c r="R704" s="45"/>
      <c r="S704" s="45"/>
    </row>
    <row r="705" spans="1:19">
      <c r="A705" s="15"/>
      <c r="B705" s="15"/>
      <c r="C705" s="42"/>
      <c r="D705" s="15"/>
      <c r="E705" s="42"/>
      <c r="F705" s="43"/>
      <c r="G705" s="15"/>
      <c r="H705" s="44"/>
      <c r="I705" s="15"/>
      <c r="J705" s="15"/>
      <c r="K705" s="15"/>
      <c r="L705" s="15"/>
      <c r="M705" s="15"/>
      <c r="N705" s="15"/>
      <c r="O705" s="15"/>
      <c r="P705" s="45"/>
      <c r="Q705" s="45"/>
      <c r="R705" s="45"/>
      <c r="S705" s="45"/>
    </row>
    <row r="706" spans="1:19">
      <c r="A706" s="15"/>
      <c r="B706" s="15"/>
      <c r="C706" s="42"/>
      <c r="D706" s="15"/>
      <c r="E706" s="42"/>
      <c r="F706" s="43"/>
      <c r="G706" s="15"/>
      <c r="H706" s="44"/>
      <c r="I706" s="15"/>
      <c r="J706" s="15"/>
      <c r="K706" s="15"/>
      <c r="L706" s="15"/>
      <c r="M706" s="15"/>
      <c r="N706" s="15"/>
      <c r="O706" s="15"/>
      <c r="P706" s="45"/>
      <c r="Q706" s="45"/>
      <c r="R706" s="45"/>
      <c r="S706" s="45"/>
    </row>
    <row r="707" spans="1:19">
      <c r="A707" s="15"/>
      <c r="B707" s="15"/>
      <c r="C707" s="42"/>
      <c r="D707" s="15"/>
      <c r="E707" s="42"/>
      <c r="F707" s="43"/>
      <c r="G707" s="15"/>
      <c r="H707" s="44"/>
      <c r="I707" s="15"/>
      <c r="J707" s="15"/>
      <c r="K707" s="15"/>
      <c r="L707" s="15"/>
      <c r="M707" s="15"/>
      <c r="N707" s="15"/>
      <c r="O707" s="15"/>
      <c r="P707" s="45"/>
      <c r="Q707" s="45"/>
      <c r="R707" s="45"/>
      <c r="S707" s="45"/>
    </row>
    <row r="708" spans="1:19">
      <c r="A708" s="15"/>
      <c r="B708" s="15"/>
      <c r="C708" s="42"/>
      <c r="D708" s="15"/>
      <c r="E708" s="42"/>
      <c r="F708" s="43"/>
      <c r="G708" s="15"/>
      <c r="H708" s="44"/>
      <c r="I708" s="15"/>
      <c r="J708" s="15"/>
      <c r="K708" s="15"/>
      <c r="L708" s="15"/>
      <c r="M708" s="15"/>
      <c r="N708" s="15"/>
      <c r="O708" s="15"/>
      <c r="P708" s="45"/>
      <c r="Q708" s="45"/>
      <c r="R708" s="45"/>
      <c r="S708" s="45"/>
    </row>
    <row r="709" spans="1:19">
      <c r="A709" s="15"/>
      <c r="B709" s="15"/>
      <c r="C709" s="42"/>
      <c r="D709" s="15"/>
      <c r="E709" s="42"/>
      <c r="F709" s="43"/>
      <c r="G709" s="15"/>
      <c r="H709" s="44"/>
      <c r="I709" s="15"/>
      <c r="J709" s="15"/>
      <c r="K709" s="15"/>
      <c r="L709" s="15"/>
      <c r="M709" s="15"/>
      <c r="N709" s="15"/>
      <c r="O709" s="15"/>
      <c r="P709" s="45"/>
      <c r="Q709" s="45"/>
      <c r="R709" s="45"/>
      <c r="S709" s="45"/>
    </row>
    <row r="710" spans="1:19">
      <c r="A710" s="15"/>
      <c r="B710" s="15"/>
      <c r="C710" s="42"/>
      <c r="D710" s="15"/>
      <c r="E710" s="42"/>
      <c r="F710" s="43"/>
      <c r="G710" s="15"/>
      <c r="H710" s="44"/>
      <c r="I710" s="15"/>
      <c r="J710" s="15"/>
      <c r="K710" s="15"/>
      <c r="L710" s="15"/>
      <c r="M710" s="15"/>
      <c r="N710" s="15"/>
      <c r="O710" s="15"/>
      <c r="P710" s="45"/>
      <c r="Q710" s="45"/>
      <c r="R710" s="45"/>
      <c r="S710" s="45"/>
    </row>
    <row r="711" spans="1:19">
      <c r="A711" s="15"/>
      <c r="B711" s="15"/>
      <c r="C711" s="42"/>
      <c r="D711" s="15"/>
      <c r="E711" s="42"/>
      <c r="F711" s="43"/>
      <c r="G711" s="15"/>
      <c r="H711" s="44"/>
      <c r="I711" s="15"/>
      <c r="J711" s="15"/>
      <c r="K711" s="15"/>
      <c r="L711" s="15"/>
      <c r="M711" s="15"/>
      <c r="N711" s="15"/>
      <c r="O711" s="15"/>
      <c r="P711" s="45"/>
      <c r="Q711" s="45"/>
      <c r="R711" s="45"/>
      <c r="S711" s="45"/>
    </row>
    <row r="712" spans="1:19">
      <c r="A712" s="15"/>
      <c r="B712" s="15"/>
      <c r="C712" s="42"/>
      <c r="D712" s="15"/>
      <c r="E712" s="42"/>
      <c r="F712" s="43"/>
      <c r="G712" s="15"/>
      <c r="H712" s="44"/>
      <c r="I712" s="15"/>
      <c r="J712" s="15"/>
      <c r="K712" s="15"/>
      <c r="L712" s="15"/>
      <c r="M712" s="15"/>
      <c r="N712" s="15"/>
      <c r="O712" s="15"/>
      <c r="P712" s="45"/>
      <c r="Q712" s="45"/>
      <c r="R712" s="45"/>
      <c r="S712" s="45"/>
    </row>
    <row r="713" spans="1:19">
      <c r="A713" s="15"/>
      <c r="B713" s="15"/>
      <c r="C713" s="42"/>
      <c r="D713" s="15"/>
      <c r="E713" s="42"/>
      <c r="F713" s="43"/>
      <c r="G713" s="15"/>
      <c r="H713" s="44"/>
      <c r="I713" s="15"/>
      <c r="J713" s="15"/>
      <c r="K713" s="15"/>
      <c r="L713" s="15"/>
      <c r="M713" s="15"/>
      <c r="N713" s="15"/>
      <c r="O713" s="15"/>
      <c r="P713" s="45"/>
      <c r="Q713" s="45"/>
      <c r="R713" s="45"/>
      <c r="S713" s="45"/>
    </row>
    <row r="714" spans="1:19">
      <c r="A714" s="15"/>
      <c r="B714" s="15"/>
      <c r="C714" s="42"/>
      <c r="D714" s="15"/>
      <c r="E714" s="42"/>
      <c r="F714" s="43"/>
      <c r="G714" s="15"/>
      <c r="H714" s="44"/>
      <c r="I714" s="15"/>
      <c r="J714" s="15"/>
      <c r="K714" s="15"/>
      <c r="L714" s="15"/>
      <c r="M714" s="15"/>
      <c r="N714" s="15"/>
      <c r="O714" s="15"/>
      <c r="P714" s="45"/>
      <c r="Q714" s="45"/>
      <c r="R714" s="45"/>
      <c r="S714" s="45"/>
    </row>
    <row r="715" spans="1:19">
      <c r="A715" s="15"/>
      <c r="B715" s="15"/>
      <c r="C715" s="42"/>
      <c r="D715" s="15"/>
      <c r="E715" s="42"/>
      <c r="F715" s="43"/>
      <c r="G715" s="15"/>
      <c r="H715" s="44"/>
      <c r="I715" s="15"/>
      <c r="J715" s="15"/>
      <c r="K715" s="15"/>
      <c r="L715" s="15"/>
      <c r="M715" s="15"/>
      <c r="N715" s="15"/>
      <c r="O715" s="15"/>
      <c r="P715" s="45"/>
      <c r="Q715" s="45"/>
      <c r="R715" s="45"/>
      <c r="S715" s="45"/>
    </row>
    <row r="716" spans="1:19">
      <c r="A716" s="15"/>
      <c r="B716" s="15"/>
      <c r="C716" s="42"/>
      <c r="D716" s="15"/>
      <c r="E716" s="42"/>
      <c r="F716" s="43"/>
      <c r="G716" s="15"/>
      <c r="H716" s="44"/>
      <c r="I716" s="15"/>
      <c r="J716" s="15"/>
      <c r="K716" s="15"/>
      <c r="L716" s="15"/>
      <c r="M716" s="15"/>
      <c r="N716" s="15"/>
      <c r="O716" s="15"/>
      <c r="P716" s="45"/>
      <c r="Q716" s="45"/>
      <c r="R716" s="45"/>
      <c r="S716" s="45"/>
    </row>
    <row r="717" spans="1:19">
      <c r="A717" s="15"/>
      <c r="B717" s="15"/>
      <c r="C717" s="42"/>
      <c r="D717" s="15"/>
      <c r="E717" s="42"/>
      <c r="F717" s="43"/>
      <c r="G717" s="15"/>
      <c r="H717" s="44"/>
      <c r="I717" s="15"/>
      <c r="J717" s="15"/>
      <c r="K717" s="15"/>
      <c r="L717" s="15"/>
      <c r="M717" s="15"/>
      <c r="N717" s="15"/>
      <c r="O717" s="15"/>
      <c r="P717" s="45"/>
      <c r="Q717" s="45"/>
      <c r="R717" s="45"/>
      <c r="S717" s="45"/>
    </row>
    <row r="718" spans="1:19">
      <c r="A718" s="15"/>
      <c r="B718" s="15"/>
      <c r="C718" s="42"/>
      <c r="D718" s="15"/>
      <c r="E718" s="42"/>
      <c r="F718" s="43"/>
      <c r="G718" s="15"/>
      <c r="H718" s="44"/>
      <c r="I718" s="15"/>
      <c r="J718" s="15"/>
      <c r="K718" s="15"/>
      <c r="L718" s="15"/>
      <c r="M718" s="15"/>
      <c r="N718" s="15"/>
      <c r="O718" s="15"/>
      <c r="P718" s="45"/>
      <c r="Q718" s="45"/>
      <c r="R718" s="45"/>
      <c r="S718" s="45"/>
    </row>
    <row r="719" spans="1:19">
      <c r="A719" s="15"/>
      <c r="B719" s="15"/>
      <c r="C719" s="42"/>
      <c r="D719" s="15"/>
      <c r="E719" s="42"/>
      <c r="F719" s="43"/>
      <c r="G719" s="15"/>
      <c r="H719" s="44"/>
      <c r="I719" s="15"/>
      <c r="J719" s="15"/>
      <c r="K719" s="15"/>
      <c r="L719" s="15"/>
      <c r="M719" s="15"/>
      <c r="N719" s="15"/>
      <c r="O719" s="15"/>
      <c r="P719" s="45"/>
      <c r="Q719" s="45"/>
      <c r="R719" s="45"/>
      <c r="S719" s="45"/>
    </row>
    <row r="720" spans="1:19">
      <c r="A720" s="15"/>
      <c r="B720" s="15"/>
      <c r="C720" s="42"/>
      <c r="D720" s="15"/>
      <c r="E720" s="42"/>
      <c r="F720" s="43"/>
      <c r="G720" s="15"/>
      <c r="H720" s="44"/>
      <c r="I720" s="15"/>
      <c r="J720" s="15"/>
      <c r="K720" s="15"/>
      <c r="L720" s="15"/>
      <c r="M720" s="15"/>
      <c r="N720" s="15"/>
      <c r="O720" s="15"/>
      <c r="P720" s="45"/>
      <c r="Q720" s="45"/>
      <c r="R720" s="45"/>
      <c r="S720" s="45"/>
    </row>
    <row r="721" spans="1:19">
      <c r="A721" s="15"/>
      <c r="B721" s="15"/>
      <c r="C721" s="42"/>
      <c r="D721" s="15"/>
      <c r="E721" s="42"/>
      <c r="F721" s="43"/>
      <c r="G721" s="15"/>
      <c r="H721" s="44"/>
      <c r="I721" s="15"/>
      <c r="J721" s="15"/>
      <c r="K721" s="15"/>
      <c r="L721" s="15"/>
      <c r="M721" s="15"/>
      <c r="N721" s="15"/>
      <c r="O721" s="15"/>
      <c r="P721" s="45"/>
      <c r="Q721" s="45"/>
      <c r="R721" s="45"/>
      <c r="S721" s="45"/>
    </row>
    <row r="722" spans="1:19">
      <c r="A722" s="15"/>
      <c r="B722" s="15"/>
      <c r="C722" s="42"/>
      <c r="D722" s="15"/>
      <c r="E722" s="42"/>
      <c r="F722" s="43"/>
      <c r="G722" s="15"/>
      <c r="H722" s="44"/>
      <c r="I722" s="15"/>
      <c r="J722" s="15"/>
      <c r="K722" s="15"/>
      <c r="L722" s="15"/>
      <c r="M722" s="15"/>
      <c r="N722" s="15"/>
      <c r="O722" s="15"/>
      <c r="P722" s="45"/>
      <c r="Q722" s="45"/>
      <c r="R722" s="45"/>
      <c r="S722" s="45"/>
    </row>
    <row r="723" spans="1:19">
      <c r="A723" s="15"/>
      <c r="B723" s="15"/>
      <c r="C723" s="42"/>
      <c r="D723" s="15"/>
      <c r="E723" s="42"/>
      <c r="F723" s="43"/>
      <c r="G723" s="15"/>
      <c r="H723" s="44"/>
      <c r="I723" s="15"/>
      <c r="J723" s="15"/>
      <c r="K723" s="15"/>
      <c r="L723" s="15"/>
      <c r="M723" s="15"/>
      <c r="N723" s="15"/>
      <c r="O723" s="15"/>
      <c r="P723" s="45"/>
      <c r="Q723" s="45"/>
      <c r="R723" s="45"/>
      <c r="S723" s="45"/>
    </row>
    <row r="724" spans="1:19">
      <c r="A724" s="15"/>
      <c r="B724" s="15"/>
      <c r="C724" s="42"/>
      <c r="D724" s="15"/>
      <c r="E724" s="42"/>
      <c r="F724" s="43"/>
      <c r="G724" s="15"/>
      <c r="H724" s="44"/>
      <c r="I724" s="15"/>
      <c r="J724" s="15"/>
      <c r="K724" s="15"/>
      <c r="L724" s="15"/>
      <c r="M724" s="15"/>
      <c r="N724" s="15"/>
      <c r="O724" s="15"/>
      <c r="P724" s="45"/>
      <c r="Q724" s="45"/>
      <c r="R724" s="45"/>
      <c r="S724" s="45"/>
    </row>
    <row r="725" spans="1:19">
      <c r="A725" s="15"/>
      <c r="B725" s="15"/>
      <c r="C725" s="42"/>
      <c r="D725" s="15"/>
      <c r="E725" s="42"/>
      <c r="F725" s="43"/>
      <c r="G725" s="15"/>
      <c r="H725" s="44"/>
      <c r="I725" s="15"/>
      <c r="J725" s="15"/>
      <c r="K725" s="15"/>
      <c r="L725" s="15"/>
      <c r="M725" s="15"/>
      <c r="N725" s="15"/>
      <c r="O725" s="15"/>
      <c r="P725" s="45"/>
      <c r="Q725" s="45"/>
      <c r="R725" s="45"/>
      <c r="S725" s="45"/>
    </row>
    <row r="726" spans="1:19">
      <c r="A726" s="15"/>
      <c r="B726" s="15"/>
      <c r="C726" s="42"/>
      <c r="D726" s="15"/>
      <c r="E726" s="42"/>
      <c r="F726" s="43"/>
      <c r="G726" s="15"/>
      <c r="H726" s="44"/>
      <c r="I726" s="15"/>
      <c r="J726" s="15"/>
      <c r="K726" s="15"/>
      <c r="L726" s="15"/>
      <c r="M726" s="15"/>
      <c r="N726" s="15"/>
      <c r="O726" s="15"/>
      <c r="P726" s="45"/>
      <c r="Q726" s="45"/>
      <c r="R726" s="45"/>
      <c r="S726" s="45"/>
    </row>
    <row r="727" spans="1:19">
      <c r="A727" s="15"/>
      <c r="B727" s="15"/>
      <c r="C727" s="42"/>
      <c r="D727" s="15"/>
      <c r="E727" s="42"/>
      <c r="F727" s="43"/>
      <c r="G727" s="15"/>
      <c r="H727" s="44"/>
      <c r="I727" s="15"/>
      <c r="J727" s="15"/>
      <c r="K727" s="15"/>
      <c r="L727" s="15"/>
      <c r="M727" s="15"/>
      <c r="N727" s="15"/>
      <c r="O727" s="15"/>
      <c r="P727" s="45"/>
      <c r="Q727" s="45"/>
      <c r="R727" s="45"/>
      <c r="S727" s="45"/>
    </row>
    <row r="728" spans="1:19">
      <c r="A728" s="15"/>
      <c r="B728" s="15"/>
      <c r="C728" s="42"/>
      <c r="D728" s="15"/>
      <c r="E728" s="42"/>
      <c r="F728" s="43"/>
      <c r="G728" s="15"/>
      <c r="H728" s="44"/>
      <c r="I728" s="15"/>
      <c r="J728" s="15"/>
      <c r="K728" s="15"/>
      <c r="L728" s="15"/>
      <c r="M728" s="15"/>
      <c r="N728" s="15"/>
      <c r="O728" s="15"/>
      <c r="P728" s="45"/>
      <c r="Q728" s="45"/>
      <c r="R728" s="45"/>
      <c r="S728" s="45"/>
    </row>
    <row r="729" spans="1:19">
      <c r="A729" s="15"/>
      <c r="B729" s="15"/>
      <c r="C729" s="42"/>
      <c r="D729" s="15"/>
      <c r="E729" s="42"/>
      <c r="F729" s="43"/>
      <c r="G729" s="15"/>
      <c r="H729" s="44"/>
      <c r="I729" s="15"/>
      <c r="J729" s="15"/>
      <c r="K729" s="15"/>
      <c r="L729" s="15"/>
      <c r="M729" s="15"/>
      <c r="N729" s="15"/>
      <c r="O729" s="15"/>
      <c r="P729" s="45"/>
      <c r="Q729" s="45"/>
      <c r="R729" s="45"/>
      <c r="S729" s="45"/>
    </row>
    <row r="730" spans="1:19">
      <c r="A730" s="15"/>
      <c r="B730" s="15"/>
      <c r="C730" s="42"/>
      <c r="D730" s="15"/>
      <c r="E730" s="42"/>
      <c r="F730" s="43"/>
      <c r="G730" s="15"/>
      <c r="H730" s="44"/>
      <c r="I730" s="15"/>
      <c r="J730" s="15"/>
      <c r="K730" s="15"/>
      <c r="L730" s="15"/>
      <c r="M730" s="15"/>
      <c r="N730" s="15"/>
      <c r="O730" s="15"/>
      <c r="P730" s="45"/>
      <c r="Q730" s="45"/>
      <c r="R730" s="45"/>
      <c r="S730" s="45"/>
    </row>
    <row r="731" spans="1:19">
      <c r="A731" s="15"/>
      <c r="B731" s="15"/>
      <c r="C731" s="42"/>
      <c r="D731" s="15"/>
      <c r="E731" s="42"/>
      <c r="F731" s="43"/>
      <c r="G731" s="15"/>
      <c r="H731" s="44"/>
      <c r="I731" s="15"/>
      <c r="J731" s="15"/>
      <c r="K731" s="15"/>
      <c r="L731" s="15"/>
      <c r="M731" s="15"/>
      <c r="N731" s="15"/>
      <c r="O731" s="15"/>
      <c r="P731" s="45"/>
      <c r="Q731" s="45"/>
      <c r="R731" s="45"/>
      <c r="S731" s="45"/>
    </row>
    <row r="732" spans="1:19">
      <c r="A732" s="15"/>
      <c r="B732" s="15"/>
      <c r="C732" s="42"/>
      <c r="D732" s="15"/>
      <c r="E732" s="42"/>
      <c r="F732" s="43"/>
      <c r="G732" s="15"/>
      <c r="H732" s="44"/>
      <c r="I732" s="15"/>
      <c r="J732" s="15"/>
      <c r="K732" s="15"/>
      <c r="L732" s="15"/>
      <c r="M732" s="15"/>
      <c r="N732" s="15"/>
      <c r="O732" s="15"/>
      <c r="P732" s="45"/>
      <c r="Q732" s="45"/>
      <c r="R732" s="45"/>
      <c r="S732" s="45"/>
    </row>
    <row r="733" spans="1:19">
      <c r="A733" s="15"/>
      <c r="B733" s="15"/>
      <c r="C733" s="42"/>
      <c r="D733" s="15"/>
      <c r="E733" s="42"/>
      <c r="F733" s="43"/>
      <c r="G733" s="15"/>
      <c r="H733" s="44"/>
      <c r="I733" s="15"/>
      <c r="J733" s="15"/>
      <c r="K733" s="15"/>
      <c r="L733" s="15"/>
      <c r="M733" s="15"/>
      <c r="N733" s="15"/>
      <c r="O733" s="15"/>
      <c r="P733" s="45"/>
      <c r="Q733" s="45"/>
      <c r="R733" s="45"/>
      <c r="S733" s="45"/>
    </row>
    <row r="734" spans="1:19">
      <c r="A734" s="15"/>
      <c r="B734" s="15"/>
      <c r="C734" s="42"/>
      <c r="D734" s="15"/>
      <c r="E734" s="42"/>
      <c r="F734" s="43"/>
      <c r="G734" s="15"/>
      <c r="H734" s="44"/>
      <c r="I734" s="15"/>
      <c r="J734" s="15"/>
      <c r="K734" s="15"/>
      <c r="L734" s="15"/>
      <c r="M734" s="15"/>
      <c r="N734" s="15"/>
      <c r="O734" s="15"/>
      <c r="P734" s="45"/>
      <c r="Q734" s="45"/>
      <c r="R734" s="45"/>
      <c r="S734" s="45"/>
    </row>
    <row r="735" spans="1:19">
      <c r="A735" s="15"/>
      <c r="B735" s="15"/>
      <c r="C735" s="42"/>
      <c r="D735" s="15"/>
      <c r="E735" s="42"/>
      <c r="F735" s="43"/>
      <c r="G735" s="15"/>
      <c r="H735" s="44"/>
      <c r="I735" s="15"/>
      <c r="J735" s="15"/>
      <c r="K735" s="15"/>
      <c r="L735" s="15"/>
      <c r="M735" s="15"/>
      <c r="N735" s="15"/>
      <c r="O735" s="15"/>
      <c r="P735" s="45"/>
      <c r="Q735" s="45"/>
      <c r="R735" s="45"/>
      <c r="S735" s="45"/>
    </row>
    <row r="736" spans="1:19">
      <c r="A736" s="15"/>
      <c r="B736" s="15"/>
      <c r="C736" s="42"/>
      <c r="D736" s="15"/>
      <c r="E736" s="42"/>
      <c r="F736" s="43"/>
      <c r="G736" s="15"/>
      <c r="H736" s="44"/>
      <c r="I736" s="15"/>
      <c r="J736" s="15"/>
      <c r="K736" s="15"/>
      <c r="L736" s="15"/>
      <c r="M736" s="15"/>
      <c r="N736" s="15"/>
      <c r="O736" s="15"/>
      <c r="P736" s="45"/>
      <c r="Q736" s="45"/>
      <c r="R736" s="45"/>
      <c r="S736" s="45"/>
    </row>
    <row r="737" spans="1:19">
      <c r="A737" s="15"/>
      <c r="B737" s="15"/>
      <c r="C737" s="42"/>
      <c r="D737" s="15"/>
      <c r="E737" s="42"/>
      <c r="F737" s="43"/>
      <c r="G737" s="15"/>
      <c r="H737" s="44"/>
      <c r="I737" s="15"/>
      <c r="J737" s="15"/>
      <c r="K737" s="15"/>
      <c r="L737" s="15"/>
      <c r="M737" s="15"/>
      <c r="N737" s="15"/>
      <c r="O737" s="15"/>
      <c r="P737" s="45"/>
      <c r="Q737" s="45"/>
      <c r="R737" s="45"/>
      <c r="S737" s="45"/>
    </row>
    <row r="738" spans="1:19">
      <c r="A738" s="15"/>
      <c r="B738" s="15"/>
      <c r="C738" s="42"/>
      <c r="D738" s="15"/>
      <c r="E738" s="42"/>
      <c r="F738" s="43"/>
      <c r="G738" s="15"/>
      <c r="H738" s="44"/>
      <c r="I738" s="15"/>
      <c r="J738" s="15"/>
      <c r="K738" s="15"/>
      <c r="L738" s="15"/>
      <c r="M738" s="15"/>
      <c r="N738" s="15"/>
      <c r="O738" s="15"/>
      <c r="P738" s="45"/>
      <c r="Q738" s="45"/>
      <c r="R738" s="45"/>
      <c r="S738" s="45"/>
    </row>
    <row r="739" spans="1:19">
      <c r="A739" s="15"/>
      <c r="B739" s="15"/>
      <c r="C739" s="42"/>
      <c r="D739" s="15"/>
      <c r="E739" s="42"/>
      <c r="F739" s="43"/>
      <c r="G739" s="15"/>
      <c r="H739" s="44"/>
      <c r="I739" s="15"/>
      <c r="J739" s="15"/>
      <c r="K739" s="15"/>
      <c r="L739" s="15"/>
      <c r="M739" s="15"/>
      <c r="N739" s="15"/>
      <c r="O739" s="15"/>
      <c r="P739" s="45"/>
      <c r="Q739" s="45"/>
      <c r="R739" s="45"/>
      <c r="S739" s="45"/>
    </row>
    <row r="740" spans="1:19">
      <c r="A740" s="15"/>
      <c r="B740" s="15"/>
      <c r="C740" s="42"/>
      <c r="D740" s="15"/>
      <c r="E740" s="42"/>
      <c r="F740" s="43"/>
      <c r="G740" s="15"/>
      <c r="H740" s="44"/>
      <c r="I740" s="15"/>
      <c r="J740" s="15"/>
      <c r="K740" s="15"/>
      <c r="L740" s="15"/>
      <c r="M740" s="15"/>
      <c r="N740" s="15"/>
      <c r="O740" s="15"/>
      <c r="P740" s="45"/>
      <c r="Q740" s="45"/>
      <c r="R740" s="45"/>
      <c r="S740" s="45"/>
    </row>
    <row r="741" spans="1:19">
      <c r="A741" s="15"/>
      <c r="B741" s="15"/>
      <c r="C741" s="42"/>
      <c r="D741" s="15"/>
      <c r="E741" s="42"/>
      <c r="F741" s="43"/>
      <c r="G741" s="15"/>
      <c r="H741" s="44"/>
      <c r="I741" s="15"/>
      <c r="J741" s="15"/>
      <c r="K741" s="15"/>
      <c r="L741" s="15"/>
      <c r="M741" s="15"/>
      <c r="N741" s="15"/>
      <c r="O741" s="15"/>
      <c r="P741" s="45"/>
      <c r="Q741" s="45"/>
      <c r="R741" s="45"/>
      <c r="S741" s="45"/>
    </row>
    <row r="742" spans="1:19">
      <c r="A742" s="15"/>
      <c r="B742" s="15"/>
      <c r="C742" s="42"/>
      <c r="D742" s="15"/>
      <c r="E742" s="42"/>
      <c r="F742" s="43"/>
      <c r="G742" s="15"/>
      <c r="H742" s="44"/>
      <c r="I742" s="15"/>
      <c r="J742" s="15"/>
      <c r="K742" s="15"/>
      <c r="L742" s="15"/>
      <c r="M742" s="15"/>
      <c r="N742" s="15"/>
      <c r="O742" s="15"/>
      <c r="P742" s="45"/>
      <c r="Q742" s="45"/>
      <c r="R742" s="45"/>
      <c r="S742" s="45"/>
    </row>
    <row r="743" spans="1:19">
      <c r="A743" s="15"/>
      <c r="B743" s="15"/>
      <c r="C743" s="42"/>
      <c r="D743" s="15"/>
      <c r="E743" s="42"/>
      <c r="F743" s="43"/>
      <c r="G743" s="15"/>
      <c r="H743" s="44"/>
      <c r="I743" s="15"/>
      <c r="J743" s="15"/>
      <c r="K743" s="15"/>
      <c r="L743" s="15"/>
      <c r="M743" s="15"/>
      <c r="N743" s="15"/>
      <c r="O743" s="15"/>
      <c r="P743" s="45"/>
      <c r="Q743" s="45"/>
      <c r="R743" s="45"/>
      <c r="S743" s="45"/>
    </row>
    <row r="744" spans="1:19">
      <c r="A744" s="15"/>
      <c r="B744" s="15"/>
      <c r="C744" s="42"/>
      <c r="D744" s="15"/>
      <c r="E744" s="42"/>
      <c r="F744" s="43"/>
      <c r="G744" s="15"/>
      <c r="H744" s="44"/>
      <c r="I744" s="15"/>
      <c r="J744" s="15"/>
      <c r="K744" s="15"/>
      <c r="L744" s="15"/>
      <c r="M744" s="15"/>
      <c r="N744" s="15"/>
      <c r="O744" s="15"/>
      <c r="P744" s="45"/>
      <c r="Q744" s="45"/>
      <c r="R744" s="45"/>
      <c r="S744" s="45"/>
    </row>
    <row r="745" spans="1:19">
      <c r="A745" s="15"/>
      <c r="B745" s="15"/>
      <c r="C745" s="42"/>
      <c r="D745" s="15"/>
      <c r="E745" s="42"/>
      <c r="F745" s="43"/>
      <c r="G745" s="15"/>
      <c r="H745" s="44"/>
      <c r="I745" s="15"/>
      <c r="J745" s="15"/>
      <c r="K745" s="15"/>
      <c r="L745" s="15"/>
      <c r="M745" s="15"/>
      <c r="N745" s="15"/>
      <c r="O745" s="15"/>
      <c r="P745" s="45"/>
      <c r="Q745" s="45"/>
      <c r="R745" s="45"/>
      <c r="S745" s="45"/>
    </row>
    <row r="746" spans="1:19">
      <c r="A746" s="15"/>
      <c r="B746" s="15"/>
      <c r="C746" s="42"/>
      <c r="D746" s="15"/>
      <c r="E746" s="42"/>
      <c r="F746" s="43"/>
      <c r="G746" s="15"/>
      <c r="H746" s="44"/>
      <c r="I746" s="15"/>
      <c r="J746" s="15"/>
      <c r="K746" s="15"/>
      <c r="L746" s="15"/>
      <c r="M746" s="15"/>
      <c r="N746" s="15"/>
      <c r="O746" s="15"/>
      <c r="P746" s="45"/>
      <c r="Q746" s="45"/>
      <c r="R746" s="45"/>
      <c r="S746" s="45"/>
    </row>
    <row r="747" spans="1:19">
      <c r="A747" s="15"/>
      <c r="B747" s="15"/>
      <c r="C747" s="42"/>
      <c r="D747" s="15"/>
      <c r="E747" s="42"/>
      <c r="F747" s="43"/>
      <c r="G747" s="15"/>
      <c r="H747" s="44"/>
      <c r="I747" s="15"/>
      <c r="J747" s="15"/>
      <c r="K747" s="15"/>
      <c r="L747" s="15"/>
      <c r="M747" s="15"/>
      <c r="N747" s="15"/>
      <c r="O747" s="15"/>
      <c r="P747" s="45"/>
      <c r="Q747" s="45"/>
      <c r="R747" s="45"/>
      <c r="S747" s="45"/>
    </row>
    <row r="748" spans="1:19">
      <c r="A748" s="15"/>
      <c r="B748" s="15"/>
      <c r="C748" s="42"/>
      <c r="D748" s="15"/>
      <c r="E748" s="42"/>
      <c r="F748" s="43"/>
      <c r="G748" s="15"/>
      <c r="H748" s="44"/>
      <c r="I748" s="15"/>
      <c r="J748" s="15"/>
      <c r="K748" s="15"/>
      <c r="L748" s="15"/>
      <c r="M748" s="15"/>
      <c r="N748" s="15"/>
      <c r="O748" s="15"/>
      <c r="P748" s="45"/>
      <c r="Q748" s="45"/>
      <c r="R748" s="45"/>
      <c r="S748" s="45"/>
    </row>
    <row r="749" spans="1:19">
      <c r="A749" s="15"/>
      <c r="B749" s="15"/>
      <c r="C749" s="42"/>
      <c r="D749" s="15"/>
      <c r="E749" s="42"/>
      <c r="F749" s="43"/>
      <c r="G749" s="15"/>
      <c r="H749" s="44"/>
      <c r="I749" s="15"/>
      <c r="J749" s="15"/>
      <c r="K749" s="15"/>
      <c r="L749" s="15"/>
      <c r="M749" s="15"/>
      <c r="N749" s="15"/>
      <c r="O749" s="15"/>
      <c r="P749" s="45"/>
      <c r="Q749" s="45"/>
      <c r="R749" s="45"/>
      <c r="S749" s="45"/>
    </row>
    <row r="750" spans="1:19">
      <c r="A750" s="15"/>
      <c r="B750" s="15"/>
      <c r="C750" s="42"/>
      <c r="D750" s="15"/>
      <c r="E750" s="42"/>
      <c r="F750" s="43"/>
      <c r="G750" s="15"/>
      <c r="H750" s="44"/>
      <c r="I750" s="15"/>
      <c r="J750" s="15"/>
      <c r="K750" s="15"/>
      <c r="L750" s="15"/>
      <c r="M750" s="15"/>
      <c r="N750" s="15"/>
      <c r="O750" s="15"/>
      <c r="P750" s="45"/>
      <c r="Q750" s="45"/>
      <c r="R750" s="45"/>
      <c r="S750" s="45"/>
    </row>
    <row r="751" spans="1:19">
      <c r="A751" s="15"/>
      <c r="B751" s="15"/>
      <c r="C751" s="42"/>
      <c r="D751" s="15"/>
      <c r="E751" s="42"/>
      <c r="F751" s="43"/>
      <c r="G751" s="15"/>
      <c r="H751" s="44"/>
      <c r="I751" s="15"/>
      <c r="J751" s="15"/>
      <c r="K751" s="15"/>
      <c r="L751" s="15"/>
      <c r="M751" s="15"/>
      <c r="N751" s="15"/>
      <c r="O751" s="15"/>
      <c r="P751" s="45"/>
      <c r="Q751" s="45"/>
      <c r="R751" s="45"/>
      <c r="S751" s="45"/>
    </row>
    <row r="752" spans="1:19">
      <c r="A752" s="15"/>
      <c r="B752" s="15"/>
      <c r="C752" s="42"/>
      <c r="D752" s="15"/>
      <c r="E752" s="42"/>
      <c r="F752" s="43"/>
      <c r="G752" s="15"/>
      <c r="H752" s="44"/>
      <c r="I752" s="15"/>
      <c r="J752" s="15"/>
      <c r="K752" s="15"/>
      <c r="L752" s="15"/>
      <c r="M752" s="15"/>
      <c r="N752" s="15"/>
      <c r="O752" s="15"/>
      <c r="P752" s="45"/>
      <c r="Q752" s="45"/>
      <c r="R752" s="45"/>
      <c r="S752" s="45"/>
    </row>
    <row r="753" spans="1:19">
      <c r="A753" s="15"/>
      <c r="B753" s="15"/>
      <c r="C753" s="42"/>
      <c r="D753" s="15"/>
      <c r="E753" s="42"/>
      <c r="F753" s="43"/>
      <c r="G753" s="15"/>
      <c r="H753" s="44"/>
      <c r="I753" s="15"/>
      <c r="J753" s="15"/>
      <c r="K753" s="15"/>
      <c r="L753" s="15"/>
      <c r="M753" s="15"/>
      <c r="N753" s="15"/>
      <c r="O753" s="15"/>
      <c r="P753" s="45"/>
      <c r="Q753" s="45"/>
      <c r="R753" s="45"/>
      <c r="S753" s="45"/>
    </row>
    <row r="754" spans="1:19">
      <c r="A754" s="15"/>
      <c r="B754" s="15"/>
      <c r="C754" s="42"/>
      <c r="D754" s="15"/>
      <c r="E754" s="42"/>
      <c r="F754" s="43"/>
      <c r="G754" s="15"/>
      <c r="H754" s="44"/>
      <c r="I754" s="15"/>
      <c r="J754" s="15"/>
      <c r="K754" s="15"/>
      <c r="L754" s="15"/>
      <c r="M754" s="15"/>
      <c r="N754" s="15"/>
      <c r="O754" s="15"/>
      <c r="P754" s="45"/>
      <c r="Q754" s="45"/>
      <c r="R754" s="45"/>
      <c r="S754" s="45"/>
    </row>
    <row r="755" spans="1:19">
      <c r="A755" s="15"/>
      <c r="B755" s="15"/>
      <c r="C755" s="42"/>
      <c r="D755" s="15"/>
      <c r="E755" s="42"/>
      <c r="F755" s="43"/>
      <c r="G755" s="15"/>
      <c r="H755" s="44"/>
      <c r="I755" s="15"/>
      <c r="J755" s="15"/>
      <c r="K755" s="15"/>
      <c r="L755" s="15"/>
      <c r="M755" s="15"/>
      <c r="N755" s="15"/>
      <c r="O755" s="15"/>
      <c r="P755" s="45"/>
      <c r="Q755" s="45"/>
      <c r="R755" s="45"/>
      <c r="S755" s="45"/>
    </row>
    <row r="756" spans="1:19">
      <c r="A756" s="15"/>
      <c r="B756" s="15"/>
      <c r="C756" s="42"/>
      <c r="D756" s="15"/>
      <c r="E756" s="42"/>
      <c r="F756" s="43"/>
      <c r="G756" s="15"/>
      <c r="H756" s="44"/>
      <c r="I756" s="15"/>
      <c r="J756" s="15"/>
      <c r="K756" s="15"/>
      <c r="L756" s="15"/>
      <c r="M756" s="15"/>
      <c r="N756" s="15"/>
      <c r="O756" s="15"/>
      <c r="P756" s="45"/>
      <c r="Q756" s="45"/>
      <c r="R756" s="45"/>
      <c r="S756" s="45"/>
    </row>
    <row r="757" spans="1:19">
      <c r="A757" s="15"/>
      <c r="B757" s="15"/>
      <c r="C757" s="42"/>
      <c r="D757" s="15"/>
      <c r="E757" s="42"/>
      <c r="F757" s="43"/>
      <c r="G757" s="15"/>
      <c r="H757" s="44"/>
      <c r="I757" s="15"/>
      <c r="J757" s="15"/>
      <c r="K757" s="15"/>
      <c r="L757" s="15"/>
      <c r="M757" s="15"/>
      <c r="N757" s="15"/>
      <c r="O757" s="15"/>
      <c r="P757" s="45"/>
      <c r="Q757" s="45"/>
      <c r="R757" s="45"/>
      <c r="S757" s="45"/>
    </row>
    <row r="758" spans="1:19">
      <c r="A758" s="15"/>
      <c r="B758" s="15"/>
      <c r="C758" s="42"/>
      <c r="D758" s="15"/>
      <c r="E758" s="42"/>
      <c r="F758" s="43"/>
      <c r="G758" s="15"/>
      <c r="H758" s="44"/>
      <c r="I758" s="15"/>
      <c r="J758" s="15"/>
      <c r="K758" s="15"/>
      <c r="L758" s="15"/>
      <c r="M758" s="15"/>
      <c r="N758" s="15"/>
      <c r="O758" s="15"/>
      <c r="P758" s="45"/>
      <c r="Q758" s="45"/>
      <c r="R758" s="45"/>
      <c r="S758" s="45"/>
    </row>
    <row r="759" spans="1:19">
      <c r="A759" s="15"/>
      <c r="B759" s="15"/>
      <c r="C759" s="42"/>
      <c r="D759" s="15"/>
      <c r="E759" s="42"/>
      <c r="F759" s="43"/>
      <c r="G759" s="15"/>
      <c r="H759" s="44"/>
      <c r="I759" s="15"/>
      <c r="J759" s="15"/>
      <c r="K759" s="15"/>
      <c r="L759" s="15"/>
      <c r="M759" s="15"/>
      <c r="N759" s="15"/>
      <c r="O759" s="15"/>
      <c r="P759" s="45"/>
      <c r="Q759" s="45"/>
      <c r="R759" s="45"/>
      <c r="S759" s="45"/>
    </row>
    <row r="760" spans="1:19">
      <c r="A760" s="15"/>
      <c r="B760" s="15"/>
      <c r="C760" s="42"/>
      <c r="D760" s="15"/>
      <c r="E760" s="42"/>
      <c r="F760" s="43"/>
      <c r="G760" s="15"/>
      <c r="H760" s="44"/>
      <c r="I760" s="15"/>
      <c r="J760" s="15"/>
      <c r="K760" s="15"/>
      <c r="L760" s="15"/>
      <c r="M760" s="15"/>
      <c r="N760" s="15"/>
      <c r="O760" s="15"/>
      <c r="P760" s="45"/>
      <c r="Q760" s="45"/>
      <c r="R760" s="45"/>
      <c r="S760" s="45"/>
    </row>
    <row r="761" spans="1:19">
      <c r="A761" s="15"/>
      <c r="B761" s="15"/>
      <c r="C761" s="42"/>
      <c r="D761" s="15"/>
      <c r="E761" s="42"/>
      <c r="F761" s="43"/>
      <c r="G761" s="15"/>
      <c r="H761" s="44"/>
      <c r="I761" s="15"/>
      <c r="J761" s="15"/>
      <c r="K761" s="15"/>
      <c r="L761" s="15"/>
      <c r="M761" s="15"/>
      <c r="N761" s="15"/>
      <c r="O761" s="15"/>
      <c r="P761" s="45"/>
      <c r="Q761" s="45"/>
      <c r="R761" s="45"/>
      <c r="S761" s="45"/>
    </row>
    <row r="762" spans="1:19">
      <c r="A762" s="15"/>
      <c r="B762" s="15"/>
      <c r="C762" s="42"/>
      <c r="D762" s="15"/>
      <c r="E762" s="42"/>
      <c r="F762" s="43"/>
      <c r="G762" s="15"/>
      <c r="H762" s="44"/>
      <c r="I762" s="15"/>
      <c r="J762" s="15"/>
      <c r="K762" s="15"/>
      <c r="L762" s="15"/>
      <c r="M762" s="15"/>
      <c r="N762" s="15"/>
      <c r="O762" s="15"/>
      <c r="P762" s="45"/>
      <c r="Q762" s="45"/>
      <c r="R762" s="45"/>
      <c r="S762" s="45"/>
    </row>
    <row r="763" spans="1:19">
      <c r="A763" s="15"/>
      <c r="B763" s="15"/>
      <c r="C763" s="42"/>
      <c r="D763" s="15"/>
      <c r="E763" s="42"/>
      <c r="F763" s="43"/>
      <c r="G763" s="15"/>
      <c r="H763" s="44"/>
      <c r="I763" s="15"/>
      <c r="J763" s="15"/>
      <c r="K763" s="15"/>
      <c r="L763" s="15"/>
      <c r="M763" s="15"/>
      <c r="N763" s="15"/>
      <c r="O763" s="15"/>
      <c r="P763" s="45"/>
      <c r="Q763" s="45"/>
      <c r="R763" s="45"/>
      <c r="S763" s="45"/>
    </row>
    <row r="764" spans="1:19">
      <c r="A764" s="15"/>
      <c r="B764" s="15"/>
      <c r="C764" s="42"/>
      <c r="D764" s="15"/>
      <c r="E764" s="42"/>
      <c r="F764" s="43"/>
      <c r="G764" s="15"/>
      <c r="H764" s="44"/>
      <c r="I764" s="15"/>
      <c r="J764" s="15"/>
      <c r="K764" s="15"/>
      <c r="L764" s="15"/>
      <c r="M764" s="15"/>
      <c r="N764" s="15"/>
      <c r="O764" s="15"/>
      <c r="P764" s="45"/>
      <c r="Q764" s="45"/>
      <c r="R764" s="45"/>
      <c r="S764" s="45"/>
    </row>
    <row r="765" spans="1:19">
      <c r="A765" s="15"/>
      <c r="B765" s="15"/>
      <c r="C765" s="42"/>
      <c r="D765" s="15"/>
      <c r="E765" s="42"/>
      <c r="F765" s="43"/>
      <c r="G765" s="15"/>
      <c r="H765" s="44"/>
      <c r="I765" s="15"/>
      <c r="J765" s="15"/>
      <c r="K765" s="15"/>
      <c r="L765" s="15"/>
      <c r="M765" s="15"/>
      <c r="N765" s="15"/>
      <c r="O765" s="15"/>
      <c r="P765" s="45"/>
      <c r="Q765" s="45"/>
      <c r="R765" s="45"/>
      <c r="S765" s="45"/>
    </row>
    <row r="766" spans="1:19">
      <c r="A766" s="15"/>
      <c r="B766" s="15"/>
      <c r="C766" s="42"/>
      <c r="D766" s="15"/>
      <c r="E766" s="42"/>
      <c r="F766" s="43"/>
      <c r="G766" s="15"/>
      <c r="H766" s="44"/>
      <c r="I766" s="15"/>
      <c r="J766" s="15"/>
      <c r="K766" s="15"/>
      <c r="L766" s="15"/>
      <c r="M766" s="15"/>
      <c r="N766" s="15"/>
      <c r="O766" s="15"/>
      <c r="P766" s="45"/>
      <c r="Q766" s="45"/>
      <c r="R766" s="45"/>
      <c r="S766" s="45"/>
    </row>
    <row r="767" spans="1:19">
      <c r="A767" s="15"/>
      <c r="B767" s="15"/>
      <c r="C767" s="42"/>
      <c r="D767" s="15"/>
      <c r="E767" s="42"/>
      <c r="F767" s="43"/>
      <c r="G767" s="15"/>
      <c r="H767" s="44"/>
      <c r="I767" s="15"/>
      <c r="J767" s="15"/>
      <c r="K767" s="15"/>
      <c r="L767" s="15"/>
      <c r="M767" s="15"/>
      <c r="N767" s="15"/>
      <c r="O767" s="15"/>
      <c r="P767" s="45"/>
      <c r="Q767" s="45"/>
      <c r="R767" s="45"/>
      <c r="S767" s="45"/>
    </row>
    <row r="768" spans="1:19">
      <c r="A768" s="15"/>
      <c r="B768" s="15"/>
      <c r="C768" s="42"/>
      <c r="D768" s="15"/>
      <c r="E768" s="42"/>
      <c r="F768" s="43"/>
      <c r="G768" s="15"/>
      <c r="H768" s="44"/>
      <c r="I768" s="15"/>
      <c r="J768" s="15"/>
      <c r="K768" s="15"/>
      <c r="L768" s="15"/>
      <c r="M768" s="15"/>
      <c r="N768" s="15"/>
      <c r="O768" s="15"/>
      <c r="P768" s="45"/>
      <c r="Q768" s="45"/>
      <c r="R768" s="45"/>
      <c r="S768" s="45"/>
    </row>
    <row r="769" spans="1:19">
      <c r="A769" s="15"/>
      <c r="B769" s="15"/>
      <c r="C769" s="42"/>
      <c r="D769" s="15"/>
      <c r="E769" s="42"/>
      <c r="F769" s="43"/>
      <c r="G769" s="15"/>
      <c r="H769" s="44"/>
      <c r="I769" s="15"/>
      <c r="J769" s="15"/>
      <c r="K769" s="15"/>
      <c r="L769" s="15"/>
      <c r="M769" s="15"/>
      <c r="N769" s="15"/>
      <c r="O769" s="15"/>
      <c r="P769" s="45"/>
      <c r="Q769" s="45"/>
      <c r="R769" s="45"/>
      <c r="S769" s="45"/>
    </row>
    <row r="770" spans="1:19">
      <c r="A770" s="15"/>
      <c r="B770" s="15"/>
      <c r="C770" s="42"/>
      <c r="D770" s="15"/>
      <c r="E770" s="42"/>
      <c r="F770" s="43"/>
      <c r="G770" s="15"/>
      <c r="H770" s="44"/>
      <c r="I770" s="15"/>
      <c r="J770" s="15"/>
      <c r="K770" s="15"/>
      <c r="L770" s="15"/>
      <c r="M770" s="15"/>
      <c r="N770" s="15"/>
      <c r="O770" s="15"/>
      <c r="P770" s="45"/>
      <c r="Q770" s="45"/>
      <c r="R770" s="45"/>
      <c r="S770" s="45"/>
    </row>
    <row r="771" spans="1:19">
      <c r="A771" s="15"/>
      <c r="B771" s="15"/>
      <c r="C771" s="42"/>
      <c r="D771" s="15"/>
      <c r="E771" s="42"/>
      <c r="F771" s="43"/>
      <c r="G771" s="15"/>
      <c r="H771" s="44"/>
      <c r="I771" s="15"/>
      <c r="J771" s="15"/>
      <c r="K771" s="15"/>
      <c r="L771" s="15"/>
      <c r="M771" s="15"/>
      <c r="N771" s="15"/>
      <c r="O771" s="15"/>
      <c r="P771" s="45"/>
      <c r="Q771" s="45"/>
      <c r="R771" s="45"/>
      <c r="S771" s="45"/>
    </row>
    <row r="772" spans="1:19">
      <c r="A772" s="15"/>
      <c r="B772" s="15"/>
      <c r="C772" s="42"/>
      <c r="D772" s="15"/>
      <c r="E772" s="42"/>
      <c r="F772" s="43"/>
      <c r="G772" s="15"/>
      <c r="H772" s="44"/>
      <c r="I772" s="15"/>
      <c r="J772" s="15"/>
      <c r="K772" s="15"/>
      <c r="L772" s="15"/>
      <c r="M772" s="15"/>
      <c r="N772" s="15"/>
      <c r="O772" s="15"/>
      <c r="P772" s="45"/>
      <c r="Q772" s="45"/>
      <c r="R772" s="45"/>
      <c r="S772" s="45"/>
    </row>
    <row r="773" spans="1:19">
      <c r="A773" s="15"/>
      <c r="B773" s="15"/>
      <c r="C773" s="42"/>
      <c r="D773" s="15"/>
      <c r="E773" s="42"/>
      <c r="F773" s="43"/>
      <c r="G773" s="15"/>
      <c r="H773" s="44"/>
      <c r="I773" s="15"/>
      <c r="J773" s="15"/>
      <c r="K773" s="15"/>
      <c r="L773" s="15"/>
      <c r="M773" s="15"/>
      <c r="N773" s="15"/>
      <c r="O773" s="15"/>
      <c r="P773" s="45"/>
      <c r="Q773" s="45"/>
      <c r="R773" s="45"/>
      <c r="S773" s="45"/>
    </row>
    <row r="774" spans="1:19">
      <c r="A774" s="15"/>
      <c r="B774" s="15"/>
      <c r="C774" s="42"/>
      <c r="D774" s="15"/>
      <c r="E774" s="42"/>
      <c r="F774" s="43"/>
      <c r="G774" s="15"/>
      <c r="H774" s="44"/>
      <c r="I774" s="15"/>
      <c r="J774" s="15"/>
      <c r="K774" s="15"/>
      <c r="L774" s="15"/>
      <c r="M774" s="15"/>
      <c r="N774" s="15"/>
      <c r="O774" s="15"/>
      <c r="P774" s="45"/>
      <c r="Q774" s="45"/>
      <c r="R774" s="45"/>
      <c r="S774" s="45"/>
    </row>
    <row r="775" spans="1:19">
      <c r="A775" s="15"/>
      <c r="B775" s="15"/>
      <c r="C775" s="42"/>
      <c r="D775" s="15"/>
      <c r="E775" s="42"/>
      <c r="F775" s="43"/>
      <c r="G775" s="15"/>
      <c r="H775" s="44"/>
      <c r="I775" s="15"/>
      <c r="J775" s="15"/>
      <c r="K775" s="15"/>
      <c r="L775" s="15"/>
      <c r="M775" s="15"/>
      <c r="N775" s="15"/>
      <c r="O775" s="15"/>
      <c r="P775" s="45"/>
      <c r="Q775" s="45"/>
      <c r="R775" s="45"/>
      <c r="S775" s="45"/>
    </row>
    <row r="776" spans="1:19">
      <c r="A776" s="15"/>
      <c r="B776" s="15"/>
      <c r="C776" s="42"/>
      <c r="D776" s="15"/>
      <c r="E776" s="42"/>
      <c r="F776" s="43"/>
      <c r="G776" s="15"/>
      <c r="H776" s="44"/>
      <c r="I776" s="15"/>
      <c r="J776" s="15"/>
      <c r="K776" s="15"/>
      <c r="L776" s="15"/>
      <c r="M776" s="15"/>
      <c r="N776" s="15"/>
      <c r="O776" s="15"/>
      <c r="P776" s="45"/>
      <c r="Q776" s="45"/>
      <c r="R776" s="45"/>
      <c r="S776" s="45"/>
    </row>
    <row r="777" spans="1:19">
      <c r="A777" s="15"/>
      <c r="B777" s="15"/>
      <c r="C777" s="42"/>
      <c r="D777" s="15"/>
      <c r="E777" s="42"/>
      <c r="F777" s="43"/>
      <c r="G777" s="15"/>
      <c r="H777" s="44"/>
      <c r="I777" s="15"/>
      <c r="J777" s="15"/>
      <c r="K777" s="15"/>
      <c r="L777" s="15"/>
      <c r="M777" s="15"/>
      <c r="N777" s="15"/>
      <c r="O777" s="15"/>
      <c r="P777" s="45"/>
      <c r="Q777" s="45"/>
      <c r="R777" s="45"/>
      <c r="S777" s="45"/>
    </row>
    <row r="778" spans="1:19">
      <c r="A778" s="15"/>
      <c r="B778" s="15"/>
      <c r="C778" s="42"/>
      <c r="D778" s="15"/>
      <c r="E778" s="42"/>
      <c r="F778" s="43"/>
      <c r="G778" s="15"/>
      <c r="H778" s="44"/>
      <c r="I778" s="15"/>
      <c r="J778" s="15"/>
      <c r="K778" s="15"/>
      <c r="L778" s="15"/>
      <c r="M778" s="15"/>
      <c r="N778" s="15"/>
      <c r="O778" s="15"/>
      <c r="P778" s="45"/>
      <c r="Q778" s="45"/>
      <c r="R778" s="45"/>
      <c r="S778" s="45"/>
    </row>
    <row r="779" spans="1:19">
      <c r="A779" s="15"/>
      <c r="B779" s="15"/>
      <c r="C779" s="42"/>
      <c r="D779" s="15"/>
      <c r="E779" s="42"/>
      <c r="F779" s="43"/>
      <c r="G779" s="15"/>
      <c r="H779" s="44"/>
      <c r="I779" s="15"/>
      <c r="J779" s="15"/>
      <c r="K779" s="15"/>
      <c r="L779" s="15"/>
      <c r="M779" s="15"/>
      <c r="N779" s="15"/>
      <c r="O779" s="15"/>
      <c r="P779" s="45"/>
      <c r="Q779" s="45"/>
      <c r="R779" s="45"/>
      <c r="S779" s="45"/>
    </row>
    <row r="780" spans="1:19">
      <c r="A780" s="15"/>
      <c r="B780" s="15"/>
      <c r="C780" s="42"/>
      <c r="D780" s="15"/>
      <c r="E780" s="42"/>
      <c r="F780" s="43"/>
      <c r="G780" s="15"/>
      <c r="H780" s="44"/>
      <c r="I780" s="15"/>
      <c r="J780" s="15"/>
      <c r="K780" s="15"/>
      <c r="L780" s="15"/>
      <c r="M780" s="15"/>
      <c r="N780" s="15"/>
      <c r="O780" s="15"/>
      <c r="P780" s="45"/>
      <c r="Q780" s="45"/>
      <c r="R780" s="45"/>
      <c r="S780" s="45"/>
    </row>
    <row r="781" spans="1:19">
      <c r="A781" s="15"/>
      <c r="B781" s="15"/>
      <c r="C781" s="42"/>
      <c r="D781" s="15"/>
      <c r="E781" s="42"/>
      <c r="F781" s="43"/>
      <c r="G781" s="15"/>
      <c r="H781" s="44"/>
      <c r="I781" s="15"/>
      <c r="J781" s="15"/>
      <c r="K781" s="15"/>
      <c r="L781" s="15"/>
      <c r="M781" s="15"/>
      <c r="N781" s="15"/>
      <c r="O781" s="15"/>
      <c r="P781" s="45"/>
      <c r="Q781" s="45"/>
      <c r="R781" s="45"/>
      <c r="S781" s="45"/>
    </row>
    <row r="782" spans="1:19">
      <c r="A782" s="15"/>
      <c r="B782" s="15"/>
      <c r="C782" s="42"/>
      <c r="D782" s="15"/>
      <c r="E782" s="42"/>
      <c r="F782" s="43"/>
      <c r="G782" s="15"/>
      <c r="H782" s="44"/>
      <c r="I782" s="15"/>
      <c r="J782" s="15"/>
      <c r="K782" s="15"/>
      <c r="L782" s="15"/>
      <c r="M782" s="15"/>
      <c r="N782" s="15"/>
      <c r="O782" s="15"/>
      <c r="P782" s="45"/>
      <c r="Q782" s="45"/>
      <c r="R782" s="45"/>
      <c r="S782" s="45"/>
    </row>
    <row r="783" spans="1:19">
      <c r="A783" s="15"/>
      <c r="B783" s="15"/>
      <c r="C783" s="42"/>
      <c r="D783" s="15"/>
      <c r="E783" s="42"/>
      <c r="F783" s="43"/>
      <c r="G783" s="15"/>
      <c r="H783" s="44"/>
      <c r="I783" s="15"/>
      <c r="J783" s="15"/>
      <c r="K783" s="15"/>
      <c r="L783" s="15"/>
      <c r="M783" s="15"/>
      <c r="N783" s="15"/>
      <c r="O783" s="15"/>
      <c r="P783" s="45"/>
      <c r="Q783" s="45"/>
      <c r="R783" s="45"/>
      <c r="S783" s="45"/>
    </row>
    <row r="784" spans="1:19">
      <c r="A784" s="15"/>
      <c r="B784" s="15"/>
      <c r="C784" s="42"/>
      <c r="D784" s="15"/>
      <c r="E784" s="42"/>
      <c r="F784" s="43"/>
      <c r="G784" s="15"/>
      <c r="H784" s="44"/>
      <c r="I784" s="15"/>
      <c r="J784" s="15"/>
      <c r="K784" s="15"/>
      <c r="L784" s="15"/>
      <c r="M784" s="15"/>
      <c r="N784" s="15"/>
      <c r="O784" s="15"/>
      <c r="P784" s="45"/>
      <c r="Q784" s="45"/>
      <c r="R784" s="45"/>
      <c r="S784" s="45"/>
    </row>
    <row r="785" spans="1:19">
      <c r="A785" s="15"/>
      <c r="B785" s="15"/>
      <c r="C785" s="42"/>
      <c r="D785" s="15"/>
      <c r="E785" s="42"/>
      <c r="F785" s="43"/>
      <c r="G785" s="15"/>
      <c r="H785" s="44"/>
      <c r="I785" s="15"/>
      <c r="J785" s="15"/>
      <c r="K785" s="15"/>
      <c r="L785" s="15"/>
      <c r="M785" s="15"/>
      <c r="N785" s="15"/>
      <c r="O785" s="15"/>
      <c r="P785" s="45"/>
      <c r="Q785" s="45"/>
      <c r="R785" s="45"/>
      <c r="S785" s="45"/>
    </row>
    <row r="786" spans="1:19">
      <c r="A786" s="15"/>
      <c r="B786" s="15"/>
      <c r="C786" s="42"/>
      <c r="D786" s="15"/>
      <c r="E786" s="42"/>
      <c r="F786" s="43"/>
      <c r="G786" s="15"/>
      <c r="H786" s="44"/>
      <c r="I786" s="15"/>
      <c r="J786" s="15"/>
      <c r="K786" s="15"/>
      <c r="L786" s="15"/>
      <c r="M786" s="15"/>
      <c r="N786" s="15"/>
      <c r="O786" s="15"/>
      <c r="P786" s="45"/>
      <c r="Q786" s="45"/>
      <c r="R786" s="45"/>
      <c r="S786" s="45"/>
    </row>
    <row r="787" spans="1:19">
      <c r="A787" s="15"/>
      <c r="B787" s="15"/>
      <c r="C787" s="42"/>
      <c r="D787" s="15"/>
      <c r="E787" s="42"/>
      <c r="F787" s="43"/>
      <c r="G787" s="15"/>
      <c r="H787" s="44"/>
      <c r="I787" s="15"/>
      <c r="J787" s="15"/>
      <c r="K787" s="15"/>
      <c r="L787" s="15"/>
      <c r="M787" s="15"/>
      <c r="N787" s="15"/>
      <c r="O787" s="15"/>
      <c r="P787" s="45"/>
      <c r="Q787" s="45"/>
      <c r="R787" s="45"/>
      <c r="S787" s="45"/>
    </row>
    <row r="788" spans="1:19">
      <c r="A788" s="15"/>
      <c r="B788" s="15"/>
      <c r="C788" s="42"/>
      <c r="D788" s="15"/>
      <c r="E788" s="42"/>
      <c r="F788" s="43"/>
      <c r="G788" s="15"/>
      <c r="H788" s="44"/>
      <c r="I788" s="15"/>
      <c r="J788" s="15"/>
      <c r="K788" s="15"/>
      <c r="L788" s="15"/>
      <c r="M788" s="15"/>
      <c r="N788" s="15"/>
      <c r="O788" s="15"/>
      <c r="P788" s="45"/>
      <c r="Q788" s="45"/>
      <c r="R788" s="45"/>
      <c r="S788" s="45"/>
    </row>
    <row r="789" spans="1:19">
      <c r="A789" s="15"/>
      <c r="B789" s="15"/>
      <c r="C789" s="42"/>
      <c r="D789" s="15"/>
      <c r="E789" s="42"/>
      <c r="F789" s="43"/>
      <c r="G789" s="15"/>
      <c r="H789" s="44"/>
      <c r="I789" s="15"/>
      <c r="J789" s="15"/>
      <c r="K789" s="15"/>
      <c r="L789" s="15"/>
      <c r="M789" s="15"/>
      <c r="N789" s="15"/>
      <c r="O789" s="15"/>
      <c r="P789" s="45"/>
      <c r="Q789" s="45"/>
      <c r="R789" s="45"/>
      <c r="S789" s="45"/>
    </row>
    <row r="790" spans="1:19">
      <c r="A790" s="15"/>
      <c r="B790" s="15"/>
      <c r="C790" s="42"/>
      <c r="D790" s="15"/>
      <c r="E790" s="42"/>
      <c r="F790" s="43"/>
      <c r="G790" s="15"/>
      <c r="H790" s="44"/>
      <c r="I790" s="15"/>
      <c r="J790" s="15"/>
      <c r="K790" s="15"/>
      <c r="L790" s="15"/>
      <c r="M790" s="15"/>
      <c r="N790" s="15"/>
      <c r="O790" s="15"/>
      <c r="P790" s="45"/>
      <c r="Q790" s="45"/>
      <c r="R790" s="45"/>
      <c r="S790" s="45"/>
    </row>
    <row r="791" spans="1:19">
      <c r="A791" s="15"/>
      <c r="B791" s="15"/>
      <c r="C791" s="42"/>
      <c r="D791" s="15"/>
      <c r="E791" s="42"/>
      <c r="F791" s="43"/>
      <c r="G791" s="15"/>
      <c r="H791" s="44"/>
      <c r="I791" s="15"/>
      <c r="J791" s="15"/>
      <c r="K791" s="15"/>
      <c r="L791" s="15"/>
      <c r="M791" s="15"/>
      <c r="N791" s="15"/>
      <c r="O791" s="15"/>
      <c r="P791" s="45"/>
      <c r="Q791" s="45"/>
      <c r="R791" s="45"/>
      <c r="S791" s="45"/>
    </row>
    <row r="792" spans="1:19">
      <c r="A792" s="15"/>
      <c r="B792" s="15"/>
      <c r="C792" s="42"/>
      <c r="D792" s="15"/>
      <c r="E792" s="42"/>
      <c r="F792" s="43"/>
      <c r="G792" s="15"/>
      <c r="H792" s="44"/>
      <c r="I792" s="15"/>
      <c r="J792" s="15"/>
      <c r="K792" s="15"/>
      <c r="L792" s="15"/>
      <c r="M792" s="15"/>
      <c r="N792" s="15"/>
      <c r="O792" s="15"/>
      <c r="P792" s="45"/>
      <c r="Q792" s="45"/>
      <c r="R792" s="45"/>
      <c r="S792" s="45"/>
    </row>
    <row r="793" spans="1:19">
      <c r="A793" s="15"/>
      <c r="B793" s="15"/>
      <c r="C793" s="42"/>
      <c r="D793" s="15"/>
      <c r="E793" s="42"/>
      <c r="F793" s="43"/>
      <c r="G793" s="15"/>
      <c r="H793" s="44"/>
      <c r="I793" s="15"/>
      <c r="J793" s="15"/>
      <c r="K793" s="15"/>
      <c r="L793" s="15"/>
      <c r="M793" s="15"/>
      <c r="N793" s="15"/>
      <c r="O793" s="15"/>
      <c r="P793" s="45"/>
      <c r="Q793" s="45"/>
      <c r="R793" s="45"/>
      <c r="S793" s="45"/>
    </row>
    <row r="794" spans="1:19">
      <c r="A794" s="15"/>
      <c r="B794" s="15"/>
      <c r="C794" s="42"/>
      <c r="D794" s="15"/>
      <c r="E794" s="42"/>
      <c r="F794" s="43"/>
      <c r="G794" s="15"/>
      <c r="H794" s="44"/>
      <c r="I794" s="15"/>
      <c r="J794" s="15"/>
      <c r="K794" s="15"/>
      <c r="L794" s="15"/>
      <c r="M794" s="15"/>
      <c r="N794" s="15"/>
      <c r="O794" s="15"/>
      <c r="P794" s="45"/>
      <c r="Q794" s="45"/>
      <c r="R794" s="45"/>
      <c r="S794" s="45"/>
    </row>
    <row r="795" spans="1:19">
      <c r="A795" s="15"/>
      <c r="B795" s="15"/>
      <c r="C795" s="42"/>
      <c r="D795" s="15"/>
      <c r="E795" s="42"/>
      <c r="F795" s="43"/>
      <c r="G795" s="15"/>
      <c r="H795" s="44"/>
      <c r="I795" s="15"/>
      <c r="J795" s="15"/>
      <c r="K795" s="15"/>
      <c r="L795" s="15"/>
      <c r="M795" s="15"/>
      <c r="N795" s="15"/>
      <c r="O795" s="15"/>
      <c r="P795" s="45"/>
      <c r="Q795" s="45"/>
      <c r="R795" s="45"/>
      <c r="S795" s="45"/>
    </row>
    <row r="796" spans="1:19">
      <c r="A796" s="15"/>
      <c r="B796" s="15"/>
      <c r="C796" s="42"/>
      <c r="D796" s="15"/>
      <c r="E796" s="42"/>
      <c r="F796" s="43"/>
      <c r="G796" s="15"/>
      <c r="H796" s="44"/>
      <c r="I796" s="15"/>
      <c r="J796" s="15"/>
      <c r="K796" s="15"/>
      <c r="L796" s="15"/>
      <c r="M796" s="15"/>
      <c r="N796" s="15"/>
      <c r="O796" s="15"/>
      <c r="P796" s="45"/>
      <c r="Q796" s="45"/>
      <c r="R796" s="45"/>
      <c r="S796" s="45"/>
    </row>
    <row r="797" spans="1:19">
      <c r="A797" s="15"/>
      <c r="B797" s="15"/>
      <c r="C797" s="42"/>
      <c r="D797" s="15"/>
      <c r="E797" s="42"/>
      <c r="F797" s="43"/>
      <c r="G797" s="15"/>
      <c r="H797" s="44"/>
      <c r="I797" s="15"/>
      <c r="J797" s="15"/>
      <c r="K797" s="15"/>
      <c r="L797" s="15"/>
      <c r="M797" s="15"/>
      <c r="N797" s="15"/>
      <c r="O797" s="15"/>
      <c r="P797" s="45"/>
      <c r="Q797" s="45"/>
      <c r="R797" s="45"/>
      <c r="S797" s="45"/>
    </row>
    <row r="798" spans="1:19">
      <c r="A798" s="15"/>
      <c r="B798" s="15"/>
      <c r="C798" s="42"/>
      <c r="D798" s="15"/>
      <c r="E798" s="42"/>
      <c r="F798" s="43"/>
      <c r="G798" s="15"/>
      <c r="H798" s="44"/>
      <c r="I798" s="15"/>
      <c r="J798" s="15"/>
      <c r="K798" s="15"/>
      <c r="L798" s="15"/>
      <c r="M798" s="15"/>
      <c r="N798" s="15"/>
      <c r="O798" s="15"/>
      <c r="P798" s="45"/>
      <c r="Q798" s="45"/>
      <c r="R798" s="45"/>
      <c r="S798" s="45"/>
    </row>
    <row r="799" spans="1:19">
      <c r="A799" s="15"/>
      <c r="B799" s="15"/>
      <c r="C799" s="42"/>
      <c r="D799" s="15"/>
      <c r="E799" s="42"/>
      <c r="F799" s="43"/>
      <c r="G799" s="15"/>
      <c r="H799" s="44"/>
      <c r="I799" s="15"/>
      <c r="J799" s="15"/>
      <c r="K799" s="15"/>
      <c r="L799" s="15"/>
      <c r="M799" s="15"/>
      <c r="N799" s="15"/>
      <c r="O799" s="15"/>
      <c r="P799" s="45"/>
      <c r="Q799" s="45"/>
      <c r="R799" s="45"/>
      <c r="S799" s="45"/>
    </row>
    <row r="800" spans="1:19">
      <c r="A800" s="15"/>
      <c r="B800" s="15"/>
      <c r="C800" s="42"/>
      <c r="D800" s="15"/>
      <c r="E800" s="42"/>
      <c r="F800" s="43"/>
      <c r="G800" s="15"/>
      <c r="H800" s="44"/>
      <c r="I800" s="15"/>
      <c r="J800" s="15"/>
      <c r="K800" s="15"/>
      <c r="L800" s="15"/>
      <c r="M800" s="15"/>
      <c r="N800" s="15"/>
      <c r="O800" s="15"/>
      <c r="P800" s="45"/>
      <c r="Q800" s="45"/>
      <c r="R800" s="45"/>
      <c r="S800" s="45"/>
    </row>
    <row r="801" spans="1:19">
      <c r="A801" s="15"/>
      <c r="B801" s="15"/>
      <c r="C801" s="42"/>
      <c r="D801" s="15"/>
      <c r="E801" s="42"/>
      <c r="F801" s="43"/>
      <c r="G801" s="15"/>
      <c r="H801" s="44"/>
      <c r="I801" s="15"/>
      <c r="J801" s="15"/>
      <c r="K801" s="15"/>
      <c r="L801" s="15"/>
      <c r="M801" s="15"/>
      <c r="N801" s="15"/>
      <c r="O801" s="15"/>
      <c r="P801" s="45"/>
      <c r="Q801" s="45"/>
      <c r="R801" s="45"/>
      <c r="S801" s="45"/>
    </row>
    <row r="802" spans="1:19">
      <c r="A802" s="15"/>
      <c r="B802" s="15"/>
      <c r="C802" s="42"/>
      <c r="D802" s="15"/>
      <c r="E802" s="42"/>
      <c r="F802" s="43"/>
      <c r="G802" s="15"/>
      <c r="H802" s="44"/>
      <c r="I802" s="15"/>
      <c r="J802" s="15"/>
      <c r="K802" s="15"/>
      <c r="L802" s="15"/>
      <c r="M802" s="15"/>
      <c r="N802" s="15"/>
      <c r="O802" s="15"/>
      <c r="P802" s="45"/>
      <c r="Q802" s="45"/>
      <c r="R802" s="45"/>
      <c r="S802" s="45"/>
    </row>
    <row r="803" spans="1:19">
      <c r="A803" s="15"/>
      <c r="B803" s="15"/>
      <c r="C803" s="42"/>
      <c r="D803" s="15"/>
      <c r="E803" s="42"/>
      <c r="F803" s="43"/>
      <c r="G803" s="15"/>
      <c r="H803" s="44"/>
      <c r="I803" s="15"/>
      <c r="J803" s="15"/>
      <c r="K803" s="15"/>
      <c r="L803" s="15"/>
      <c r="M803" s="15"/>
      <c r="N803" s="15"/>
      <c r="O803" s="15"/>
      <c r="P803" s="45"/>
      <c r="Q803" s="45"/>
      <c r="R803" s="45"/>
      <c r="S803" s="45"/>
    </row>
    <row r="804" spans="1:19">
      <c r="A804" s="15"/>
      <c r="B804" s="15"/>
      <c r="C804" s="42"/>
      <c r="D804" s="15"/>
      <c r="E804" s="42"/>
      <c r="F804" s="43"/>
      <c r="G804" s="15"/>
      <c r="H804" s="44"/>
      <c r="I804" s="15"/>
      <c r="J804" s="15"/>
      <c r="K804" s="15"/>
      <c r="L804" s="15"/>
      <c r="M804" s="15"/>
      <c r="N804" s="15"/>
      <c r="O804" s="15"/>
      <c r="P804" s="45"/>
      <c r="Q804" s="45"/>
      <c r="R804" s="45"/>
      <c r="S804" s="45"/>
    </row>
    <row r="805" spans="1:19">
      <c r="A805" s="15"/>
      <c r="B805" s="15"/>
      <c r="C805" s="42"/>
      <c r="D805" s="15"/>
      <c r="E805" s="42"/>
      <c r="F805" s="43"/>
      <c r="G805" s="15"/>
      <c r="H805" s="44"/>
      <c r="I805" s="15"/>
      <c r="J805" s="15"/>
      <c r="K805" s="15"/>
      <c r="L805" s="15"/>
      <c r="M805" s="15"/>
      <c r="N805" s="15"/>
      <c r="O805" s="15"/>
      <c r="P805" s="45"/>
      <c r="Q805" s="45"/>
      <c r="R805" s="45"/>
      <c r="S805" s="45"/>
    </row>
    <row r="806" spans="1:19">
      <c r="A806" s="15"/>
      <c r="B806" s="15"/>
      <c r="C806" s="42"/>
      <c r="D806" s="15"/>
      <c r="E806" s="42"/>
      <c r="F806" s="43"/>
      <c r="G806" s="15"/>
      <c r="H806" s="44"/>
      <c r="I806" s="15"/>
      <c r="J806" s="15"/>
      <c r="K806" s="15"/>
      <c r="L806" s="15"/>
      <c r="M806" s="15"/>
      <c r="N806" s="15"/>
      <c r="O806" s="15"/>
      <c r="P806" s="45"/>
      <c r="Q806" s="45"/>
      <c r="R806" s="45"/>
      <c r="S806" s="45"/>
    </row>
    <row r="807" spans="1:19">
      <c r="A807" s="15"/>
      <c r="B807" s="15"/>
      <c r="C807" s="42"/>
      <c r="D807" s="15"/>
      <c r="E807" s="42"/>
      <c r="F807" s="43"/>
      <c r="G807" s="15"/>
      <c r="H807" s="44"/>
      <c r="I807" s="15"/>
      <c r="J807" s="15"/>
      <c r="K807" s="15"/>
      <c r="L807" s="15"/>
      <c r="M807" s="15"/>
      <c r="N807" s="15"/>
      <c r="O807" s="15"/>
      <c r="P807" s="45"/>
      <c r="Q807" s="45"/>
      <c r="R807" s="45"/>
      <c r="S807" s="45"/>
    </row>
    <row r="808" spans="1:19">
      <c r="A808" s="15"/>
      <c r="B808" s="15"/>
      <c r="C808" s="42"/>
      <c r="D808" s="15"/>
      <c r="E808" s="42"/>
      <c r="F808" s="43"/>
      <c r="G808" s="15"/>
      <c r="H808" s="44"/>
      <c r="I808" s="15"/>
      <c r="J808" s="15"/>
      <c r="K808" s="15"/>
      <c r="L808" s="15"/>
      <c r="M808" s="15"/>
      <c r="N808" s="15"/>
      <c r="O808" s="15"/>
      <c r="P808" s="45"/>
      <c r="Q808" s="45"/>
      <c r="R808" s="45"/>
      <c r="S808" s="45"/>
    </row>
    <row r="809" spans="1:19">
      <c r="A809" s="15"/>
      <c r="B809" s="15"/>
      <c r="C809" s="42"/>
      <c r="D809" s="15"/>
      <c r="E809" s="42"/>
      <c r="F809" s="43"/>
      <c r="G809" s="15"/>
      <c r="H809" s="44"/>
      <c r="I809" s="15"/>
      <c r="J809" s="15"/>
      <c r="K809" s="15"/>
      <c r="L809" s="15"/>
      <c r="M809" s="15"/>
      <c r="N809" s="15"/>
      <c r="O809" s="15"/>
      <c r="P809" s="45"/>
      <c r="Q809" s="45"/>
      <c r="R809" s="45"/>
      <c r="S809" s="45"/>
    </row>
    <row r="810" spans="1:19">
      <c r="A810" s="15"/>
      <c r="B810" s="15"/>
      <c r="C810" s="42"/>
      <c r="D810" s="15"/>
      <c r="E810" s="42"/>
      <c r="F810" s="43"/>
      <c r="G810" s="15"/>
      <c r="H810" s="44"/>
      <c r="I810" s="15"/>
      <c r="J810" s="15"/>
      <c r="K810" s="15"/>
      <c r="L810" s="15"/>
      <c r="M810" s="15"/>
      <c r="N810" s="15"/>
      <c r="O810" s="15"/>
      <c r="P810" s="45"/>
      <c r="Q810" s="45"/>
      <c r="R810" s="45"/>
      <c r="S810" s="45"/>
    </row>
    <row r="811" spans="1:19">
      <c r="A811" s="15"/>
      <c r="B811" s="15"/>
      <c r="C811" s="42"/>
      <c r="D811" s="15"/>
      <c r="E811" s="42"/>
      <c r="F811" s="43"/>
      <c r="G811" s="15"/>
      <c r="H811" s="44"/>
      <c r="I811" s="15"/>
      <c r="J811" s="15"/>
      <c r="K811" s="15"/>
      <c r="L811" s="15"/>
      <c r="M811" s="15"/>
      <c r="N811" s="15"/>
      <c r="O811" s="15"/>
      <c r="P811" s="45"/>
      <c r="Q811" s="45"/>
      <c r="R811" s="45"/>
      <c r="S811" s="45"/>
    </row>
    <row r="812" spans="1:19">
      <c r="A812" s="15"/>
      <c r="B812" s="15"/>
      <c r="C812" s="42"/>
      <c r="D812" s="15"/>
      <c r="E812" s="42"/>
      <c r="F812" s="43"/>
      <c r="G812" s="15"/>
      <c r="H812" s="44"/>
      <c r="I812" s="15"/>
      <c r="J812" s="15"/>
      <c r="K812" s="15"/>
      <c r="L812" s="15"/>
      <c r="M812" s="15"/>
      <c r="N812" s="15"/>
      <c r="O812" s="15"/>
      <c r="P812" s="45"/>
      <c r="Q812" s="45"/>
      <c r="R812" s="45"/>
      <c r="S812" s="45"/>
    </row>
    <row r="813" spans="1:19">
      <c r="A813" s="15"/>
      <c r="B813" s="15"/>
      <c r="C813" s="42"/>
      <c r="D813" s="15"/>
      <c r="E813" s="42"/>
      <c r="F813" s="43"/>
      <c r="G813" s="15"/>
      <c r="H813" s="44"/>
      <c r="I813" s="15"/>
      <c r="J813" s="15"/>
      <c r="K813" s="15"/>
      <c r="L813" s="15"/>
      <c r="M813" s="15"/>
      <c r="N813" s="15"/>
      <c r="O813" s="15"/>
      <c r="P813" s="45"/>
      <c r="Q813" s="45"/>
      <c r="R813" s="45"/>
      <c r="S813" s="45"/>
    </row>
    <row r="814" spans="1:19">
      <c r="A814" s="15"/>
      <c r="B814" s="15"/>
      <c r="C814" s="42"/>
      <c r="D814" s="15"/>
      <c r="E814" s="42"/>
      <c r="F814" s="43"/>
      <c r="G814" s="15"/>
      <c r="H814" s="44"/>
      <c r="I814" s="15"/>
      <c r="J814" s="15"/>
      <c r="K814" s="15"/>
      <c r="L814" s="15"/>
      <c r="M814" s="15"/>
      <c r="N814" s="15"/>
      <c r="O814" s="15"/>
      <c r="P814" s="45"/>
      <c r="Q814" s="45"/>
      <c r="R814" s="45"/>
      <c r="S814" s="45"/>
    </row>
    <row r="815" spans="1:19">
      <c r="A815" s="15"/>
      <c r="B815" s="15"/>
      <c r="C815" s="42"/>
      <c r="D815" s="15"/>
      <c r="E815" s="42"/>
      <c r="F815" s="43"/>
      <c r="G815" s="15"/>
      <c r="H815" s="44"/>
      <c r="I815" s="15"/>
      <c r="J815" s="15"/>
      <c r="K815" s="15"/>
      <c r="L815" s="15"/>
      <c r="M815" s="15"/>
      <c r="N815" s="15"/>
      <c r="O815" s="15"/>
      <c r="P815" s="45"/>
      <c r="Q815" s="45"/>
      <c r="R815" s="45"/>
      <c r="S815" s="45"/>
    </row>
    <row r="816" spans="1:19">
      <c r="A816" s="15"/>
      <c r="B816" s="15"/>
      <c r="C816" s="42"/>
      <c r="D816" s="15"/>
      <c r="E816" s="42"/>
      <c r="F816" s="43"/>
      <c r="G816" s="15"/>
      <c r="H816" s="44"/>
      <c r="I816" s="15"/>
      <c r="J816" s="15"/>
      <c r="K816" s="15"/>
      <c r="L816" s="15"/>
      <c r="M816" s="15"/>
      <c r="N816" s="15"/>
      <c r="O816" s="15"/>
      <c r="P816" s="45"/>
      <c r="Q816" s="45"/>
      <c r="R816" s="45"/>
      <c r="S816" s="45"/>
    </row>
    <row r="817" spans="1:19">
      <c r="A817" s="15"/>
      <c r="B817" s="15"/>
      <c r="C817" s="42"/>
      <c r="D817" s="15"/>
      <c r="E817" s="42"/>
      <c r="F817" s="43"/>
      <c r="G817" s="15"/>
      <c r="H817" s="44"/>
      <c r="I817" s="15"/>
      <c r="J817" s="15"/>
      <c r="K817" s="15"/>
      <c r="L817" s="15"/>
      <c r="M817" s="15"/>
      <c r="N817" s="15"/>
      <c r="O817" s="15"/>
      <c r="P817" s="45"/>
      <c r="Q817" s="45"/>
      <c r="R817" s="45"/>
      <c r="S817" s="45"/>
    </row>
    <row r="818" spans="1:19">
      <c r="A818" s="15"/>
      <c r="B818" s="15"/>
      <c r="C818" s="42"/>
      <c r="D818" s="15"/>
      <c r="E818" s="42"/>
      <c r="F818" s="43"/>
      <c r="G818" s="15"/>
      <c r="H818" s="44"/>
      <c r="I818" s="15"/>
      <c r="J818" s="15"/>
      <c r="K818" s="15"/>
      <c r="L818" s="15"/>
      <c r="M818" s="15"/>
      <c r="N818" s="15"/>
      <c r="O818" s="15"/>
      <c r="P818" s="45"/>
      <c r="Q818" s="45"/>
      <c r="R818" s="45"/>
      <c r="S818" s="45"/>
    </row>
    <row r="819" spans="1:19">
      <c r="A819" s="15"/>
      <c r="B819" s="15"/>
      <c r="C819" s="42"/>
      <c r="D819" s="15"/>
      <c r="E819" s="42"/>
      <c r="F819" s="43"/>
      <c r="G819" s="15"/>
      <c r="H819" s="44"/>
      <c r="I819" s="15"/>
      <c r="J819" s="15"/>
      <c r="K819" s="15"/>
      <c r="L819" s="15"/>
      <c r="M819" s="15"/>
      <c r="N819" s="15"/>
      <c r="O819" s="15"/>
      <c r="P819" s="45"/>
      <c r="Q819" s="45"/>
      <c r="R819" s="45"/>
      <c r="S819" s="45"/>
    </row>
    <row r="820" spans="1:19">
      <c r="A820" s="15"/>
      <c r="B820" s="15"/>
      <c r="C820" s="42"/>
      <c r="D820" s="15"/>
      <c r="E820" s="42"/>
      <c r="F820" s="43"/>
      <c r="G820" s="15"/>
      <c r="H820" s="44"/>
      <c r="I820" s="15"/>
      <c r="J820" s="15"/>
      <c r="K820" s="15"/>
      <c r="L820" s="15"/>
      <c r="M820" s="15"/>
      <c r="N820" s="15"/>
      <c r="O820" s="15"/>
      <c r="P820" s="45"/>
      <c r="Q820" s="45"/>
      <c r="R820" s="45"/>
      <c r="S820" s="45"/>
    </row>
    <row r="821" spans="1:19">
      <c r="A821" s="15"/>
      <c r="B821" s="15"/>
      <c r="C821" s="42"/>
      <c r="D821" s="15"/>
      <c r="E821" s="42"/>
      <c r="F821" s="43"/>
      <c r="G821" s="15"/>
      <c r="H821" s="44"/>
      <c r="I821" s="15"/>
      <c r="J821" s="15"/>
      <c r="K821" s="15"/>
      <c r="L821" s="15"/>
      <c r="M821" s="15"/>
      <c r="N821" s="15"/>
      <c r="O821" s="15"/>
      <c r="P821" s="45"/>
      <c r="Q821" s="45"/>
      <c r="R821" s="45"/>
      <c r="S821" s="45"/>
    </row>
    <row r="822" spans="1:19">
      <c r="A822" s="15"/>
      <c r="B822" s="15"/>
      <c r="C822" s="42"/>
      <c r="D822" s="15"/>
      <c r="E822" s="42"/>
      <c r="F822" s="43"/>
      <c r="G822" s="15"/>
      <c r="H822" s="44"/>
      <c r="I822" s="15"/>
      <c r="J822" s="15"/>
      <c r="K822" s="15"/>
      <c r="L822" s="15"/>
      <c r="M822" s="15"/>
      <c r="N822" s="15"/>
      <c r="O822" s="15"/>
      <c r="P822" s="45"/>
      <c r="Q822" s="45"/>
      <c r="R822" s="45"/>
      <c r="S822" s="45"/>
    </row>
    <row r="823" spans="1:19">
      <c r="A823" s="15"/>
      <c r="B823" s="15"/>
      <c r="C823" s="42"/>
      <c r="D823" s="15"/>
      <c r="E823" s="42"/>
      <c r="F823" s="43"/>
      <c r="G823" s="15"/>
      <c r="H823" s="44"/>
      <c r="I823" s="15"/>
      <c r="J823" s="15"/>
      <c r="K823" s="15"/>
      <c r="L823" s="15"/>
      <c r="M823" s="15"/>
      <c r="N823" s="15"/>
      <c r="O823" s="15"/>
      <c r="P823" s="45"/>
      <c r="Q823" s="45"/>
      <c r="R823" s="45"/>
      <c r="S823" s="45"/>
    </row>
    <row r="824" spans="1:19">
      <c r="A824" s="15"/>
      <c r="B824" s="15"/>
      <c r="C824" s="42"/>
      <c r="D824" s="15"/>
      <c r="E824" s="42"/>
      <c r="F824" s="43"/>
      <c r="G824" s="15"/>
      <c r="H824" s="44"/>
      <c r="I824" s="15"/>
      <c r="J824" s="15"/>
      <c r="K824" s="15"/>
      <c r="L824" s="15"/>
      <c r="M824" s="15"/>
      <c r="N824" s="15"/>
      <c r="O824" s="15"/>
      <c r="P824" s="45"/>
      <c r="Q824" s="45"/>
      <c r="R824" s="45"/>
      <c r="S824" s="45"/>
    </row>
    <row r="825" spans="1:19">
      <c r="A825" s="15"/>
      <c r="B825" s="15"/>
      <c r="C825" s="42"/>
      <c r="D825" s="15"/>
      <c r="E825" s="42"/>
      <c r="F825" s="43"/>
      <c r="G825" s="15"/>
      <c r="H825" s="44"/>
      <c r="I825" s="15"/>
      <c r="J825" s="15"/>
      <c r="K825" s="15"/>
      <c r="L825" s="15"/>
      <c r="M825" s="15"/>
      <c r="N825" s="15"/>
      <c r="O825" s="15"/>
      <c r="P825" s="45"/>
      <c r="Q825" s="45"/>
      <c r="R825" s="45"/>
      <c r="S825" s="45"/>
    </row>
    <row r="826" spans="1:19">
      <c r="A826" s="15"/>
      <c r="B826" s="15"/>
      <c r="C826" s="42"/>
      <c r="D826" s="15"/>
      <c r="E826" s="42"/>
      <c r="F826" s="43"/>
      <c r="G826" s="15"/>
      <c r="H826" s="44"/>
      <c r="I826" s="15"/>
      <c r="J826" s="15"/>
      <c r="K826" s="15"/>
      <c r="L826" s="15"/>
      <c r="M826" s="15"/>
      <c r="N826" s="15"/>
      <c r="O826" s="15"/>
      <c r="P826" s="45"/>
      <c r="Q826" s="45"/>
      <c r="R826" s="45"/>
      <c r="S826" s="45"/>
    </row>
    <row r="827" spans="1:19">
      <c r="A827" s="15"/>
      <c r="B827" s="15"/>
      <c r="C827" s="42"/>
      <c r="D827" s="15"/>
      <c r="E827" s="42"/>
      <c r="F827" s="43"/>
      <c r="G827" s="15"/>
      <c r="H827" s="44"/>
      <c r="I827" s="15"/>
      <c r="J827" s="15"/>
      <c r="K827" s="15"/>
      <c r="L827" s="15"/>
      <c r="M827" s="15"/>
      <c r="N827" s="15"/>
      <c r="O827" s="15"/>
      <c r="P827" s="45"/>
      <c r="Q827" s="45"/>
      <c r="R827" s="45"/>
      <c r="S827" s="45"/>
    </row>
    <row r="828" spans="1:19">
      <c r="A828" s="15"/>
      <c r="B828" s="15"/>
      <c r="C828" s="42"/>
      <c r="D828" s="15"/>
      <c r="E828" s="42"/>
      <c r="F828" s="43"/>
      <c r="G828" s="15"/>
      <c r="H828" s="44"/>
      <c r="I828" s="15"/>
      <c r="J828" s="15"/>
      <c r="K828" s="15"/>
      <c r="L828" s="15"/>
      <c r="M828" s="15"/>
      <c r="N828" s="15"/>
      <c r="O828" s="15"/>
      <c r="P828" s="45"/>
      <c r="Q828" s="45"/>
      <c r="R828" s="45"/>
      <c r="S828" s="45"/>
    </row>
    <row r="829" spans="1:19">
      <c r="A829" s="15"/>
      <c r="B829" s="15"/>
      <c r="C829" s="42"/>
      <c r="D829" s="15"/>
      <c r="E829" s="42"/>
      <c r="F829" s="43"/>
      <c r="G829" s="15"/>
      <c r="H829" s="44"/>
      <c r="I829" s="15"/>
      <c r="J829" s="15"/>
      <c r="K829" s="15"/>
      <c r="L829" s="15"/>
      <c r="M829" s="15"/>
      <c r="N829" s="15"/>
      <c r="O829" s="15"/>
      <c r="P829" s="45"/>
      <c r="Q829" s="45"/>
      <c r="R829" s="45"/>
      <c r="S829" s="45"/>
    </row>
    <row r="830" spans="1:19">
      <c r="A830" s="15"/>
      <c r="B830" s="15"/>
      <c r="C830" s="42"/>
      <c r="D830" s="15"/>
      <c r="E830" s="42"/>
      <c r="F830" s="43"/>
      <c r="G830" s="15"/>
      <c r="H830" s="44"/>
      <c r="I830" s="15"/>
      <c r="J830" s="15"/>
      <c r="K830" s="15"/>
      <c r="L830" s="15"/>
      <c r="M830" s="15"/>
      <c r="N830" s="15"/>
      <c r="O830" s="15"/>
      <c r="P830" s="45"/>
      <c r="Q830" s="45"/>
      <c r="R830" s="45"/>
      <c r="S830" s="45"/>
    </row>
    <row r="831" spans="1:19">
      <c r="A831" s="15"/>
      <c r="B831" s="15"/>
      <c r="C831" s="42"/>
      <c r="D831" s="15"/>
      <c r="E831" s="42"/>
      <c r="F831" s="43"/>
      <c r="G831" s="15"/>
      <c r="H831" s="44"/>
      <c r="I831" s="15"/>
      <c r="J831" s="15"/>
      <c r="K831" s="15"/>
      <c r="L831" s="15"/>
      <c r="M831" s="15"/>
      <c r="N831" s="15"/>
      <c r="O831" s="15"/>
      <c r="P831" s="45"/>
      <c r="Q831" s="45"/>
      <c r="R831" s="45"/>
      <c r="S831" s="45"/>
    </row>
    <row r="832" spans="1:19">
      <c r="A832" s="15"/>
      <c r="B832" s="15"/>
      <c r="C832" s="42"/>
      <c r="D832" s="15"/>
      <c r="E832" s="42"/>
      <c r="F832" s="43"/>
      <c r="G832" s="15"/>
      <c r="H832" s="44"/>
      <c r="I832" s="15"/>
      <c r="J832" s="15"/>
      <c r="K832" s="15"/>
      <c r="L832" s="15"/>
      <c r="M832" s="15"/>
      <c r="N832" s="15"/>
      <c r="O832" s="15"/>
      <c r="P832" s="45"/>
      <c r="Q832" s="45"/>
      <c r="R832" s="45"/>
      <c r="S832" s="45"/>
    </row>
    <row r="833" spans="1:19">
      <c r="A833" s="15"/>
      <c r="B833" s="15"/>
      <c r="C833" s="42"/>
      <c r="D833" s="15"/>
      <c r="E833" s="42"/>
      <c r="F833" s="43"/>
      <c r="G833" s="15"/>
      <c r="H833" s="44"/>
      <c r="I833" s="15"/>
      <c r="J833" s="15"/>
      <c r="K833" s="15"/>
      <c r="L833" s="15"/>
      <c r="M833" s="15"/>
      <c r="N833" s="15"/>
      <c r="O833" s="15"/>
      <c r="P833" s="45"/>
      <c r="Q833" s="45"/>
      <c r="R833" s="45"/>
      <c r="S833" s="45"/>
    </row>
    <row r="834" spans="1:19">
      <c r="A834" s="15"/>
      <c r="B834" s="15"/>
      <c r="C834" s="42"/>
      <c r="D834" s="15"/>
      <c r="E834" s="42"/>
      <c r="F834" s="43"/>
      <c r="G834" s="15"/>
      <c r="H834" s="44"/>
      <c r="I834" s="15"/>
      <c r="J834" s="15"/>
      <c r="K834" s="15"/>
      <c r="L834" s="15"/>
      <c r="M834" s="15"/>
      <c r="N834" s="15"/>
      <c r="O834" s="15"/>
      <c r="P834" s="45"/>
      <c r="Q834" s="45"/>
      <c r="R834" s="45"/>
      <c r="S834" s="45"/>
    </row>
    <row r="835" spans="1:19">
      <c r="A835" s="15"/>
      <c r="B835" s="15"/>
      <c r="C835" s="42"/>
      <c r="D835" s="15"/>
      <c r="E835" s="42"/>
      <c r="F835" s="43"/>
      <c r="G835" s="15"/>
      <c r="H835" s="44"/>
      <c r="I835" s="15"/>
      <c r="J835" s="15"/>
      <c r="K835" s="15"/>
      <c r="L835" s="15"/>
      <c r="M835" s="15"/>
      <c r="N835" s="15"/>
      <c r="O835" s="15"/>
      <c r="P835" s="45"/>
      <c r="Q835" s="45"/>
      <c r="R835" s="45"/>
      <c r="S835" s="45"/>
    </row>
    <row r="836" spans="1:19">
      <c r="A836" s="15"/>
      <c r="B836" s="15"/>
      <c r="C836" s="42"/>
      <c r="D836" s="15"/>
      <c r="E836" s="42"/>
      <c r="F836" s="43"/>
      <c r="G836" s="15"/>
      <c r="H836" s="44"/>
      <c r="I836" s="15"/>
      <c r="J836" s="15"/>
      <c r="K836" s="15"/>
      <c r="L836" s="15"/>
      <c r="M836" s="15"/>
      <c r="N836" s="15"/>
      <c r="O836" s="15"/>
      <c r="P836" s="45"/>
      <c r="Q836" s="45"/>
      <c r="R836" s="45"/>
      <c r="S836" s="45"/>
    </row>
    <row r="837" spans="1:19">
      <c r="A837" s="15"/>
      <c r="B837" s="15"/>
      <c r="C837" s="42"/>
      <c r="D837" s="15"/>
      <c r="E837" s="42"/>
      <c r="F837" s="43"/>
      <c r="G837" s="15"/>
      <c r="H837" s="44"/>
      <c r="I837" s="15"/>
      <c r="J837" s="15"/>
      <c r="K837" s="15"/>
      <c r="L837" s="15"/>
      <c r="M837" s="15"/>
      <c r="N837" s="15"/>
      <c r="O837" s="15"/>
      <c r="P837" s="45"/>
      <c r="Q837" s="45"/>
      <c r="R837" s="45"/>
      <c r="S837" s="45"/>
    </row>
    <row r="838" spans="1:19">
      <c r="A838" s="15"/>
      <c r="B838" s="15"/>
      <c r="C838" s="42"/>
      <c r="D838" s="15"/>
      <c r="E838" s="42"/>
      <c r="F838" s="43"/>
      <c r="G838" s="15"/>
      <c r="H838" s="44"/>
      <c r="I838" s="15"/>
      <c r="J838" s="15"/>
      <c r="K838" s="15"/>
      <c r="L838" s="15"/>
      <c r="M838" s="15"/>
      <c r="N838" s="15"/>
      <c r="O838" s="15"/>
      <c r="P838" s="45"/>
      <c r="Q838" s="45"/>
      <c r="R838" s="45"/>
      <c r="S838" s="45"/>
    </row>
    <row r="839" spans="1:19">
      <c r="A839" s="15"/>
      <c r="B839" s="15"/>
      <c r="C839" s="42"/>
      <c r="D839" s="15"/>
      <c r="E839" s="42"/>
      <c r="F839" s="43"/>
      <c r="G839" s="15"/>
      <c r="H839" s="44"/>
      <c r="I839" s="15"/>
      <c r="J839" s="15"/>
      <c r="K839" s="15"/>
      <c r="L839" s="15"/>
      <c r="M839" s="15"/>
      <c r="N839" s="15"/>
      <c r="O839" s="15"/>
      <c r="P839" s="45"/>
      <c r="Q839" s="45"/>
      <c r="R839" s="45"/>
      <c r="S839" s="45"/>
    </row>
    <row r="840" spans="1:19">
      <c r="A840" s="15"/>
      <c r="B840" s="15"/>
      <c r="C840" s="42"/>
      <c r="D840" s="15"/>
      <c r="E840" s="42"/>
      <c r="F840" s="43"/>
      <c r="G840" s="15"/>
      <c r="H840" s="44"/>
      <c r="I840" s="15"/>
      <c r="J840" s="15"/>
      <c r="K840" s="15"/>
      <c r="L840" s="15"/>
      <c r="M840" s="15"/>
      <c r="N840" s="15"/>
      <c r="O840" s="15"/>
      <c r="P840" s="45"/>
      <c r="Q840" s="45"/>
      <c r="R840" s="45"/>
      <c r="S840" s="45"/>
    </row>
    <row r="841" spans="1:19">
      <c r="A841" s="15"/>
      <c r="B841" s="15"/>
      <c r="C841" s="42"/>
      <c r="D841" s="15"/>
      <c r="E841" s="42"/>
      <c r="F841" s="43"/>
      <c r="G841" s="15"/>
      <c r="H841" s="44"/>
      <c r="I841" s="15"/>
      <c r="J841" s="15"/>
      <c r="K841" s="15"/>
      <c r="L841" s="15"/>
      <c r="M841" s="15"/>
      <c r="N841" s="15"/>
      <c r="O841" s="15"/>
      <c r="P841" s="45"/>
      <c r="Q841" s="45"/>
      <c r="R841" s="45"/>
      <c r="S841" s="45"/>
    </row>
    <row r="842" spans="1:19">
      <c r="A842" s="15"/>
      <c r="B842" s="15"/>
      <c r="C842" s="42"/>
      <c r="D842" s="15"/>
      <c r="E842" s="42"/>
      <c r="F842" s="43"/>
      <c r="G842" s="15"/>
      <c r="H842" s="44"/>
      <c r="I842" s="15"/>
      <c r="J842" s="15"/>
      <c r="K842" s="15"/>
      <c r="L842" s="15"/>
      <c r="M842" s="15"/>
      <c r="N842" s="15"/>
      <c r="O842" s="15"/>
      <c r="P842" s="45"/>
      <c r="Q842" s="45"/>
      <c r="R842" s="45"/>
      <c r="S842" s="45"/>
    </row>
    <row r="843" spans="1:19">
      <c r="A843" s="15"/>
      <c r="B843" s="15"/>
      <c r="C843" s="42"/>
      <c r="D843" s="15"/>
      <c r="E843" s="42"/>
      <c r="F843" s="43"/>
      <c r="G843" s="15"/>
      <c r="H843" s="44"/>
      <c r="I843" s="15"/>
      <c r="J843" s="15"/>
      <c r="K843" s="15"/>
      <c r="L843" s="15"/>
      <c r="M843" s="15"/>
      <c r="N843" s="15"/>
      <c r="O843" s="15"/>
      <c r="P843" s="45"/>
      <c r="Q843" s="45"/>
      <c r="R843" s="45"/>
      <c r="S843" s="45"/>
    </row>
    <row r="844" spans="1:19">
      <c r="A844" s="15"/>
      <c r="B844" s="15"/>
      <c r="C844" s="42"/>
      <c r="D844" s="15"/>
      <c r="E844" s="42"/>
      <c r="F844" s="43"/>
      <c r="G844" s="15"/>
      <c r="H844" s="44"/>
      <c r="I844" s="15"/>
      <c r="J844" s="15"/>
      <c r="K844" s="15"/>
      <c r="L844" s="15"/>
      <c r="M844" s="15"/>
      <c r="N844" s="15"/>
      <c r="O844" s="15"/>
      <c r="P844" s="45"/>
      <c r="Q844" s="45"/>
      <c r="R844" s="45"/>
      <c r="S844" s="45"/>
    </row>
    <row r="845" spans="1:19">
      <c r="A845" s="15"/>
      <c r="B845" s="15"/>
      <c r="C845" s="42"/>
      <c r="D845" s="15"/>
      <c r="E845" s="42"/>
      <c r="F845" s="43"/>
      <c r="G845" s="15"/>
      <c r="H845" s="44"/>
      <c r="I845" s="15"/>
      <c r="J845" s="15"/>
      <c r="K845" s="15"/>
      <c r="L845" s="15"/>
      <c r="M845" s="15"/>
      <c r="N845" s="15"/>
      <c r="O845" s="15"/>
      <c r="P845" s="45"/>
      <c r="Q845" s="45"/>
      <c r="R845" s="45"/>
      <c r="S845" s="45"/>
    </row>
    <row r="846" spans="1:19">
      <c r="A846" s="15"/>
      <c r="B846" s="15"/>
      <c r="C846" s="42"/>
      <c r="D846" s="15"/>
      <c r="E846" s="42"/>
      <c r="F846" s="43"/>
      <c r="G846" s="15"/>
      <c r="H846" s="44"/>
      <c r="I846" s="15"/>
      <c r="J846" s="15"/>
      <c r="K846" s="15"/>
      <c r="L846" s="15"/>
      <c r="M846" s="15"/>
      <c r="N846" s="15"/>
      <c r="O846" s="15"/>
      <c r="P846" s="45"/>
      <c r="Q846" s="45"/>
      <c r="R846" s="45"/>
      <c r="S846" s="45"/>
    </row>
    <row r="847" spans="1:19">
      <c r="A847" s="15"/>
      <c r="B847" s="15"/>
      <c r="C847" s="42"/>
      <c r="D847" s="15"/>
      <c r="E847" s="42"/>
      <c r="F847" s="43"/>
      <c r="G847" s="15"/>
      <c r="H847" s="44"/>
      <c r="I847" s="15"/>
      <c r="J847" s="15"/>
      <c r="K847" s="15"/>
      <c r="L847" s="15"/>
      <c r="M847" s="15"/>
      <c r="N847" s="15"/>
      <c r="O847" s="15"/>
      <c r="P847" s="45"/>
      <c r="Q847" s="45"/>
      <c r="R847" s="45"/>
      <c r="S847" s="45"/>
    </row>
    <row r="848" spans="1:19">
      <c r="A848" s="15"/>
      <c r="B848" s="15"/>
      <c r="C848" s="42"/>
      <c r="D848" s="15"/>
      <c r="E848" s="42"/>
      <c r="F848" s="43"/>
      <c r="G848" s="15"/>
      <c r="H848" s="44"/>
      <c r="I848" s="15"/>
      <c r="J848" s="15"/>
      <c r="K848" s="15"/>
      <c r="L848" s="15"/>
      <c r="M848" s="15"/>
      <c r="N848" s="15"/>
      <c r="O848" s="15"/>
      <c r="P848" s="45"/>
      <c r="Q848" s="45"/>
      <c r="R848" s="45"/>
      <c r="S848" s="45"/>
    </row>
    <row r="849" spans="1:19">
      <c r="A849" s="15"/>
      <c r="B849" s="15"/>
      <c r="C849" s="42"/>
      <c r="D849" s="15"/>
      <c r="E849" s="42"/>
      <c r="F849" s="43"/>
      <c r="G849" s="15"/>
      <c r="H849" s="44"/>
      <c r="I849" s="15"/>
      <c r="J849" s="15"/>
      <c r="K849" s="15"/>
      <c r="L849" s="15"/>
      <c r="M849" s="15"/>
      <c r="N849" s="15"/>
      <c r="O849" s="15"/>
      <c r="P849" s="45"/>
      <c r="Q849" s="45"/>
      <c r="R849" s="45"/>
      <c r="S849" s="45"/>
    </row>
    <row r="850" spans="1:19">
      <c r="A850" s="15"/>
      <c r="B850" s="15"/>
      <c r="C850" s="42"/>
      <c r="D850" s="15"/>
      <c r="E850" s="42"/>
      <c r="F850" s="43"/>
      <c r="G850" s="15"/>
      <c r="H850" s="44"/>
      <c r="I850" s="15"/>
      <c r="J850" s="15"/>
      <c r="K850" s="15"/>
      <c r="L850" s="15"/>
      <c r="M850" s="15"/>
      <c r="N850" s="15"/>
      <c r="O850" s="15"/>
      <c r="P850" s="45"/>
      <c r="Q850" s="45"/>
      <c r="R850" s="45"/>
      <c r="S850" s="45"/>
    </row>
    <row r="851" spans="1:19">
      <c r="A851" s="15"/>
      <c r="B851" s="15"/>
      <c r="C851" s="42"/>
      <c r="D851" s="15"/>
      <c r="E851" s="42"/>
      <c r="F851" s="43"/>
      <c r="G851" s="15"/>
      <c r="H851" s="44"/>
      <c r="I851" s="15"/>
      <c r="J851" s="15"/>
      <c r="K851" s="15"/>
      <c r="L851" s="15"/>
      <c r="M851" s="15"/>
      <c r="N851" s="15"/>
      <c r="O851" s="15"/>
      <c r="P851" s="45"/>
      <c r="Q851" s="45"/>
      <c r="R851" s="45"/>
      <c r="S851" s="45"/>
    </row>
    <row r="852" spans="1:19">
      <c r="A852" s="15"/>
      <c r="B852" s="15"/>
      <c r="C852" s="42"/>
      <c r="D852" s="15"/>
      <c r="E852" s="42"/>
      <c r="F852" s="43"/>
      <c r="G852" s="15"/>
      <c r="H852" s="44"/>
      <c r="I852" s="15"/>
      <c r="J852" s="15"/>
      <c r="K852" s="15"/>
      <c r="L852" s="15"/>
      <c r="M852" s="15"/>
      <c r="N852" s="15"/>
      <c r="O852" s="15"/>
      <c r="P852" s="45"/>
      <c r="Q852" s="45"/>
      <c r="R852" s="45"/>
      <c r="S852" s="45"/>
    </row>
    <row r="853" spans="1:19">
      <c r="A853" s="15"/>
      <c r="B853" s="15"/>
      <c r="C853" s="42"/>
      <c r="D853" s="15"/>
      <c r="E853" s="42"/>
      <c r="F853" s="43"/>
      <c r="G853" s="15"/>
      <c r="H853" s="44"/>
      <c r="I853" s="15"/>
      <c r="J853" s="15"/>
      <c r="K853" s="15"/>
      <c r="L853" s="15"/>
      <c r="M853" s="15"/>
      <c r="N853" s="15"/>
      <c r="O853" s="15"/>
      <c r="P853" s="45"/>
      <c r="Q853" s="45"/>
      <c r="R853" s="45"/>
      <c r="S853" s="45"/>
    </row>
    <row r="854" spans="1:19">
      <c r="A854" s="15"/>
      <c r="B854" s="15"/>
      <c r="C854" s="42"/>
      <c r="D854" s="15"/>
      <c r="E854" s="42"/>
      <c r="F854" s="43"/>
      <c r="G854" s="15"/>
      <c r="H854" s="44"/>
      <c r="I854" s="15"/>
      <c r="J854" s="15"/>
      <c r="K854" s="15"/>
      <c r="L854" s="15"/>
      <c r="M854" s="15"/>
      <c r="N854" s="15"/>
      <c r="O854" s="15"/>
      <c r="P854" s="45"/>
      <c r="Q854" s="45"/>
      <c r="R854" s="45"/>
      <c r="S854" s="45"/>
    </row>
    <row r="855" spans="1:19">
      <c r="A855" s="15"/>
      <c r="B855" s="15"/>
      <c r="C855" s="42"/>
      <c r="D855" s="15"/>
      <c r="E855" s="42"/>
      <c r="F855" s="43"/>
      <c r="G855" s="15"/>
      <c r="H855" s="44"/>
      <c r="I855" s="15"/>
      <c r="J855" s="15"/>
      <c r="K855" s="15"/>
      <c r="L855" s="15"/>
      <c r="M855" s="15"/>
      <c r="N855" s="15"/>
      <c r="O855" s="15"/>
      <c r="P855" s="45"/>
      <c r="Q855" s="45"/>
      <c r="R855" s="45"/>
      <c r="S855" s="45"/>
    </row>
    <row r="856" spans="1:19">
      <c r="A856" s="15"/>
      <c r="B856" s="15"/>
      <c r="C856" s="42"/>
      <c r="D856" s="15"/>
      <c r="E856" s="42"/>
      <c r="F856" s="43"/>
      <c r="G856" s="15"/>
      <c r="H856" s="44"/>
      <c r="I856" s="15"/>
      <c r="J856" s="15"/>
      <c r="K856" s="15"/>
      <c r="L856" s="15"/>
      <c r="M856" s="15"/>
      <c r="N856" s="15"/>
      <c r="O856" s="15"/>
      <c r="P856" s="45"/>
      <c r="Q856" s="45"/>
      <c r="R856" s="45"/>
      <c r="S856" s="45"/>
    </row>
    <row r="857" spans="1:19">
      <c r="A857" s="15"/>
      <c r="B857" s="15"/>
      <c r="C857" s="42"/>
      <c r="D857" s="15"/>
      <c r="E857" s="42"/>
      <c r="F857" s="43"/>
      <c r="G857" s="15"/>
      <c r="H857" s="44"/>
      <c r="I857" s="15"/>
      <c r="J857" s="15"/>
      <c r="K857" s="15"/>
      <c r="L857" s="15"/>
      <c r="M857" s="15"/>
      <c r="N857" s="15"/>
      <c r="O857" s="15"/>
      <c r="P857" s="45"/>
      <c r="Q857" s="45"/>
      <c r="R857" s="45"/>
      <c r="S857" s="45"/>
    </row>
    <row r="858" spans="1:19">
      <c r="A858" s="15"/>
      <c r="B858" s="15"/>
      <c r="C858" s="42"/>
      <c r="D858" s="15"/>
      <c r="E858" s="42"/>
      <c r="F858" s="43"/>
      <c r="G858" s="15"/>
      <c r="H858" s="44"/>
      <c r="I858" s="15"/>
      <c r="J858" s="15"/>
      <c r="K858" s="15"/>
      <c r="L858" s="15"/>
      <c r="M858" s="15"/>
      <c r="N858" s="15"/>
      <c r="O858" s="15"/>
      <c r="P858" s="45"/>
      <c r="Q858" s="45"/>
      <c r="R858" s="45"/>
      <c r="S858" s="45"/>
    </row>
    <row r="859" spans="1:19">
      <c r="A859" s="15"/>
      <c r="B859" s="15"/>
      <c r="C859" s="42"/>
      <c r="D859" s="15"/>
      <c r="E859" s="42"/>
      <c r="F859" s="43"/>
      <c r="G859" s="15"/>
      <c r="H859" s="44"/>
      <c r="I859" s="15"/>
      <c r="J859" s="15"/>
      <c r="K859" s="15"/>
      <c r="L859" s="15"/>
      <c r="M859" s="15"/>
      <c r="N859" s="15"/>
      <c r="O859" s="15"/>
      <c r="P859" s="45"/>
      <c r="Q859" s="45"/>
      <c r="R859" s="45"/>
      <c r="S859" s="45"/>
    </row>
    <row r="860" spans="1:19">
      <c r="A860" s="15"/>
      <c r="B860" s="15"/>
      <c r="C860" s="42"/>
      <c r="D860" s="15"/>
      <c r="E860" s="42"/>
      <c r="F860" s="43"/>
      <c r="G860" s="15"/>
      <c r="H860" s="44"/>
      <c r="I860" s="15"/>
      <c r="J860" s="15"/>
      <c r="K860" s="15"/>
      <c r="L860" s="15"/>
      <c r="M860" s="15"/>
      <c r="N860" s="15"/>
      <c r="O860" s="15"/>
      <c r="P860" s="45"/>
      <c r="Q860" s="45"/>
      <c r="R860" s="45"/>
      <c r="S860" s="45"/>
    </row>
    <row r="861" spans="1:19">
      <c r="A861" s="15"/>
      <c r="B861" s="15"/>
      <c r="C861" s="42"/>
      <c r="D861" s="15"/>
      <c r="E861" s="42"/>
      <c r="F861" s="43"/>
      <c r="G861" s="15"/>
      <c r="H861" s="44"/>
      <c r="I861" s="15"/>
      <c r="J861" s="15"/>
      <c r="K861" s="15"/>
      <c r="L861" s="15"/>
      <c r="M861" s="15"/>
      <c r="N861" s="15"/>
      <c r="O861" s="15"/>
      <c r="P861" s="45"/>
      <c r="Q861" s="45"/>
      <c r="R861" s="45"/>
      <c r="S861" s="45"/>
    </row>
    <row r="862" spans="1:19">
      <c r="A862" s="15"/>
      <c r="B862" s="15"/>
      <c r="C862" s="42"/>
      <c r="D862" s="15"/>
      <c r="E862" s="42"/>
      <c r="F862" s="43"/>
      <c r="G862" s="15"/>
      <c r="H862" s="44"/>
      <c r="I862" s="15"/>
      <c r="J862" s="15"/>
      <c r="K862" s="15"/>
      <c r="L862" s="15"/>
      <c r="M862" s="15"/>
      <c r="N862" s="15"/>
      <c r="O862" s="15"/>
      <c r="P862" s="45"/>
      <c r="Q862" s="45"/>
      <c r="R862" s="45"/>
      <c r="S862" s="45"/>
    </row>
    <row r="863" spans="1:19">
      <c r="A863" s="15"/>
      <c r="B863" s="15"/>
      <c r="C863" s="42"/>
      <c r="D863" s="15"/>
      <c r="E863" s="42"/>
      <c r="F863" s="43"/>
      <c r="G863" s="15"/>
      <c r="H863" s="44"/>
      <c r="I863" s="15"/>
      <c r="J863" s="15"/>
      <c r="K863" s="15"/>
      <c r="L863" s="15"/>
      <c r="M863" s="15"/>
      <c r="N863" s="15"/>
      <c r="O863" s="15"/>
      <c r="P863" s="45"/>
      <c r="Q863" s="45"/>
      <c r="R863" s="45"/>
      <c r="S863" s="45"/>
    </row>
    <row r="864" spans="1:19">
      <c r="A864" s="15"/>
      <c r="B864" s="15"/>
      <c r="C864" s="42"/>
      <c r="D864" s="15"/>
      <c r="E864" s="42"/>
      <c r="F864" s="43"/>
      <c r="G864" s="15"/>
      <c r="H864" s="44"/>
      <c r="I864" s="15"/>
      <c r="J864" s="15"/>
      <c r="K864" s="15"/>
      <c r="L864" s="15"/>
      <c r="M864" s="15"/>
      <c r="N864" s="15"/>
      <c r="O864" s="15"/>
      <c r="P864" s="45"/>
      <c r="Q864" s="45"/>
      <c r="R864" s="45"/>
      <c r="S864" s="45"/>
    </row>
    <row r="865" spans="1:19">
      <c r="A865" s="15"/>
      <c r="B865" s="15"/>
      <c r="C865" s="42"/>
      <c r="D865" s="15"/>
      <c r="E865" s="42"/>
      <c r="F865" s="43"/>
      <c r="G865" s="15"/>
      <c r="H865" s="44"/>
      <c r="I865" s="15"/>
      <c r="J865" s="15"/>
      <c r="K865" s="15"/>
      <c r="L865" s="15"/>
      <c r="M865" s="15"/>
      <c r="N865" s="15"/>
      <c r="O865" s="15"/>
      <c r="P865" s="45"/>
      <c r="Q865" s="45"/>
      <c r="R865" s="45"/>
      <c r="S865" s="45"/>
    </row>
    <row r="866" spans="1:19">
      <c r="A866" s="15"/>
      <c r="B866" s="15"/>
      <c r="C866" s="42"/>
      <c r="D866" s="15"/>
      <c r="E866" s="42"/>
      <c r="F866" s="43"/>
      <c r="G866" s="15"/>
      <c r="H866" s="44"/>
      <c r="I866" s="15"/>
      <c r="J866" s="15"/>
      <c r="K866" s="15"/>
      <c r="L866" s="15"/>
      <c r="M866" s="15"/>
      <c r="N866" s="15"/>
      <c r="O866" s="15"/>
      <c r="P866" s="45"/>
      <c r="Q866" s="45"/>
      <c r="R866" s="45"/>
      <c r="S866" s="45"/>
    </row>
    <row r="867" spans="1:19">
      <c r="A867" s="15"/>
      <c r="B867" s="15"/>
      <c r="C867" s="42"/>
      <c r="D867" s="15"/>
      <c r="E867" s="42"/>
      <c r="F867" s="43"/>
      <c r="G867" s="15"/>
      <c r="H867" s="44"/>
      <c r="I867" s="15"/>
      <c r="J867" s="15"/>
      <c r="K867" s="15"/>
      <c r="L867" s="15"/>
      <c r="M867" s="15"/>
      <c r="N867" s="15"/>
      <c r="O867" s="15"/>
      <c r="P867" s="45"/>
      <c r="Q867" s="45"/>
      <c r="R867" s="45"/>
      <c r="S867" s="45"/>
    </row>
    <row r="868" spans="1:19">
      <c r="A868" s="15"/>
      <c r="B868" s="15"/>
      <c r="C868" s="42"/>
      <c r="D868" s="15"/>
      <c r="E868" s="42"/>
      <c r="F868" s="43"/>
      <c r="G868" s="15"/>
      <c r="H868" s="44"/>
      <c r="I868" s="15"/>
      <c r="J868" s="15"/>
      <c r="K868" s="15"/>
      <c r="L868" s="15"/>
      <c r="M868" s="15"/>
      <c r="N868" s="15"/>
      <c r="O868" s="15"/>
      <c r="P868" s="45"/>
      <c r="Q868" s="45"/>
      <c r="R868" s="45"/>
      <c r="S868" s="45"/>
    </row>
    <row r="869" spans="1:19">
      <c r="A869" s="15"/>
      <c r="B869" s="15"/>
      <c r="C869" s="42"/>
      <c r="D869" s="15"/>
      <c r="E869" s="42"/>
      <c r="F869" s="43"/>
      <c r="G869" s="15"/>
      <c r="H869" s="44"/>
      <c r="I869" s="15"/>
      <c r="J869" s="15"/>
      <c r="K869" s="15"/>
      <c r="L869" s="15"/>
      <c r="M869" s="15"/>
      <c r="N869" s="15"/>
      <c r="O869" s="15"/>
      <c r="P869" s="45"/>
      <c r="Q869" s="45"/>
      <c r="R869" s="45"/>
      <c r="S869" s="45"/>
    </row>
    <row r="870" spans="1:19">
      <c r="A870" s="15"/>
      <c r="B870" s="15"/>
      <c r="C870" s="42"/>
      <c r="D870" s="15"/>
      <c r="E870" s="42"/>
      <c r="F870" s="43"/>
      <c r="G870" s="15"/>
      <c r="H870" s="44"/>
      <c r="I870" s="15"/>
      <c r="J870" s="15"/>
      <c r="K870" s="15"/>
      <c r="L870" s="15"/>
      <c r="M870" s="15"/>
      <c r="N870" s="15"/>
      <c r="O870" s="15"/>
      <c r="P870" s="45"/>
      <c r="Q870" s="45"/>
      <c r="R870" s="45"/>
      <c r="S870" s="45"/>
    </row>
    <row r="871" spans="1:19">
      <c r="A871" s="15"/>
      <c r="B871" s="15"/>
      <c r="C871" s="42"/>
      <c r="D871" s="15"/>
      <c r="E871" s="42"/>
      <c r="F871" s="43"/>
      <c r="G871" s="15"/>
      <c r="H871" s="44"/>
      <c r="I871" s="15"/>
      <c r="J871" s="15"/>
      <c r="K871" s="15"/>
      <c r="L871" s="15"/>
      <c r="M871" s="15"/>
      <c r="N871" s="15"/>
      <c r="O871" s="15"/>
      <c r="P871" s="45"/>
      <c r="Q871" s="45"/>
      <c r="R871" s="45"/>
      <c r="S871" s="45"/>
    </row>
    <row r="872" spans="1:19">
      <c r="A872" s="15"/>
      <c r="B872" s="15"/>
      <c r="C872" s="42"/>
      <c r="D872" s="15"/>
      <c r="E872" s="42"/>
      <c r="F872" s="43"/>
      <c r="G872" s="15"/>
      <c r="H872" s="44"/>
      <c r="I872" s="15"/>
      <c r="J872" s="15"/>
      <c r="K872" s="15"/>
      <c r="L872" s="15"/>
      <c r="M872" s="15"/>
      <c r="N872" s="15"/>
      <c r="O872" s="15"/>
      <c r="P872" s="45"/>
      <c r="Q872" s="45"/>
      <c r="R872" s="45"/>
      <c r="S872" s="45"/>
    </row>
    <row r="873" spans="1:19">
      <c r="A873" s="15"/>
      <c r="B873" s="15"/>
      <c r="C873" s="42"/>
      <c r="D873" s="15"/>
      <c r="E873" s="42"/>
      <c r="F873" s="43"/>
      <c r="G873" s="15"/>
      <c r="H873" s="44"/>
      <c r="I873" s="15"/>
      <c r="J873" s="15"/>
      <c r="K873" s="15"/>
      <c r="L873" s="15"/>
      <c r="M873" s="15"/>
      <c r="N873" s="15"/>
      <c r="O873" s="15"/>
      <c r="P873" s="45"/>
      <c r="Q873" s="45"/>
      <c r="R873" s="45"/>
      <c r="S873" s="45"/>
    </row>
    <row r="874" spans="1:19">
      <c r="A874" s="15"/>
      <c r="B874" s="15"/>
      <c r="C874" s="42"/>
      <c r="D874" s="15"/>
      <c r="E874" s="42"/>
      <c r="F874" s="43"/>
      <c r="G874" s="15"/>
      <c r="H874" s="44"/>
      <c r="I874" s="15"/>
      <c r="J874" s="15"/>
      <c r="K874" s="15"/>
      <c r="L874" s="15"/>
      <c r="M874" s="15"/>
      <c r="N874" s="15"/>
      <c r="O874" s="15"/>
      <c r="P874" s="45"/>
      <c r="Q874" s="45"/>
      <c r="R874" s="45"/>
      <c r="S874" s="45"/>
    </row>
    <row r="875" spans="1:19">
      <c r="A875" s="15"/>
      <c r="B875" s="15"/>
      <c r="C875" s="42"/>
      <c r="D875" s="15"/>
      <c r="E875" s="42"/>
      <c r="F875" s="43"/>
      <c r="G875" s="15"/>
      <c r="H875" s="44"/>
      <c r="I875" s="15"/>
      <c r="J875" s="15"/>
      <c r="K875" s="15"/>
      <c r="L875" s="15"/>
      <c r="M875" s="15"/>
      <c r="N875" s="15"/>
      <c r="O875" s="15"/>
      <c r="P875" s="45"/>
      <c r="Q875" s="45"/>
      <c r="R875" s="45"/>
      <c r="S875" s="45"/>
    </row>
    <row r="876" spans="1:19">
      <c r="A876" s="15"/>
      <c r="B876" s="15"/>
      <c r="C876" s="42"/>
      <c r="D876" s="15"/>
      <c r="E876" s="42"/>
      <c r="F876" s="43"/>
      <c r="G876" s="15"/>
      <c r="H876" s="44"/>
      <c r="I876" s="15"/>
      <c r="J876" s="15"/>
      <c r="K876" s="15"/>
      <c r="L876" s="15"/>
      <c r="M876" s="15"/>
      <c r="N876" s="15"/>
      <c r="O876" s="15"/>
      <c r="P876" s="45"/>
      <c r="Q876" s="45"/>
      <c r="R876" s="45"/>
      <c r="S876" s="45"/>
    </row>
    <row r="877" spans="1:19">
      <c r="A877" s="15"/>
      <c r="B877" s="15"/>
      <c r="C877" s="42"/>
      <c r="D877" s="15"/>
      <c r="E877" s="42"/>
      <c r="F877" s="43"/>
      <c r="G877" s="15"/>
      <c r="H877" s="44"/>
      <c r="I877" s="15"/>
      <c r="J877" s="15"/>
      <c r="K877" s="15"/>
      <c r="L877" s="15"/>
      <c r="M877" s="15"/>
      <c r="N877" s="15"/>
      <c r="O877" s="15"/>
      <c r="P877" s="45"/>
      <c r="Q877" s="45"/>
      <c r="R877" s="45"/>
      <c r="S877" s="45"/>
    </row>
    <row r="878" spans="1:19">
      <c r="A878" s="15"/>
      <c r="B878" s="15"/>
      <c r="C878" s="42"/>
      <c r="D878" s="15"/>
      <c r="E878" s="42"/>
      <c r="F878" s="43"/>
      <c r="G878" s="15"/>
      <c r="H878" s="44"/>
      <c r="I878" s="15"/>
      <c r="J878" s="15"/>
      <c r="K878" s="15"/>
      <c r="L878" s="15"/>
      <c r="M878" s="15"/>
      <c r="N878" s="15"/>
      <c r="O878" s="15"/>
      <c r="P878" s="45"/>
      <c r="Q878" s="45"/>
      <c r="R878" s="45"/>
      <c r="S878" s="45"/>
    </row>
    <row r="879" spans="1:19">
      <c r="A879" s="15"/>
      <c r="B879" s="15"/>
      <c r="C879" s="42"/>
      <c r="D879" s="15"/>
      <c r="E879" s="42"/>
      <c r="F879" s="43"/>
      <c r="G879" s="15"/>
      <c r="H879" s="44"/>
      <c r="I879" s="15"/>
      <c r="J879" s="15"/>
      <c r="K879" s="15"/>
      <c r="L879" s="15"/>
      <c r="M879" s="15"/>
      <c r="N879" s="15"/>
      <c r="O879" s="15"/>
      <c r="P879" s="45"/>
      <c r="Q879" s="45"/>
      <c r="R879" s="45"/>
      <c r="S879" s="45"/>
    </row>
    <row r="880" spans="1:19">
      <c r="A880" s="15"/>
      <c r="B880" s="15"/>
      <c r="C880" s="42"/>
      <c r="D880" s="15"/>
      <c r="E880" s="42"/>
      <c r="F880" s="43"/>
      <c r="G880" s="15"/>
      <c r="H880" s="44"/>
      <c r="I880" s="15"/>
      <c r="J880" s="15"/>
      <c r="K880" s="15"/>
      <c r="L880" s="15"/>
      <c r="M880" s="15"/>
      <c r="N880" s="15"/>
      <c r="O880" s="15"/>
      <c r="P880" s="45"/>
      <c r="Q880" s="45"/>
      <c r="R880" s="45"/>
      <c r="S880" s="45"/>
    </row>
    <row r="881" spans="1:19">
      <c r="A881" s="15"/>
      <c r="B881" s="15"/>
      <c r="C881" s="42"/>
      <c r="D881" s="15"/>
      <c r="E881" s="42"/>
      <c r="F881" s="43"/>
      <c r="G881" s="15"/>
      <c r="H881" s="44"/>
      <c r="I881" s="15"/>
      <c r="J881" s="15"/>
      <c r="K881" s="15"/>
      <c r="L881" s="15"/>
      <c r="M881" s="15"/>
      <c r="N881" s="15"/>
      <c r="O881" s="15"/>
      <c r="P881" s="45"/>
      <c r="Q881" s="45"/>
      <c r="R881" s="45"/>
      <c r="S881" s="45"/>
    </row>
    <row r="882" spans="1:19">
      <c r="A882" s="15"/>
      <c r="B882" s="15"/>
      <c r="C882" s="42"/>
      <c r="D882" s="15"/>
      <c r="E882" s="42"/>
      <c r="F882" s="43"/>
      <c r="G882" s="15"/>
      <c r="H882" s="44"/>
      <c r="I882" s="15"/>
      <c r="J882" s="15"/>
      <c r="K882" s="15"/>
      <c r="L882" s="15"/>
      <c r="M882" s="15"/>
      <c r="N882" s="15"/>
      <c r="O882" s="15"/>
      <c r="P882" s="45"/>
      <c r="Q882" s="45"/>
      <c r="R882" s="45"/>
      <c r="S882" s="45"/>
    </row>
    <row r="883" spans="1:19">
      <c r="A883" s="15"/>
      <c r="B883" s="15"/>
      <c r="C883" s="42"/>
      <c r="D883" s="15"/>
      <c r="E883" s="42"/>
      <c r="F883" s="43"/>
      <c r="G883" s="15"/>
      <c r="H883" s="44"/>
      <c r="I883" s="15"/>
      <c r="J883" s="15"/>
      <c r="K883" s="15"/>
      <c r="L883" s="15"/>
      <c r="M883" s="15"/>
      <c r="N883" s="15"/>
      <c r="O883" s="15"/>
      <c r="P883" s="45"/>
      <c r="Q883" s="45"/>
      <c r="R883" s="45"/>
      <c r="S883" s="45"/>
    </row>
    <row r="884" spans="1:19">
      <c r="A884" s="15"/>
      <c r="B884" s="15"/>
      <c r="C884" s="42"/>
      <c r="D884" s="15"/>
      <c r="E884" s="42"/>
      <c r="F884" s="43"/>
      <c r="G884" s="15"/>
      <c r="H884" s="44"/>
      <c r="I884" s="15"/>
      <c r="J884" s="15"/>
      <c r="K884" s="15"/>
      <c r="L884" s="15"/>
      <c r="M884" s="15"/>
      <c r="N884" s="15"/>
      <c r="O884" s="15"/>
      <c r="P884" s="45"/>
      <c r="Q884" s="45"/>
      <c r="R884" s="45"/>
      <c r="S884" s="45"/>
    </row>
    <row r="885" spans="1:19">
      <c r="A885" s="15"/>
      <c r="B885" s="15"/>
      <c r="C885" s="42"/>
      <c r="D885" s="15"/>
      <c r="E885" s="42"/>
      <c r="F885" s="43"/>
      <c r="G885" s="15"/>
      <c r="H885" s="44"/>
      <c r="I885" s="15"/>
      <c r="J885" s="15"/>
      <c r="K885" s="15"/>
      <c r="L885" s="15"/>
      <c r="M885" s="15"/>
      <c r="N885" s="15"/>
      <c r="O885" s="15"/>
      <c r="P885" s="45"/>
      <c r="Q885" s="45"/>
      <c r="R885" s="45"/>
      <c r="S885" s="45"/>
    </row>
    <row r="886" spans="1:19">
      <c r="A886" s="15"/>
      <c r="B886" s="15"/>
      <c r="C886" s="42"/>
      <c r="D886" s="15"/>
      <c r="E886" s="42"/>
      <c r="F886" s="43"/>
      <c r="G886" s="15"/>
      <c r="H886" s="44"/>
      <c r="I886" s="15"/>
      <c r="J886" s="15"/>
      <c r="K886" s="15"/>
      <c r="L886" s="15"/>
      <c r="M886" s="15"/>
      <c r="N886" s="15"/>
      <c r="O886" s="15"/>
      <c r="P886" s="45"/>
      <c r="Q886" s="45"/>
      <c r="R886" s="45"/>
      <c r="S886" s="45"/>
    </row>
    <row r="887" spans="1:19">
      <c r="A887" s="15"/>
      <c r="B887" s="15"/>
      <c r="C887" s="42"/>
      <c r="D887" s="15"/>
      <c r="E887" s="42"/>
      <c r="F887" s="43"/>
      <c r="G887" s="15"/>
      <c r="H887" s="44"/>
      <c r="I887" s="15"/>
      <c r="J887" s="15"/>
      <c r="K887" s="15"/>
      <c r="L887" s="15"/>
      <c r="M887" s="15"/>
      <c r="N887" s="15"/>
      <c r="O887" s="15"/>
      <c r="P887" s="45"/>
      <c r="Q887" s="45"/>
      <c r="R887" s="45"/>
      <c r="S887" s="45"/>
    </row>
    <row r="888" spans="1:19">
      <c r="A888" s="15"/>
      <c r="B888" s="15"/>
      <c r="C888" s="42"/>
      <c r="D888" s="15"/>
      <c r="E888" s="42"/>
      <c r="F888" s="43"/>
      <c r="G888" s="15"/>
      <c r="H888" s="44"/>
      <c r="I888" s="15"/>
      <c r="J888" s="15"/>
      <c r="K888" s="15"/>
      <c r="L888" s="15"/>
      <c r="M888" s="15"/>
      <c r="N888" s="15"/>
      <c r="O888" s="15"/>
      <c r="P888" s="45"/>
      <c r="Q888" s="45"/>
      <c r="R888" s="45"/>
      <c r="S888" s="45"/>
    </row>
    <row r="889" spans="1:19">
      <c r="A889" s="15"/>
      <c r="B889" s="15"/>
      <c r="C889" s="42"/>
      <c r="D889" s="15"/>
      <c r="E889" s="42"/>
      <c r="F889" s="43"/>
      <c r="G889" s="15"/>
      <c r="H889" s="44"/>
      <c r="I889" s="15"/>
      <c r="J889" s="15"/>
      <c r="K889" s="15"/>
      <c r="L889" s="15"/>
      <c r="M889" s="15"/>
      <c r="N889" s="15"/>
      <c r="O889" s="15"/>
      <c r="P889" s="45"/>
      <c r="Q889" s="45"/>
      <c r="R889" s="45"/>
      <c r="S889" s="45"/>
    </row>
    <row r="890" spans="1:19">
      <c r="A890" s="15"/>
      <c r="B890" s="15"/>
      <c r="C890" s="42"/>
      <c r="D890" s="15"/>
      <c r="E890" s="42"/>
      <c r="F890" s="43"/>
      <c r="G890" s="15"/>
      <c r="H890" s="44"/>
      <c r="I890" s="15"/>
      <c r="J890" s="15"/>
      <c r="K890" s="15"/>
      <c r="L890" s="15"/>
      <c r="M890" s="15"/>
      <c r="N890" s="15"/>
      <c r="O890" s="15"/>
      <c r="P890" s="45"/>
      <c r="Q890" s="45"/>
      <c r="R890" s="45"/>
      <c r="S890" s="45"/>
    </row>
    <row r="891" spans="1:19">
      <c r="A891" s="15"/>
      <c r="B891" s="15"/>
      <c r="C891" s="42"/>
      <c r="D891" s="15"/>
      <c r="E891" s="42"/>
      <c r="F891" s="43"/>
      <c r="G891" s="15"/>
      <c r="H891" s="44"/>
      <c r="I891" s="15"/>
      <c r="J891" s="15"/>
      <c r="K891" s="15"/>
      <c r="L891" s="15"/>
      <c r="M891" s="15"/>
      <c r="N891" s="15"/>
      <c r="O891" s="15"/>
      <c r="P891" s="45"/>
      <c r="Q891" s="45"/>
      <c r="R891" s="45"/>
      <c r="S891" s="45"/>
    </row>
    <row r="892" spans="1:19">
      <c r="A892" s="15"/>
      <c r="B892" s="15"/>
      <c r="C892" s="42"/>
      <c r="D892" s="15"/>
      <c r="E892" s="42"/>
      <c r="F892" s="43"/>
      <c r="G892" s="15"/>
      <c r="H892" s="44"/>
      <c r="I892" s="15"/>
      <c r="J892" s="15"/>
      <c r="K892" s="15"/>
      <c r="L892" s="15"/>
      <c r="M892" s="15"/>
      <c r="N892" s="15"/>
      <c r="O892" s="15"/>
      <c r="P892" s="45"/>
      <c r="Q892" s="45"/>
      <c r="R892" s="45"/>
      <c r="S892" s="45"/>
    </row>
    <row r="893" spans="1:19">
      <c r="A893" s="15"/>
      <c r="B893" s="15"/>
      <c r="C893" s="42"/>
      <c r="D893" s="15"/>
      <c r="E893" s="42"/>
      <c r="F893" s="43"/>
      <c r="G893" s="15"/>
      <c r="H893" s="44"/>
      <c r="I893" s="15"/>
      <c r="J893" s="15"/>
      <c r="K893" s="15"/>
      <c r="L893" s="15"/>
      <c r="M893" s="15"/>
      <c r="N893" s="15"/>
      <c r="O893" s="15"/>
      <c r="P893" s="45"/>
      <c r="Q893" s="45"/>
      <c r="R893" s="45"/>
      <c r="S893" s="45"/>
    </row>
    <row r="894" spans="1:19">
      <c r="A894" s="15"/>
      <c r="B894" s="15"/>
      <c r="C894" s="42"/>
      <c r="D894" s="15"/>
      <c r="E894" s="42"/>
      <c r="F894" s="43"/>
      <c r="G894" s="15"/>
      <c r="H894" s="44"/>
      <c r="I894" s="15"/>
      <c r="J894" s="15"/>
      <c r="K894" s="15"/>
      <c r="L894" s="15"/>
      <c r="M894" s="15"/>
      <c r="N894" s="15"/>
      <c r="O894" s="15"/>
      <c r="P894" s="45"/>
      <c r="Q894" s="45"/>
      <c r="R894" s="45"/>
      <c r="S894" s="45"/>
    </row>
    <row r="895" spans="1:19">
      <c r="A895" s="15"/>
      <c r="B895" s="15"/>
      <c r="C895" s="42"/>
      <c r="D895" s="15"/>
      <c r="E895" s="42"/>
      <c r="F895" s="43"/>
      <c r="G895" s="15"/>
      <c r="H895" s="44"/>
      <c r="I895" s="15"/>
      <c r="J895" s="15"/>
      <c r="K895" s="15"/>
      <c r="L895" s="15"/>
      <c r="M895" s="15"/>
      <c r="N895" s="15"/>
      <c r="O895" s="15"/>
      <c r="P895" s="45"/>
      <c r="Q895" s="45"/>
      <c r="R895" s="45"/>
      <c r="S895" s="45"/>
    </row>
    <row r="896" spans="1:19">
      <c r="A896" s="15"/>
      <c r="B896" s="15"/>
      <c r="C896" s="42"/>
      <c r="D896" s="15"/>
      <c r="E896" s="42"/>
      <c r="F896" s="43"/>
      <c r="G896" s="15"/>
      <c r="H896" s="44"/>
      <c r="I896" s="15"/>
      <c r="J896" s="15"/>
      <c r="K896" s="15"/>
      <c r="L896" s="15"/>
      <c r="M896" s="15"/>
      <c r="N896" s="15"/>
      <c r="O896" s="15"/>
      <c r="P896" s="45"/>
      <c r="Q896" s="45"/>
      <c r="R896" s="45"/>
      <c r="S896" s="45"/>
    </row>
    <row r="897" spans="1:19">
      <c r="A897" s="15"/>
      <c r="B897" s="15"/>
      <c r="C897" s="42"/>
      <c r="D897" s="15"/>
      <c r="E897" s="42"/>
      <c r="F897" s="43"/>
      <c r="G897" s="15"/>
      <c r="H897" s="44"/>
      <c r="I897" s="15"/>
      <c r="J897" s="15"/>
      <c r="K897" s="15"/>
      <c r="L897" s="15"/>
      <c r="M897" s="15"/>
      <c r="N897" s="15"/>
      <c r="O897" s="15"/>
      <c r="P897" s="45"/>
      <c r="Q897" s="45"/>
      <c r="R897" s="45"/>
      <c r="S897" s="45"/>
    </row>
    <row r="898" spans="1:19">
      <c r="A898" s="15"/>
      <c r="B898" s="15"/>
      <c r="C898" s="42"/>
      <c r="D898" s="15"/>
      <c r="E898" s="42"/>
      <c r="F898" s="43"/>
      <c r="G898" s="15"/>
      <c r="H898" s="44"/>
      <c r="I898" s="15"/>
      <c r="J898" s="15"/>
      <c r="K898" s="15"/>
      <c r="L898" s="15"/>
      <c r="M898" s="15"/>
      <c r="N898" s="15"/>
      <c r="O898" s="15"/>
      <c r="P898" s="45"/>
      <c r="Q898" s="45"/>
      <c r="R898" s="45"/>
      <c r="S898" s="45"/>
    </row>
    <row r="899" spans="1:19">
      <c r="A899" s="15"/>
      <c r="B899" s="15"/>
      <c r="C899" s="42"/>
      <c r="D899" s="15"/>
      <c r="E899" s="42"/>
      <c r="F899" s="43"/>
      <c r="G899" s="15"/>
      <c r="H899" s="44"/>
      <c r="I899" s="15"/>
      <c r="J899" s="15"/>
      <c r="K899" s="15"/>
      <c r="L899" s="15"/>
      <c r="M899" s="15"/>
      <c r="N899" s="15"/>
      <c r="O899" s="15"/>
      <c r="P899" s="45"/>
      <c r="Q899" s="45"/>
      <c r="R899" s="45"/>
      <c r="S899" s="45"/>
    </row>
    <row r="900" spans="1:19">
      <c r="A900" s="15"/>
      <c r="B900" s="15"/>
      <c r="C900" s="42"/>
      <c r="D900" s="15"/>
      <c r="E900" s="42"/>
      <c r="F900" s="43"/>
      <c r="G900" s="15"/>
      <c r="H900" s="44"/>
      <c r="I900" s="15"/>
      <c r="J900" s="15"/>
      <c r="K900" s="15"/>
      <c r="L900" s="15"/>
      <c r="M900" s="15"/>
      <c r="N900" s="15"/>
      <c r="O900" s="15"/>
      <c r="P900" s="45"/>
      <c r="Q900" s="45"/>
      <c r="R900" s="45"/>
      <c r="S900" s="45"/>
    </row>
    <row r="901" spans="1:19">
      <c r="A901" s="15"/>
      <c r="B901" s="15"/>
      <c r="C901" s="42"/>
      <c r="D901" s="15"/>
      <c r="E901" s="42"/>
      <c r="F901" s="43"/>
      <c r="G901" s="15"/>
      <c r="H901" s="44"/>
      <c r="I901" s="15"/>
      <c r="J901" s="15"/>
      <c r="K901" s="15"/>
      <c r="L901" s="15"/>
      <c r="M901" s="15"/>
      <c r="N901" s="15"/>
      <c r="O901" s="15"/>
      <c r="P901" s="45"/>
      <c r="Q901" s="45"/>
      <c r="R901" s="45"/>
      <c r="S901" s="45"/>
    </row>
    <row r="902" spans="1:19">
      <c r="A902" s="15"/>
      <c r="B902" s="15"/>
      <c r="C902" s="42"/>
      <c r="D902" s="15"/>
      <c r="E902" s="42"/>
      <c r="F902" s="43"/>
      <c r="G902" s="15"/>
      <c r="H902" s="44"/>
      <c r="I902" s="15"/>
      <c r="J902" s="15"/>
      <c r="K902" s="15"/>
      <c r="L902" s="15"/>
      <c r="M902" s="15"/>
      <c r="N902" s="15"/>
      <c r="O902" s="15"/>
      <c r="P902" s="45"/>
      <c r="Q902" s="45"/>
      <c r="R902" s="45"/>
      <c r="S902" s="45"/>
    </row>
    <row r="903" spans="1:19">
      <c r="A903" s="15"/>
      <c r="B903" s="15"/>
      <c r="C903" s="42"/>
      <c r="D903" s="15"/>
      <c r="E903" s="42"/>
      <c r="F903" s="43"/>
      <c r="G903" s="15"/>
      <c r="H903" s="44"/>
      <c r="I903" s="15"/>
      <c r="J903" s="15"/>
      <c r="K903" s="15"/>
      <c r="L903" s="15"/>
      <c r="M903" s="15"/>
      <c r="N903" s="15"/>
      <c r="O903" s="15"/>
      <c r="P903" s="45"/>
      <c r="Q903" s="45"/>
      <c r="R903" s="45"/>
      <c r="S903" s="45"/>
    </row>
    <row r="904" spans="1:19">
      <c r="A904" s="15"/>
      <c r="B904" s="15"/>
      <c r="C904" s="42"/>
      <c r="D904" s="15"/>
      <c r="E904" s="42"/>
      <c r="F904" s="43"/>
      <c r="G904" s="15"/>
      <c r="H904" s="44"/>
      <c r="I904" s="15"/>
      <c r="J904" s="15"/>
      <c r="K904" s="15"/>
      <c r="L904" s="15"/>
      <c r="M904" s="15"/>
      <c r="N904" s="15"/>
      <c r="O904" s="15"/>
      <c r="P904" s="45"/>
      <c r="Q904" s="45"/>
      <c r="R904" s="45"/>
      <c r="S904" s="45"/>
    </row>
    <row r="905" spans="1:19">
      <c r="A905" s="15"/>
      <c r="B905" s="15"/>
      <c r="C905" s="42"/>
      <c r="D905" s="15"/>
      <c r="E905" s="42"/>
      <c r="F905" s="43"/>
      <c r="G905" s="15"/>
      <c r="H905" s="44"/>
      <c r="I905" s="15"/>
      <c r="J905" s="15"/>
      <c r="K905" s="15"/>
      <c r="L905" s="15"/>
      <c r="M905" s="15"/>
      <c r="N905" s="15"/>
      <c r="O905" s="15"/>
      <c r="P905" s="45"/>
      <c r="Q905" s="45"/>
      <c r="R905" s="45"/>
      <c r="S905" s="45"/>
    </row>
    <row r="906" spans="1:19">
      <c r="A906" s="15"/>
      <c r="B906" s="15"/>
      <c r="C906" s="42"/>
      <c r="D906" s="15"/>
      <c r="E906" s="42"/>
      <c r="F906" s="43"/>
      <c r="G906" s="15"/>
      <c r="H906" s="44"/>
      <c r="I906" s="15"/>
      <c r="J906" s="15"/>
      <c r="K906" s="15"/>
      <c r="L906" s="15"/>
      <c r="M906" s="15"/>
      <c r="N906" s="15"/>
      <c r="O906" s="15"/>
      <c r="P906" s="45"/>
      <c r="Q906" s="45"/>
      <c r="R906" s="45"/>
      <c r="S906" s="45"/>
    </row>
    <row r="907" spans="1:19">
      <c r="A907" s="15"/>
      <c r="B907" s="15"/>
      <c r="C907" s="42"/>
      <c r="D907" s="15"/>
      <c r="E907" s="42"/>
      <c r="F907" s="43"/>
      <c r="G907" s="15"/>
      <c r="H907" s="44"/>
      <c r="I907" s="15"/>
      <c r="J907" s="15"/>
      <c r="K907" s="15"/>
      <c r="L907" s="15"/>
      <c r="M907" s="15"/>
      <c r="N907" s="15"/>
      <c r="O907" s="15"/>
      <c r="P907" s="45"/>
      <c r="Q907" s="45"/>
      <c r="R907" s="45"/>
      <c r="S907" s="45"/>
    </row>
    <row r="908" spans="1:19">
      <c r="A908" s="15"/>
      <c r="B908" s="15"/>
      <c r="C908" s="42"/>
      <c r="D908" s="15"/>
      <c r="E908" s="42"/>
      <c r="F908" s="43"/>
      <c r="G908" s="15"/>
      <c r="H908" s="44"/>
      <c r="I908" s="15"/>
      <c r="J908" s="15"/>
      <c r="K908" s="15"/>
      <c r="L908" s="15"/>
      <c r="M908" s="15"/>
      <c r="N908" s="15"/>
      <c r="O908" s="15"/>
      <c r="P908" s="45"/>
      <c r="Q908" s="45"/>
      <c r="R908" s="45"/>
      <c r="S908" s="45"/>
    </row>
    <row r="909" spans="1:19">
      <c r="A909" s="15"/>
      <c r="B909" s="15"/>
      <c r="C909" s="42"/>
      <c r="D909" s="15"/>
      <c r="E909" s="42"/>
      <c r="F909" s="43"/>
      <c r="G909" s="15"/>
      <c r="H909" s="44"/>
      <c r="I909" s="15"/>
      <c r="J909" s="15"/>
      <c r="K909" s="15"/>
      <c r="L909" s="15"/>
      <c r="M909" s="15"/>
      <c r="N909" s="15"/>
      <c r="O909" s="15"/>
      <c r="P909" s="45"/>
      <c r="Q909" s="45"/>
      <c r="R909" s="45"/>
      <c r="S909" s="45"/>
    </row>
    <row r="910" spans="1:19">
      <c r="A910" s="15"/>
      <c r="B910" s="15"/>
      <c r="C910" s="42"/>
      <c r="D910" s="15"/>
      <c r="E910" s="42"/>
      <c r="F910" s="43"/>
      <c r="G910" s="15"/>
      <c r="H910" s="44"/>
      <c r="I910" s="15"/>
      <c r="J910" s="15"/>
      <c r="K910" s="15"/>
      <c r="L910" s="15"/>
      <c r="M910" s="15"/>
      <c r="N910" s="15"/>
      <c r="O910" s="15"/>
      <c r="P910" s="45"/>
      <c r="Q910" s="45"/>
      <c r="R910" s="45"/>
      <c r="S910" s="45"/>
    </row>
    <row r="911" spans="1:19">
      <c r="A911" s="15"/>
      <c r="B911" s="15"/>
      <c r="C911" s="42"/>
      <c r="D911" s="15"/>
      <c r="E911" s="42"/>
      <c r="F911" s="43"/>
      <c r="G911" s="15"/>
      <c r="H911" s="44"/>
      <c r="I911" s="15"/>
      <c r="J911" s="15"/>
      <c r="K911" s="15"/>
      <c r="L911" s="15"/>
      <c r="M911" s="15"/>
      <c r="N911" s="15"/>
      <c r="O911" s="15"/>
      <c r="P911" s="45"/>
      <c r="Q911" s="45"/>
      <c r="R911" s="45"/>
      <c r="S911" s="45"/>
    </row>
    <row r="912" spans="1:19">
      <c r="A912" s="15"/>
      <c r="B912" s="15"/>
      <c r="C912" s="42"/>
      <c r="D912" s="15"/>
      <c r="E912" s="42"/>
      <c r="F912" s="43"/>
      <c r="G912" s="15"/>
      <c r="H912" s="44"/>
      <c r="I912" s="15"/>
      <c r="J912" s="15"/>
      <c r="K912" s="15"/>
      <c r="L912" s="15"/>
      <c r="M912" s="15"/>
      <c r="N912" s="15"/>
      <c r="O912" s="15"/>
      <c r="P912" s="45"/>
      <c r="Q912" s="45"/>
      <c r="R912" s="45"/>
      <c r="S912" s="45"/>
    </row>
    <row r="913" spans="1:19">
      <c r="A913" s="15"/>
      <c r="B913" s="15"/>
      <c r="C913" s="42"/>
      <c r="D913" s="15"/>
      <c r="E913" s="42"/>
      <c r="F913" s="43"/>
      <c r="G913" s="15"/>
      <c r="H913" s="44"/>
      <c r="I913" s="15"/>
      <c r="J913" s="15"/>
      <c r="K913" s="15"/>
      <c r="L913" s="15"/>
      <c r="M913" s="15"/>
      <c r="N913" s="15"/>
      <c r="O913" s="15"/>
      <c r="P913" s="45"/>
      <c r="Q913" s="45"/>
      <c r="R913" s="45"/>
      <c r="S913" s="45"/>
    </row>
    <row r="914" spans="1:19">
      <c r="A914" s="15"/>
      <c r="B914" s="15"/>
      <c r="C914" s="42"/>
      <c r="D914" s="15"/>
      <c r="E914" s="42"/>
      <c r="F914" s="43"/>
      <c r="G914" s="15"/>
      <c r="H914" s="44"/>
      <c r="I914" s="15"/>
      <c r="J914" s="15"/>
      <c r="K914" s="15"/>
      <c r="L914" s="15"/>
      <c r="M914" s="15"/>
      <c r="N914" s="15"/>
      <c r="O914" s="15"/>
      <c r="P914" s="45"/>
      <c r="Q914" s="45"/>
      <c r="R914" s="45"/>
      <c r="S914" s="45"/>
    </row>
    <row r="915" spans="1:19">
      <c r="A915" s="15"/>
      <c r="B915" s="15"/>
      <c r="C915" s="42"/>
      <c r="D915" s="15"/>
      <c r="E915" s="42"/>
      <c r="F915" s="43"/>
      <c r="G915" s="15"/>
      <c r="H915" s="44"/>
      <c r="I915" s="15"/>
      <c r="J915" s="15"/>
      <c r="K915" s="15"/>
      <c r="L915" s="15"/>
      <c r="M915" s="15"/>
      <c r="N915" s="15"/>
      <c r="O915" s="15"/>
      <c r="P915" s="45"/>
      <c r="Q915" s="45"/>
      <c r="R915" s="45"/>
      <c r="S915" s="45"/>
    </row>
    <row r="916" spans="1:19">
      <c r="A916" s="15"/>
      <c r="B916" s="15"/>
      <c r="C916" s="42"/>
      <c r="D916" s="15"/>
      <c r="E916" s="42"/>
      <c r="F916" s="43"/>
      <c r="G916" s="15"/>
      <c r="H916" s="44"/>
      <c r="I916" s="15"/>
      <c r="J916" s="15"/>
      <c r="K916" s="15"/>
      <c r="L916" s="15"/>
      <c r="M916" s="15"/>
      <c r="N916" s="15"/>
      <c r="O916" s="15"/>
      <c r="P916" s="45"/>
      <c r="Q916" s="45"/>
      <c r="R916" s="45"/>
      <c r="S916" s="45"/>
    </row>
    <row r="917" spans="1:19">
      <c r="A917" s="15"/>
      <c r="B917" s="15"/>
      <c r="C917" s="42"/>
      <c r="D917" s="15"/>
      <c r="E917" s="42"/>
      <c r="F917" s="43"/>
      <c r="G917" s="15"/>
      <c r="H917" s="44"/>
      <c r="I917" s="15"/>
      <c r="J917" s="15"/>
      <c r="K917" s="15"/>
      <c r="L917" s="15"/>
      <c r="M917" s="15"/>
      <c r="N917" s="15"/>
      <c r="O917" s="15"/>
      <c r="P917" s="45"/>
      <c r="Q917" s="45"/>
      <c r="R917" s="45"/>
      <c r="S917" s="45"/>
    </row>
    <row r="918" spans="1:19">
      <c r="A918" s="15"/>
      <c r="B918" s="15"/>
      <c r="C918" s="42"/>
      <c r="D918" s="15"/>
      <c r="E918" s="42"/>
      <c r="F918" s="43"/>
      <c r="G918" s="15"/>
      <c r="H918" s="44"/>
      <c r="I918" s="15"/>
      <c r="J918" s="15"/>
      <c r="K918" s="15"/>
      <c r="L918" s="15"/>
      <c r="M918" s="15"/>
      <c r="N918" s="15"/>
      <c r="O918" s="15"/>
      <c r="P918" s="45"/>
      <c r="Q918" s="45"/>
      <c r="R918" s="45"/>
      <c r="S918" s="45"/>
    </row>
    <row r="919" spans="1:19">
      <c r="A919" s="15"/>
      <c r="B919" s="15"/>
      <c r="C919" s="42"/>
      <c r="D919" s="15"/>
      <c r="E919" s="42"/>
      <c r="F919" s="43"/>
      <c r="G919" s="15"/>
      <c r="H919" s="44"/>
      <c r="I919" s="15"/>
      <c r="J919" s="15"/>
      <c r="K919" s="15"/>
      <c r="L919" s="15"/>
      <c r="M919" s="15"/>
      <c r="N919" s="15"/>
      <c r="O919" s="15"/>
      <c r="P919" s="45"/>
      <c r="Q919" s="45"/>
      <c r="R919" s="45"/>
      <c r="S919" s="45"/>
    </row>
    <row r="920" spans="1:19">
      <c r="A920" s="15"/>
      <c r="B920" s="15"/>
      <c r="C920" s="42"/>
      <c r="D920" s="15"/>
      <c r="E920" s="42"/>
      <c r="F920" s="43"/>
      <c r="G920" s="15"/>
      <c r="H920" s="44"/>
      <c r="I920" s="15"/>
      <c r="J920" s="15"/>
      <c r="K920" s="15"/>
      <c r="L920" s="15"/>
      <c r="M920" s="15"/>
      <c r="N920" s="15"/>
      <c r="O920" s="15"/>
      <c r="P920" s="45"/>
      <c r="Q920" s="45"/>
      <c r="R920" s="45"/>
      <c r="S920" s="45"/>
    </row>
    <row r="921" spans="1:19">
      <c r="A921" s="15"/>
      <c r="B921" s="15"/>
      <c r="C921" s="42"/>
      <c r="D921" s="15"/>
      <c r="E921" s="42"/>
      <c r="F921" s="43"/>
      <c r="G921" s="15"/>
      <c r="H921" s="44"/>
      <c r="I921" s="15"/>
      <c r="J921" s="15"/>
      <c r="K921" s="15"/>
      <c r="L921" s="15"/>
      <c r="M921" s="15"/>
      <c r="N921" s="15"/>
      <c r="O921" s="15"/>
      <c r="P921" s="45"/>
      <c r="Q921" s="45"/>
      <c r="R921" s="45"/>
      <c r="S921" s="45"/>
    </row>
    <row r="922" spans="1:19">
      <c r="A922" s="15"/>
      <c r="B922" s="15"/>
      <c r="C922" s="42"/>
      <c r="D922" s="15"/>
      <c r="E922" s="42"/>
      <c r="F922" s="43"/>
      <c r="G922" s="15"/>
      <c r="H922" s="44"/>
      <c r="I922" s="15"/>
      <c r="J922" s="15"/>
      <c r="K922" s="15"/>
      <c r="L922" s="15"/>
      <c r="M922" s="15"/>
      <c r="N922" s="15"/>
      <c r="O922" s="15"/>
      <c r="P922" s="45"/>
      <c r="Q922" s="45"/>
      <c r="R922" s="45"/>
      <c r="S922" s="45"/>
    </row>
    <row r="923" spans="1:19">
      <c r="A923" s="15"/>
      <c r="B923" s="15"/>
      <c r="C923" s="42"/>
      <c r="D923" s="15"/>
      <c r="E923" s="42"/>
      <c r="F923" s="43"/>
      <c r="G923" s="15"/>
      <c r="H923" s="44"/>
      <c r="I923" s="15"/>
      <c r="J923" s="15"/>
      <c r="K923" s="15"/>
      <c r="L923" s="15"/>
      <c r="M923" s="15"/>
      <c r="N923" s="15"/>
      <c r="O923" s="15"/>
      <c r="P923" s="45"/>
      <c r="Q923" s="45"/>
      <c r="R923" s="45"/>
      <c r="S923" s="45"/>
    </row>
    <row r="924" spans="1:19">
      <c r="A924" s="15"/>
      <c r="B924" s="15"/>
      <c r="C924" s="42"/>
      <c r="D924" s="15"/>
      <c r="E924" s="42"/>
      <c r="F924" s="43"/>
      <c r="G924" s="15"/>
      <c r="H924" s="44"/>
      <c r="I924" s="15"/>
      <c r="J924" s="15"/>
      <c r="K924" s="15"/>
      <c r="L924" s="15"/>
      <c r="M924" s="15"/>
      <c r="N924" s="15"/>
      <c r="O924" s="15"/>
      <c r="P924" s="45"/>
      <c r="Q924" s="45"/>
      <c r="R924" s="45"/>
      <c r="S924" s="45"/>
    </row>
    <row r="925" spans="1:19">
      <c r="A925" s="15"/>
      <c r="B925" s="15"/>
      <c r="C925" s="42"/>
      <c r="D925" s="15"/>
      <c r="E925" s="42"/>
      <c r="F925" s="43"/>
      <c r="G925" s="15"/>
      <c r="H925" s="44"/>
      <c r="I925" s="15"/>
      <c r="J925" s="15"/>
      <c r="K925" s="15"/>
      <c r="L925" s="15"/>
      <c r="M925" s="15"/>
      <c r="N925" s="15"/>
      <c r="O925" s="15"/>
      <c r="P925" s="45"/>
      <c r="Q925" s="45"/>
      <c r="R925" s="45"/>
      <c r="S925" s="45"/>
    </row>
    <row r="926" spans="1:19">
      <c r="A926" s="15"/>
      <c r="B926" s="15"/>
      <c r="C926" s="42"/>
      <c r="D926" s="15"/>
      <c r="E926" s="42"/>
      <c r="F926" s="43"/>
      <c r="G926" s="15"/>
      <c r="H926" s="44"/>
      <c r="I926" s="15"/>
      <c r="J926" s="15"/>
      <c r="K926" s="15"/>
      <c r="L926" s="15"/>
      <c r="M926" s="15"/>
      <c r="N926" s="15"/>
      <c r="O926" s="15"/>
      <c r="P926" s="45"/>
      <c r="Q926" s="45"/>
      <c r="R926" s="45"/>
      <c r="S926" s="45"/>
    </row>
    <row r="927" spans="1:19">
      <c r="A927" s="15"/>
      <c r="B927" s="15"/>
      <c r="C927" s="42"/>
      <c r="D927" s="15"/>
      <c r="E927" s="42"/>
      <c r="F927" s="43"/>
      <c r="G927" s="15"/>
      <c r="H927" s="44"/>
      <c r="I927" s="15"/>
      <c r="J927" s="15"/>
      <c r="K927" s="15"/>
      <c r="L927" s="15"/>
      <c r="M927" s="15"/>
      <c r="N927" s="15"/>
      <c r="O927" s="15"/>
      <c r="P927" s="45"/>
      <c r="Q927" s="45"/>
      <c r="R927" s="45"/>
      <c r="S927" s="45"/>
    </row>
    <row r="928" spans="1:19">
      <c r="A928" s="15"/>
      <c r="B928" s="15"/>
      <c r="C928" s="42"/>
      <c r="D928" s="15"/>
      <c r="E928" s="42"/>
      <c r="F928" s="43"/>
      <c r="G928" s="15"/>
      <c r="H928" s="44"/>
      <c r="I928" s="15"/>
      <c r="J928" s="15"/>
      <c r="K928" s="15"/>
      <c r="L928" s="15"/>
      <c r="M928" s="15"/>
      <c r="N928" s="15"/>
      <c r="O928" s="15"/>
      <c r="P928" s="45"/>
      <c r="Q928" s="45"/>
      <c r="R928" s="45"/>
      <c r="S928" s="45"/>
    </row>
    <row r="929" spans="1:19">
      <c r="A929" s="15"/>
      <c r="B929" s="15"/>
      <c r="C929" s="42"/>
      <c r="D929" s="15"/>
      <c r="E929" s="42"/>
      <c r="F929" s="43"/>
      <c r="G929" s="15"/>
      <c r="H929" s="44"/>
      <c r="I929" s="15"/>
      <c r="J929" s="15"/>
      <c r="K929" s="15"/>
      <c r="L929" s="15"/>
      <c r="M929" s="15"/>
      <c r="N929" s="15"/>
      <c r="O929" s="15"/>
      <c r="P929" s="45"/>
      <c r="Q929" s="45"/>
      <c r="R929" s="45"/>
      <c r="S929" s="45"/>
    </row>
    <row r="930" spans="1:19">
      <c r="A930" s="15"/>
      <c r="B930" s="15"/>
      <c r="C930" s="42"/>
      <c r="D930" s="15"/>
      <c r="E930" s="42"/>
      <c r="F930" s="43"/>
      <c r="G930" s="15"/>
      <c r="H930" s="44"/>
      <c r="I930" s="15"/>
      <c r="J930" s="15"/>
      <c r="K930" s="15"/>
      <c r="L930" s="15"/>
      <c r="M930" s="15"/>
      <c r="N930" s="15"/>
      <c r="O930" s="15"/>
      <c r="P930" s="45"/>
      <c r="Q930" s="45"/>
      <c r="R930" s="45"/>
      <c r="S930" s="45"/>
    </row>
    <row r="931" spans="1:19">
      <c r="A931" s="15"/>
      <c r="B931" s="15"/>
      <c r="C931" s="42"/>
      <c r="D931" s="15"/>
      <c r="E931" s="42"/>
      <c r="F931" s="43"/>
      <c r="G931" s="15"/>
      <c r="H931" s="44"/>
      <c r="I931" s="15"/>
      <c r="J931" s="15"/>
      <c r="K931" s="15"/>
      <c r="L931" s="15"/>
      <c r="M931" s="15"/>
      <c r="N931" s="15"/>
      <c r="O931" s="15"/>
      <c r="P931" s="45"/>
      <c r="Q931" s="45"/>
      <c r="R931" s="45"/>
      <c r="S931" s="45"/>
    </row>
    <row r="932" spans="1:19">
      <c r="A932" s="15"/>
      <c r="B932" s="15"/>
      <c r="C932" s="42"/>
      <c r="D932" s="15"/>
      <c r="E932" s="42"/>
      <c r="F932" s="43"/>
      <c r="G932" s="15"/>
      <c r="H932" s="44"/>
      <c r="I932" s="15"/>
      <c r="J932" s="15"/>
      <c r="K932" s="15"/>
      <c r="L932" s="15"/>
      <c r="M932" s="15"/>
      <c r="N932" s="15"/>
      <c r="O932" s="15"/>
      <c r="P932" s="45"/>
      <c r="Q932" s="45"/>
      <c r="R932" s="45"/>
      <c r="S932" s="45"/>
    </row>
    <row r="933" spans="1:19">
      <c r="A933" s="15"/>
      <c r="B933" s="15"/>
      <c r="C933" s="42"/>
      <c r="D933" s="15"/>
      <c r="E933" s="42"/>
      <c r="F933" s="43"/>
      <c r="G933" s="15"/>
      <c r="H933" s="44"/>
      <c r="I933" s="15"/>
      <c r="J933" s="15"/>
      <c r="K933" s="15"/>
      <c r="L933" s="15"/>
      <c r="M933" s="15"/>
      <c r="N933" s="15"/>
      <c r="O933" s="15"/>
      <c r="P933" s="45"/>
      <c r="Q933" s="45"/>
      <c r="R933" s="45"/>
      <c r="S933" s="45"/>
    </row>
    <row r="934" spans="1:19">
      <c r="A934" s="15"/>
      <c r="B934" s="15"/>
      <c r="C934" s="42"/>
      <c r="D934" s="15"/>
      <c r="E934" s="42"/>
      <c r="F934" s="43"/>
      <c r="G934" s="15"/>
      <c r="H934" s="44"/>
      <c r="I934" s="15"/>
      <c r="J934" s="15"/>
      <c r="K934" s="15"/>
      <c r="L934" s="15"/>
      <c r="M934" s="15"/>
      <c r="N934" s="15"/>
      <c r="O934" s="15"/>
      <c r="P934" s="45"/>
      <c r="Q934" s="45"/>
      <c r="R934" s="45"/>
      <c r="S934" s="45"/>
    </row>
    <row r="935" spans="1:19">
      <c r="A935" s="15"/>
      <c r="B935" s="15"/>
      <c r="C935" s="42"/>
      <c r="D935" s="15"/>
      <c r="E935" s="42"/>
      <c r="F935" s="43"/>
      <c r="G935" s="15"/>
      <c r="H935" s="44"/>
      <c r="I935" s="15"/>
      <c r="J935" s="15"/>
      <c r="K935" s="15"/>
      <c r="L935" s="15"/>
      <c r="M935" s="15"/>
      <c r="N935" s="15"/>
      <c r="O935" s="15"/>
      <c r="P935" s="45"/>
      <c r="Q935" s="45"/>
      <c r="R935" s="45"/>
      <c r="S935" s="45"/>
    </row>
    <row r="936" spans="1:19">
      <c r="A936" s="15"/>
      <c r="B936" s="15"/>
      <c r="C936" s="42"/>
      <c r="D936" s="15"/>
      <c r="E936" s="42"/>
      <c r="F936" s="43"/>
      <c r="G936" s="15"/>
      <c r="H936" s="44"/>
      <c r="I936" s="15"/>
      <c r="J936" s="15"/>
      <c r="K936" s="15"/>
      <c r="L936" s="15"/>
      <c r="M936" s="15"/>
      <c r="N936" s="15"/>
      <c r="O936" s="15"/>
      <c r="P936" s="45"/>
      <c r="Q936" s="45"/>
      <c r="R936" s="45"/>
      <c r="S936" s="45"/>
    </row>
    <row r="937" spans="1:19">
      <c r="A937" s="15"/>
      <c r="B937" s="15"/>
      <c r="C937" s="42"/>
      <c r="D937" s="15"/>
      <c r="E937" s="42"/>
      <c r="F937" s="43"/>
      <c r="G937" s="15"/>
      <c r="H937" s="44"/>
      <c r="I937" s="15"/>
      <c r="J937" s="15"/>
      <c r="K937" s="15"/>
      <c r="L937" s="15"/>
      <c r="M937" s="15"/>
      <c r="N937" s="15"/>
      <c r="O937" s="15"/>
      <c r="P937" s="45"/>
      <c r="Q937" s="45"/>
      <c r="R937" s="45"/>
      <c r="S937" s="45"/>
    </row>
    <row r="938" spans="1:19">
      <c r="A938" s="15"/>
      <c r="B938" s="15"/>
      <c r="C938" s="42"/>
      <c r="D938" s="15"/>
      <c r="E938" s="42"/>
      <c r="F938" s="43"/>
      <c r="G938" s="15"/>
      <c r="H938" s="44"/>
      <c r="I938" s="15"/>
      <c r="J938" s="15"/>
      <c r="K938" s="15"/>
      <c r="L938" s="15"/>
      <c r="M938" s="15"/>
      <c r="N938" s="15"/>
      <c r="O938" s="15"/>
      <c r="P938" s="45"/>
      <c r="Q938" s="45"/>
      <c r="R938" s="45"/>
      <c r="S938" s="45"/>
    </row>
    <row r="939" spans="1:19">
      <c r="A939" s="15"/>
      <c r="B939" s="15"/>
      <c r="C939" s="42"/>
      <c r="D939" s="15"/>
      <c r="E939" s="42"/>
      <c r="F939" s="43"/>
      <c r="G939" s="15"/>
      <c r="H939" s="44"/>
      <c r="I939" s="15"/>
      <c r="J939" s="15"/>
      <c r="K939" s="15"/>
      <c r="L939" s="15"/>
      <c r="M939" s="15"/>
      <c r="N939" s="15"/>
      <c r="O939" s="15"/>
      <c r="P939" s="45"/>
      <c r="Q939" s="45"/>
      <c r="R939" s="45"/>
      <c r="S939" s="45"/>
    </row>
    <row r="940" spans="1:19">
      <c r="A940" s="15"/>
      <c r="B940" s="15"/>
      <c r="C940" s="42"/>
      <c r="D940" s="15"/>
      <c r="E940" s="42"/>
      <c r="F940" s="43"/>
      <c r="G940" s="15"/>
      <c r="H940" s="44"/>
      <c r="I940" s="15"/>
      <c r="J940" s="15"/>
      <c r="K940" s="15"/>
      <c r="L940" s="15"/>
      <c r="M940" s="15"/>
      <c r="N940" s="15"/>
      <c r="O940" s="15"/>
      <c r="P940" s="45"/>
      <c r="Q940" s="45"/>
      <c r="R940" s="45"/>
      <c r="S940" s="45"/>
    </row>
    <row r="941" spans="1:19">
      <c r="A941" s="15"/>
      <c r="B941" s="15"/>
      <c r="C941" s="42"/>
      <c r="D941" s="15"/>
      <c r="E941" s="42"/>
      <c r="F941" s="43"/>
      <c r="G941" s="15"/>
      <c r="H941" s="44"/>
      <c r="I941" s="15"/>
      <c r="J941" s="15"/>
      <c r="K941" s="15"/>
      <c r="L941" s="15"/>
      <c r="M941" s="15"/>
      <c r="N941" s="15"/>
      <c r="O941" s="15"/>
      <c r="P941" s="45"/>
      <c r="Q941" s="45"/>
      <c r="R941" s="45"/>
      <c r="S941" s="45"/>
    </row>
    <row r="942" spans="1:19">
      <c r="A942" s="15"/>
      <c r="B942" s="15"/>
      <c r="C942" s="42"/>
      <c r="D942" s="15"/>
      <c r="E942" s="42"/>
      <c r="F942" s="43"/>
      <c r="G942" s="15"/>
      <c r="H942" s="44"/>
      <c r="I942" s="15"/>
      <c r="J942" s="15"/>
      <c r="K942" s="15"/>
      <c r="L942" s="15"/>
      <c r="M942" s="15"/>
      <c r="N942" s="15"/>
      <c r="O942" s="15"/>
      <c r="P942" s="45"/>
      <c r="Q942" s="45"/>
      <c r="R942" s="45"/>
      <c r="S942" s="45"/>
    </row>
    <row r="943" spans="1:19">
      <c r="A943" s="15"/>
      <c r="B943" s="15"/>
      <c r="C943" s="42"/>
      <c r="D943" s="15"/>
      <c r="E943" s="42"/>
      <c r="F943" s="43"/>
      <c r="G943" s="15"/>
      <c r="H943" s="44"/>
      <c r="I943" s="15"/>
      <c r="J943" s="15"/>
      <c r="K943" s="15"/>
      <c r="L943" s="15"/>
      <c r="M943" s="15"/>
      <c r="N943" s="15"/>
      <c r="O943" s="15"/>
      <c r="P943" s="45"/>
      <c r="Q943" s="45"/>
      <c r="R943" s="45"/>
      <c r="S943" s="45"/>
    </row>
    <row r="944" spans="1:19">
      <c r="A944" s="15"/>
      <c r="B944" s="15"/>
      <c r="C944" s="42"/>
      <c r="D944" s="15"/>
      <c r="E944" s="42"/>
      <c r="F944" s="43"/>
      <c r="G944" s="15"/>
      <c r="H944" s="44"/>
      <c r="I944" s="15"/>
      <c r="J944" s="15"/>
      <c r="K944" s="15"/>
      <c r="L944" s="15"/>
      <c r="M944" s="15"/>
      <c r="N944" s="15"/>
      <c r="O944" s="15"/>
      <c r="P944" s="45"/>
      <c r="Q944" s="45"/>
      <c r="R944" s="45"/>
      <c r="S944" s="45"/>
    </row>
    <row r="945" spans="1:19">
      <c r="A945" s="15"/>
      <c r="B945" s="15"/>
      <c r="C945" s="42"/>
      <c r="D945" s="15"/>
      <c r="E945" s="42"/>
      <c r="F945" s="43"/>
      <c r="G945" s="15"/>
      <c r="H945" s="44"/>
      <c r="I945" s="15"/>
      <c r="J945" s="15"/>
      <c r="K945" s="15"/>
      <c r="L945" s="15"/>
      <c r="M945" s="15"/>
      <c r="N945" s="15"/>
      <c r="O945" s="15"/>
      <c r="P945" s="45"/>
      <c r="Q945" s="45"/>
      <c r="R945" s="45"/>
      <c r="S945" s="45"/>
    </row>
    <row r="946" spans="1:19">
      <c r="A946" s="15"/>
      <c r="B946" s="15"/>
      <c r="C946" s="42"/>
      <c r="D946" s="15"/>
      <c r="E946" s="42"/>
      <c r="F946" s="43"/>
      <c r="G946" s="15"/>
      <c r="H946" s="44"/>
      <c r="I946" s="15"/>
      <c r="J946" s="15"/>
      <c r="K946" s="15"/>
      <c r="L946" s="15"/>
      <c r="M946" s="15"/>
      <c r="N946" s="15"/>
      <c r="O946" s="15"/>
      <c r="P946" s="45"/>
      <c r="Q946" s="45"/>
      <c r="R946" s="45"/>
      <c r="S946" s="45"/>
    </row>
    <row r="947" spans="1:19">
      <c r="A947" s="15"/>
      <c r="B947" s="15"/>
      <c r="C947" s="42"/>
      <c r="D947" s="15"/>
      <c r="E947" s="42"/>
      <c r="F947" s="43"/>
      <c r="G947" s="15"/>
      <c r="H947" s="44"/>
      <c r="I947" s="15"/>
      <c r="J947" s="15"/>
      <c r="K947" s="15"/>
      <c r="L947" s="15"/>
      <c r="M947" s="15"/>
      <c r="N947" s="15"/>
      <c r="O947" s="15"/>
      <c r="P947" s="45"/>
      <c r="Q947" s="45"/>
      <c r="R947" s="45"/>
      <c r="S947" s="45"/>
    </row>
    <row r="948" spans="1:19">
      <c r="A948" s="15"/>
      <c r="B948" s="15"/>
      <c r="C948" s="42"/>
      <c r="D948" s="15"/>
      <c r="E948" s="42"/>
      <c r="F948" s="43"/>
      <c r="G948" s="15"/>
      <c r="H948" s="44"/>
      <c r="I948" s="15"/>
      <c r="J948" s="15"/>
      <c r="K948" s="15"/>
      <c r="L948" s="15"/>
      <c r="M948" s="15"/>
      <c r="N948" s="15"/>
      <c r="O948" s="15"/>
      <c r="P948" s="45"/>
      <c r="Q948" s="45"/>
      <c r="R948" s="45"/>
      <c r="S948" s="45"/>
    </row>
    <row r="949" spans="1:19">
      <c r="A949" s="15"/>
      <c r="B949" s="15"/>
      <c r="C949" s="42"/>
      <c r="D949" s="15"/>
      <c r="E949" s="42"/>
      <c r="F949" s="43"/>
      <c r="G949" s="15"/>
      <c r="H949" s="44"/>
      <c r="I949" s="15"/>
      <c r="J949" s="15"/>
      <c r="K949" s="15"/>
      <c r="L949" s="15"/>
      <c r="M949" s="15"/>
      <c r="N949" s="15"/>
      <c r="O949" s="15"/>
      <c r="P949" s="45"/>
      <c r="Q949" s="45"/>
      <c r="R949" s="45"/>
      <c r="S949" s="45"/>
    </row>
    <row r="950" spans="1:19">
      <c r="A950" s="15"/>
      <c r="B950" s="15"/>
      <c r="C950" s="42"/>
      <c r="D950" s="15"/>
      <c r="E950" s="42"/>
      <c r="F950" s="43"/>
      <c r="G950" s="15"/>
      <c r="H950" s="44"/>
      <c r="I950" s="15"/>
      <c r="J950" s="15"/>
      <c r="K950" s="15"/>
      <c r="L950" s="15"/>
      <c r="M950" s="15"/>
      <c r="N950" s="15"/>
      <c r="O950" s="15"/>
      <c r="P950" s="45"/>
      <c r="Q950" s="45"/>
      <c r="R950" s="45"/>
      <c r="S950" s="45"/>
    </row>
    <row r="951" spans="1:19">
      <c r="A951" s="15"/>
      <c r="B951" s="15"/>
      <c r="C951" s="42"/>
      <c r="D951" s="15"/>
      <c r="E951" s="42"/>
      <c r="F951" s="43"/>
      <c r="G951" s="15"/>
      <c r="H951" s="44"/>
      <c r="I951" s="15"/>
      <c r="J951" s="15"/>
      <c r="K951" s="15"/>
      <c r="L951" s="15"/>
      <c r="M951" s="15"/>
      <c r="N951" s="15"/>
      <c r="O951" s="15"/>
      <c r="P951" s="45"/>
      <c r="Q951" s="45"/>
      <c r="R951" s="45"/>
      <c r="S951" s="45"/>
    </row>
    <row r="952" spans="1:19">
      <c r="A952" s="15"/>
      <c r="B952" s="15"/>
      <c r="C952" s="42"/>
      <c r="D952" s="15"/>
      <c r="E952" s="42"/>
      <c r="F952" s="43"/>
      <c r="G952" s="15"/>
      <c r="H952" s="44"/>
      <c r="I952" s="15"/>
      <c r="J952" s="15"/>
      <c r="K952" s="15"/>
      <c r="L952" s="15"/>
      <c r="M952" s="15"/>
      <c r="N952" s="15"/>
      <c r="O952" s="15"/>
      <c r="P952" s="45"/>
      <c r="Q952" s="45"/>
      <c r="R952" s="45"/>
      <c r="S952" s="45"/>
    </row>
    <row r="953" spans="1:19">
      <c r="A953" s="15"/>
      <c r="B953" s="15"/>
      <c r="C953" s="42"/>
      <c r="D953" s="15"/>
      <c r="E953" s="42"/>
      <c r="F953" s="43"/>
      <c r="G953" s="15"/>
      <c r="H953" s="44"/>
      <c r="I953" s="15"/>
      <c r="J953" s="15"/>
      <c r="K953" s="15"/>
      <c r="L953" s="15"/>
      <c r="M953" s="15"/>
      <c r="N953" s="15"/>
      <c r="O953" s="15"/>
      <c r="P953" s="45"/>
      <c r="Q953" s="45"/>
      <c r="R953" s="45"/>
      <c r="S953" s="45"/>
    </row>
    <row r="954" spans="1:19">
      <c r="A954" s="15"/>
      <c r="B954" s="15"/>
      <c r="C954" s="42"/>
      <c r="D954" s="15"/>
      <c r="E954" s="42"/>
      <c r="F954" s="43"/>
      <c r="G954" s="15"/>
      <c r="H954" s="44"/>
      <c r="I954" s="15"/>
      <c r="J954" s="15"/>
      <c r="K954" s="15"/>
      <c r="L954" s="15"/>
      <c r="M954" s="15"/>
      <c r="N954" s="15"/>
      <c r="O954" s="15"/>
      <c r="P954" s="45"/>
      <c r="Q954" s="45"/>
      <c r="R954" s="45"/>
      <c r="S954" s="45"/>
    </row>
    <row r="955" spans="1:19">
      <c r="A955" s="15"/>
      <c r="B955" s="15"/>
      <c r="C955" s="42"/>
      <c r="D955" s="15"/>
      <c r="E955" s="42"/>
      <c r="F955" s="43"/>
      <c r="G955" s="15"/>
      <c r="H955" s="44"/>
      <c r="I955" s="15"/>
      <c r="J955" s="15"/>
      <c r="K955" s="15"/>
      <c r="L955" s="15"/>
      <c r="M955" s="15"/>
      <c r="N955" s="15"/>
      <c r="O955" s="15"/>
      <c r="P955" s="45"/>
      <c r="Q955" s="45"/>
      <c r="R955" s="45"/>
      <c r="S955" s="45"/>
    </row>
    <row r="956" spans="1:19">
      <c r="A956" s="15"/>
      <c r="B956" s="15"/>
      <c r="C956" s="42"/>
      <c r="D956" s="15"/>
      <c r="E956" s="42"/>
      <c r="F956" s="43"/>
      <c r="G956" s="15"/>
      <c r="H956" s="44"/>
      <c r="I956" s="15"/>
      <c r="J956" s="15"/>
      <c r="K956" s="15"/>
      <c r="L956" s="15"/>
      <c r="M956" s="15"/>
      <c r="N956" s="15"/>
      <c r="O956" s="15"/>
      <c r="P956" s="45"/>
      <c r="Q956" s="45"/>
      <c r="R956" s="45"/>
      <c r="S956" s="45"/>
    </row>
    <row r="957" spans="1:19">
      <c r="A957" s="15"/>
      <c r="B957" s="15"/>
      <c r="C957" s="42"/>
      <c r="D957" s="15"/>
      <c r="E957" s="42"/>
      <c r="F957" s="43"/>
      <c r="G957" s="15"/>
      <c r="H957" s="44"/>
      <c r="I957" s="15"/>
      <c r="J957" s="15"/>
      <c r="K957" s="15"/>
      <c r="L957" s="15"/>
      <c r="M957" s="15"/>
      <c r="N957" s="15"/>
      <c r="O957" s="15"/>
      <c r="P957" s="45"/>
      <c r="Q957" s="45"/>
      <c r="R957" s="45"/>
      <c r="S957" s="45"/>
    </row>
    <row r="958" spans="1:19">
      <c r="A958" s="15"/>
      <c r="B958" s="15"/>
      <c r="C958" s="42"/>
      <c r="D958" s="15"/>
      <c r="E958" s="42"/>
      <c r="F958" s="43"/>
      <c r="G958" s="15"/>
      <c r="H958" s="44"/>
      <c r="I958" s="15"/>
      <c r="J958" s="15"/>
      <c r="K958" s="15"/>
      <c r="L958" s="15"/>
      <c r="M958" s="15"/>
      <c r="N958" s="15"/>
      <c r="O958" s="15"/>
      <c r="P958" s="45"/>
      <c r="Q958" s="45"/>
      <c r="R958" s="45"/>
      <c r="S958" s="45"/>
    </row>
    <row r="959" spans="1:19">
      <c r="A959" s="15"/>
      <c r="B959" s="15"/>
      <c r="C959" s="42"/>
      <c r="D959" s="15"/>
      <c r="E959" s="42"/>
      <c r="F959" s="43"/>
      <c r="G959" s="15"/>
      <c r="H959" s="44"/>
      <c r="I959" s="15"/>
      <c r="J959" s="15"/>
      <c r="K959" s="15"/>
      <c r="L959" s="15"/>
      <c r="M959" s="15"/>
      <c r="N959" s="15"/>
      <c r="O959" s="15"/>
      <c r="P959" s="45"/>
      <c r="Q959" s="45"/>
      <c r="R959" s="45"/>
      <c r="S959" s="45"/>
    </row>
    <row r="960" spans="1:19">
      <c r="A960" s="15"/>
      <c r="B960" s="15"/>
      <c r="C960" s="42"/>
      <c r="D960" s="15"/>
      <c r="E960" s="42"/>
      <c r="F960" s="43"/>
      <c r="G960" s="15"/>
      <c r="H960" s="44"/>
      <c r="I960" s="15"/>
      <c r="J960" s="15"/>
      <c r="K960" s="15"/>
      <c r="L960" s="15"/>
      <c r="M960" s="15"/>
      <c r="N960" s="15"/>
      <c r="O960" s="15"/>
      <c r="P960" s="45"/>
      <c r="Q960" s="45"/>
      <c r="R960" s="45"/>
      <c r="S960" s="45"/>
    </row>
    <row r="961" spans="1:19">
      <c r="A961" s="15"/>
      <c r="B961" s="15"/>
      <c r="C961" s="42"/>
      <c r="D961" s="15"/>
      <c r="E961" s="42"/>
      <c r="F961" s="43"/>
      <c r="G961" s="15"/>
      <c r="H961" s="44"/>
      <c r="I961" s="15"/>
      <c r="J961" s="15"/>
      <c r="K961" s="15"/>
      <c r="L961" s="15"/>
      <c r="M961" s="15"/>
      <c r="N961" s="15"/>
      <c r="O961" s="15"/>
      <c r="P961" s="45"/>
      <c r="Q961" s="45"/>
      <c r="R961" s="45"/>
      <c r="S961" s="45"/>
    </row>
    <row r="962" spans="1:19">
      <c r="A962" s="15"/>
      <c r="B962" s="15"/>
      <c r="C962" s="42"/>
      <c r="D962" s="15"/>
      <c r="E962" s="42"/>
      <c r="F962" s="43"/>
      <c r="G962" s="15"/>
      <c r="H962" s="44"/>
      <c r="I962" s="15"/>
      <c r="J962" s="15"/>
      <c r="K962" s="15"/>
      <c r="L962" s="15"/>
      <c r="M962" s="15"/>
      <c r="N962" s="15"/>
      <c r="O962" s="15"/>
      <c r="P962" s="45"/>
      <c r="Q962" s="45"/>
      <c r="R962" s="45"/>
      <c r="S962" s="45"/>
    </row>
    <row r="963" spans="1:19">
      <c r="A963" s="15"/>
      <c r="B963" s="15"/>
      <c r="C963" s="42"/>
      <c r="D963" s="15"/>
      <c r="E963" s="42"/>
      <c r="F963" s="43"/>
      <c r="G963" s="15"/>
      <c r="H963" s="44"/>
      <c r="I963" s="15"/>
      <c r="J963" s="15"/>
      <c r="K963" s="15"/>
      <c r="L963" s="15"/>
      <c r="M963" s="15"/>
      <c r="N963" s="15"/>
      <c r="O963" s="15"/>
      <c r="P963" s="45"/>
      <c r="Q963" s="45"/>
      <c r="R963" s="45"/>
      <c r="S963" s="45"/>
    </row>
    <row r="964" spans="1:19">
      <c r="A964" s="15"/>
      <c r="B964" s="15"/>
      <c r="C964" s="42"/>
      <c r="D964" s="15"/>
      <c r="E964" s="42"/>
      <c r="F964" s="43"/>
      <c r="G964" s="15"/>
      <c r="H964" s="44"/>
      <c r="I964" s="15"/>
      <c r="J964" s="15"/>
      <c r="K964" s="15"/>
      <c r="L964" s="15"/>
      <c r="M964" s="15"/>
      <c r="N964" s="15"/>
      <c r="O964" s="15"/>
      <c r="P964" s="45"/>
      <c r="Q964" s="45"/>
      <c r="R964" s="45"/>
      <c r="S964" s="45"/>
    </row>
    <row r="965" spans="1:19">
      <c r="A965" s="15"/>
      <c r="B965" s="15"/>
      <c r="C965" s="42"/>
      <c r="D965" s="15"/>
      <c r="E965" s="42"/>
      <c r="F965" s="43"/>
      <c r="G965" s="15"/>
      <c r="H965" s="44"/>
      <c r="I965" s="15"/>
      <c r="J965" s="15"/>
      <c r="K965" s="15"/>
      <c r="L965" s="15"/>
      <c r="M965" s="15"/>
      <c r="N965" s="15"/>
      <c r="O965" s="15"/>
      <c r="P965" s="45"/>
      <c r="Q965" s="45"/>
      <c r="R965" s="45"/>
      <c r="S965" s="45"/>
    </row>
    <row r="966" spans="1:19">
      <c r="A966" s="15"/>
      <c r="B966" s="15"/>
      <c r="C966" s="42"/>
      <c r="D966" s="15"/>
      <c r="E966" s="42"/>
      <c r="F966" s="43"/>
      <c r="G966" s="15"/>
      <c r="H966" s="44"/>
      <c r="I966" s="15"/>
      <c r="J966" s="15"/>
      <c r="K966" s="15"/>
      <c r="L966" s="15"/>
      <c r="M966" s="15"/>
      <c r="N966" s="15"/>
      <c r="O966" s="15"/>
      <c r="P966" s="45"/>
      <c r="Q966" s="45"/>
      <c r="R966" s="45"/>
      <c r="S966" s="45"/>
    </row>
    <row r="967" spans="1:19">
      <c r="A967" s="15"/>
      <c r="B967" s="15"/>
      <c r="C967" s="42"/>
      <c r="D967" s="15"/>
      <c r="E967" s="42"/>
      <c r="F967" s="43"/>
      <c r="G967" s="15"/>
      <c r="H967" s="44"/>
      <c r="I967" s="15"/>
      <c r="J967" s="15"/>
      <c r="K967" s="15"/>
      <c r="L967" s="15"/>
      <c r="M967" s="15"/>
      <c r="N967" s="15"/>
      <c r="O967" s="15"/>
      <c r="P967" s="45"/>
      <c r="Q967" s="45"/>
      <c r="R967" s="45"/>
      <c r="S967" s="45"/>
    </row>
    <row r="968" spans="1:19">
      <c r="A968" s="15"/>
      <c r="B968" s="15"/>
      <c r="C968" s="42"/>
      <c r="D968" s="15"/>
      <c r="E968" s="42"/>
      <c r="F968" s="43"/>
      <c r="G968" s="15"/>
      <c r="H968" s="44"/>
      <c r="I968" s="15"/>
      <c r="J968" s="15"/>
      <c r="K968" s="15"/>
      <c r="L968" s="15"/>
      <c r="M968" s="15"/>
      <c r="N968" s="15"/>
      <c r="O968" s="15"/>
      <c r="P968" s="45"/>
      <c r="Q968" s="45"/>
      <c r="R968" s="45"/>
      <c r="S968" s="45"/>
    </row>
    <row r="969" spans="1:19">
      <c r="A969" s="15"/>
      <c r="B969" s="15"/>
      <c r="C969" s="42"/>
      <c r="D969" s="15"/>
      <c r="E969" s="42"/>
      <c r="F969" s="43"/>
      <c r="G969" s="15"/>
      <c r="H969" s="44"/>
      <c r="I969" s="15"/>
      <c r="J969" s="15"/>
      <c r="K969" s="15"/>
      <c r="L969" s="15"/>
      <c r="M969" s="15"/>
      <c r="N969" s="15"/>
      <c r="O969" s="15"/>
      <c r="P969" s="45"/>
      <c r="Q969" s="45"/>
      <c r="R969" s="45"/>
      <c r="S969" s="45"/>
    </row>
    <row r="970" spans="1:19">
      <c r="A970" s="15"/>
      <c r="B970" s="15"/>
      <c r="C970" s="42"/>
      <c r="D970" s="15"/>
      <c r="E970" s="42"/>
      <c r="F970" s="43"/>
      <c r="G970" s="15"/>
      <c r="H970" s="44"/>
      <c r="I970" s="15"/>
      <c r="J970" s="15"/>
      <c r="K970" s="15"/>
      <c r="L970" s="15"/>
      <c r="M970" s="15"/>
      <c r="N970" s="15"/>
      <c r="O970" s="15"/>
      <c r="P970" s="45"/>
      <c r="Q970" s="45"/>
      <c r="R970" s="45"/>
      <c r="S970" s="45"/>
    </row>
    <row r="971" spans="1:19">
      <c r="A971" s="15"/>
      <c r="B971" s="15"/>
      <c r="C971" s="42"/>
      <c r="D971" s="15"/>
      <c r="E971" s="42"/>
      <c r="F971" s="43"/>
      <c r="G971" s="15"/>
      <c r="H971" s="44"/>
      <c r="I971" s="15"/>
      <c r="J971" s="15"/>
      <c r="K971" s="15"/>
      <c r="L971" s="15"/>
      <c r="M971" s="15"/>
      <c r="N971" s="15"/>
      <c r="O971" s="15"/>
      <c r="P971" s="45"/>
      <c r="Q971" s="45"/>
      <c r="R971" s="45"/>
      <c r="S971" s="45"/>
    </row>
    <row r="972" spans="1:19">
      <c r="A972" s="15"/>
      <c r="B972" s="15"/>
      <c r="C972" s="42"/>
      <c r="D972" s="15"/>
      <c r="E972" s="42"/>
      <c r="F972" s="43"/>
      <c r="G972" s="15"/>
      <c r="H972" s="44"/>
      <c r="I972" s="15"/>
      <c r="J972" s="15"/>
      <c r="K972" s="15"/>
      <c r="L972" s="15"/>
      <c r="M972" s="15"/>
      <c r="N972" s="15"/>
      <c r="O972" s="15"/>
      <c r="P972" s="45"/>
      <c r="Q972" s="45"/>
      <c r="R972" s="45"/>
      <c r="S972" s="45"/>
    </row>
    <row r="973" spans="1:19">
      <c r="A973" s="15"/>
      <c r="B973" s="15"/>
      <c r="C973" s="42"/>
      <c r="D973" s="15"/>
      <c r="E973" s="42"/>
      <c r="F973" s="43"/>
      <c r="G973" s="15"/>
      <c r="H973" s="44"/>
      <c r="I973" s="15"/>
      <c r="J973" s="15"/>
      <c r="K973" s="15"/>
      <c r="L973" s="15"/>
      <c r="M973" s="15"/>
      <c r="N973" s="15"/>
      <c r="O973" s="15"/>
      <c r="P973" s="45"/>
      <c r="Q973" s="45"/>
      <c r="R973" s="45"/>
      <c r="S973" s="45"/>
    </row>
    <row r="974" spans="1:19">
      <c r="A974" s="15"/>
      <c r="B974" s="15"/>
      <c r="C974" s="42"/>
      <c r="D974" s="15"/>
      <c r="E974" s="42"/>
      <c r="F974" s="43"/>
      <c r="G974" s="15"/>
      <c r="H974" s="44"/>
      <c r="I974" s="15"/>
      <c r="J974" s="15"/>
      <c r="K974" s="15"/>
      <c r="L974" s="15"/>
      <c r="M974" s="15"/>
      <c r="N974" s="15"/>
      <c r="O974" s="15"/>
      <c r="P974" s="45"/>
      <c r="Q974" s="45"/>
      <c r="R974" s="45"/>
      <c r="S974" s="45"/>
    </row>
    <row r="975" spans="1:19">
      <c r="A975" s="15"/>
      <c r="B975" s="15"/>
      <c r="C975" s="42"/>
      <c r="D975" s="15"/>
      <c r="E975" s="42"/>
      <c r="F975" s="43"/>
      <c r="G975" s="15"/>
      <c r="H975" s="44"/>
      <c r="I975" s="15"/>
      <c r="J975" s="15"/>
      <c r="K975" s="15"/>
      <c r="L975" s="15"/>
      <c r="M975" s="15"/>
      <c r="N975" s="15"/>
      <c r="O975" s="15"/>
      <c r="P975" s="45"/>
      <c r="Q975" s="45"/>
      <c r="R975" s="45"/>
      <c r="S975" s="45"/>
    </row>
    <row r="976" spans="1:19">
      <c r="A976" s="15"/>
      <c r="B976" s="15"/>
      <c r="C976" s="42"/>
      <c r="D976" s="15"/>
      <c r="E976" s="42"/>
      <c r="F976" s="43"/>
      <c r="G976" s="15"/>
      <c r="H976" s="44"/>
      <c r="I976" s="15"/>
      <c r="J976" s="15"/>
      <c r="K976" s="15"/>
      <c r="L976" s="15"/>
      <c r="M976" s="15"/>
      <c r="N976" s="15"/>
      <c r="O976" s="15"/>
      <c r="P976" s="45"/>
      <c r="Q976" s="45"/>
      <c r="R976" s="45"/>
      <c r="S976" s="45"/>
    </row>
    <row r="977" spans="1:19">
      <c r="A977" s="15"/>
      <c r="B977" s="15"/>
      <c r="C977" s="42"/>
      <c r="D977" s="15"/>
      <c r="E977" s="42"/>
      <c r="F977" s="43"/>
      <c r="G977" s="15"/>
      <c r="H977" s="44"/>
      <c r="I977" s="15"/>
      <c r="J977" s="15"/>
      <c r="K977" s="15"/>
      <c r="L977" s="15"/>
      <c r="M977" s="15"/>
      <c r="N977" s="15"/>
      <c r="O977" s="15"/>
      <c r="P977" s="45"/>
      <c r="Q977" s="45"/>
      <c r="R977" s="45"/>
      <c r="S977" s="45"/>
    </row>
    <row r="978" spans="1:19">
      <c r="A978" s="15"/>
      <c r="B978" s="15"/>
      <c r="C978" s="42"/>
      <c r="D978" s="15"/>
      <c r="E978" s="42"/>
      <c r="F978" s="43"/>
      <c r="G978" s="15"/>
      <c r="H978" s="44"/>
      <c r="I978" s="15"/>
      <c r="J978" s="15"/>
      <c r="K978" s="15"/>
      <c r="L978" s="15"/>
      <c r="M978" s="15"/>
      <c r="N978" s="15"/>
      <c r="O978" s="15"/>
      <c r="P978" s="45"/>
      <c r="Q978" s="45"/>
      <c r="R978" s="45"/>
      <c r="S978" s="45"/>
    </row>
    <row r="979" spans="1:19">
      <c r="A979" s="15"/>
      <c r="B979" s="15"/>
      <c r="C979" s="42"/>
      <c r="D979" s="15"/>
      <c r="E979" s="42"/>
      <c r="F979" s="43"/>
      <c r="G979" s="15"/>
      <c r="H979" s="44"/>
      <c r="I979" s="15"/>
      <c r="J979" s="15"/>
      <c r="K979" s="15"/>
      <c r="L979" s="15"/>
      <c r="M979" s="15"/>
      <c r="N979" s="15"/>
      <c r="O979" s="15"/>
      <c r="P979" s="45"/>
      <c r="Q979" s="45"/>
      <c r="R979" s="45"/>
      <c r="S979" s="45"/>
    </row>
    <row r="980" spans="1:19">
      <c r="A980" s="15"/>
      <c r="B980" s="15"/>
      <c r="C980" s="42"/>
      <c r="D980" s="15"/>
      <c r="E980" s="42"/>
      <c r="F980" s="43"/>
      <c r="G980" s="15"/>
      <c r="H980" s="44"/>
      <c r="I980" s="15"/>
      <c r="J980" s="15"/>
      <c r="K980" s="15"/>
      <c r="L980" s="15"/>
      <c r="M980" s="15"/>
      <c r="N980" s="15"/>
      <c r="O980" s="15"/>
      <c r="P980" s="45"/>
      <c r="Q980" s="45"/>
      <c r="R980" s="45"/>
      <c r="S980" s="45"/>
    </row>
    <row r="981" spans="1:19">
      <c r="A981" s="15"/>
      <c r="B981" s="15"/>
      <c r="C981" s="42"/>
      <c r="D981" s="15"/>
      <c r="E981" s="42"/>
      <c r="F981" s="43"/>
      <c r="G981" s="15"/>
      <c r="H981" s="44"/>
      <c r="I981" s="15"/>
      <c r="J981" s="15"/>
      <c r="K981" s="15"/>
      <c r="L981" s="15"/>
      <c r="M981" s="15"/>
      <c r="N981" s="15"/>
      <c r="O981" s="15"/>
      <c r="P981" s="45"/>
      <c r="Q981" s="45"/>
      <c r="R981" s="45"/>
      <c r="S981" s="45"/>
    </row>
    <row r="982" spans="1:19">
      <c r="A982" s="15"/>
      <c r="B982" s="15"/>
      <c r="C982" s="42"/>
      <c r="D982" s="15"/>
      <c r="E982" s="42"/>
      <c r="F982" s="43"/>
      <c r="G982" s="15"/>
      <c r="H982" s="44"/>
      <c r="I982" s="15"/>
      <c r="J982" s="15"/>
      <c r="K982" s="15"/>
      <c r="L982" s="15"/>
      <c r="M982" s="15"/>
      <c r="N982" s="15"/>
      <c r="O982" s="15"/>
      <c r="P982" s="45"/>
      <c r="Q982" s="45"/>
      <c r="R982" s="45"/>
      <c r="S982" s="45"/>
    </row>
    <row r="983" spans="1:19">
      <c r="A983" s="15"/>
      <c r="B983" s="15"/>
      <c r="C983" s="42"/>
      <c r="D983" s="15"/>
      <c r="E983" s="42"/>
      <c r="F983" s="43"/>
      <c r="G983" s="15"/>
      <c r="H983" s="44"/>
      <c r="I983" s="15"/>
      <c r="J983" s="15"/>
      <c r="K983" s="15"/>
      <c r="L983" s="15"/>
      <c r="M983" s="15"/>
      <c r="N983" s="15"/>
      <c r="O983" s="15"/>
      <c r="P983" s="45"/>
      <c r="Q983" s="45"/>
      <c r="R983" s="45"/>
      <c r="S983" s="45"/>
    </row>
    <row r="984" spans="1:19">
      <c r="A984" s="15"/>
      <c r="B984" s="15"/>
      <c r="C984" s="42"/>
      <c r="D984" s="15"/>
      <c r="E984" s="42"/>
      <c r="F984" s="43"/>
      <c r="G984" s="15"/>
      <c r="H984" s="44"/>
      <c r="I984" s="15"/>
      <c r="J984" s="15"/>
      <c r="K984" s="15"/>
      <c r="L984" s="15"/>
      <c r="M984" s="15"/>
      <c r="N984" s="15"/>
      <c r="O984" s="15"/>
      <c r="P984" s="45"/>
      <c r="Q984" s="45"/>
      <c r="R984" s="45"/>
      <c r="S984" s="45"/>
    </row>
    <row r="985" spans="1:19">
      <c r="A985" s="15"/>
      <c r="B985" s="15"/>
      <c r="C985" s="42"/>
      <c r="D985" s="15"/>
      <c r="E985" s="42"/>
      <c r="F985" s="43"/>
      <c r="G985" s="15"/>
      <c r="H985" s="44"/>
      <c r="I985" s="15"/>
      <c r="J985" s="15"/>
      <c r="K985" s="15"/>
      <c r="L985" s="15"/>
      <c r="M985" s="15"/>
      <c r="N985" s="15"/>
      <c r="O985" s="15"/>
      <c r="P985" s="45"/>
      <c r="Q985" s="45"/>
      <c r="R985" s="45"/>
      <c r="S985" s="45"/>
    </row>
    <row r="986" spans="1:19">
      <c r="A986" s="15"/>
      <c r="B986" s="15"/>
      <c r="C986" s="42"/>
      <c r="D986" s="15"/>
      <c r="E986" s="42"/>
      <c r="F986" s="43"/>
      <c r="G986" s="15"/>
      <c r="H986" s="44"/>
      <c r="I986" s="15"/>
      <c r="J986" s="15"/>
      <c r="K986" s="15"/>
      <c r="L986" s="15"/>
      <c r="M986" s="15"/>
      <c r="N986" s="15"/>
      <c r="O986" s="15"/>
      <c r="P986" s="45"/>
      <c r="Q986" s="45"/>
      <c r="R986" s="45"/>
      <c r="S986" s="45"/>
    </row>
    <row r="987" spans="1:19">
      <c r="A987" s="15"/>
      <c r="B987" s="15"/>
      <c r="C987" s="42"/>
      <c r="D987" s="15"/>
      <c r="E987" s="42"/>
      <c r="F987" s="43"/>
      <c r="G987" s="15"/>
      <c r="H987" s="44"/>
      <c r="I987" s="15"/>
      <c r="J987" s="15"/>
      <c r="K987" s="15"/>
      <c r="L987" s="15"/>
      <c r="M987" s="15"/>
      <c r="N987" s="15"/>
      <c r="O987" s="15"/>
      <c r="P987" s="45"/>
      <c r="Q987" s="45"/>
      <c r="R987" s="45"/>
      <c r="S987" s="45"/>
    </row>
    <row r="988" spans="1:19">
      <c r="A988" s="15"/>
      <c r="B988" s="15"/>
      <c r="C988" s="42"/>
      <c r="D988" s="15"/>
      <c r="E988" s="42"/>
      <c r="F988" s="43"/>
      <c r="G988" s="15"/>
      <c r="H988" s="44"/>
      <c r="I988" s="15"/>
      <c r="J988" s="15"/>
      <c r="K988" s="15"/>
      <c r="L988" s="15"/>
      <c r="M988" s="15"/>
      <c r="N988" s="15"/>
      <c r="O988" s="15"/>
      <c r="P988" s="45"/>
      <c r="Q988" s="45"/>
      <c r="R988" s="45"/>
      <c r="S988" s="45"/>
    </row>
    <row r="989" spans="1:19">
      <c r="A989" s="15"/>
      <c r="B989" s="15"/>
      <c r="C989" s="42"/>
      <c r="D989" s="15"/>
      <c r="E989" s="42"/>
      <c r="F989" s="43"/>
      <c r="G989" s="15"/>
      <c r="H989" s="44"/>
      <c r="I989" s="15"/>
      <c r="J989" s="15"/>
      <c r="K989" s="15"/>
      <c r="L989" s="15"/>
      <c r="M989" s="15"/>
      <c r="N989" s="15"/>
      <c r="O989" s="15"/>
      <c r="P989" s="45"/>
      <c r="Q989" s="45"/>
      <c r="R989" s="45"/>
      <c r="S989" s="45"/>
    </row>
    <row r="990" spans="1:19">
      <c r="A990" s="15"/>
      <c r="B990" s="15"/>
      <c r="C990" s="42"/>
      <c r="D990" s="15"/>
      <c r="E990" s="42"/>
      <c r="F990" s="43"/>
      <c r="G990" s="15"/>
      <c r="H990" s="44"/>
      <c r="I990" s="15"/>
      <c r="J990" s="15"/>
      <c r="K990" s="15"/>
      <c r="L990" s="15"/>
      <c r="M990" s="15"/>
      <c r="N990" s="15"/>
      <c r="O990" s="15"/>
      <c r="P990" s="45"/>
      <c r="Q990" s="45"/>
      <c r="R990" s="45"/>
      <c r="S990" s="45"/>
    </row>
    <row r="991" spans="1:19">
      <c r="A991" s="15"/>
      <c r="B991" s="15"/>
      <c r="C991" s="42"/>
      <c r="D991" s="15"/>
      <c r="E991" s="42"/>
      <c r="F991" s="43"/>
      <c r="G991" s="15"/>
      <c r="H991" s="44"/>
      <c r="I991" s="15"/>
      <c r="J991" s="15"/>
      <c r="K991" s="15"/>
      <c r="L991" s="15"/>
      <c r="M991" s="15"/>
      <c r="N991" s="15"/>
      <c r="O991" s="15"/>
      <c r="P991" s="45"/>
      <c r="Q991" s="45"/>
      <c r="R991" s="45"/>
      <c r="S991" s="45"/>
    </row>
    <row r="992" spans="1:19">
      <c r="A992" s="15"/>
      <c r="B992" s="15"/>
      <c r="C992" s="42"/>
      <c r="D992" s="15"/>
      <c r="E992" s="42"/>
      <c r="F992" s="43"/>
      <c r="G992" s="15"/>
      <c r="H992" s="44"/>
      <c r="I992" s="15"/>
      <c r="J992" s="15"/>
      <c r="K992" s="15"/>
      <c r="L992" s="15"/>
      <c r="M992" s="15"/>
      <c r="N992" s="15"/>
      <c r="O992" s="15"/>
      <c r="P992" s="45"/>
      <c r="Q992" s="45"/>
      <c r="R992" s="45"/>
      <c r="S992" s="45"/>
    </row>
    <row r="993" spans="1:19">
      <c r="A993" s="15"/>
      <c r="B993" s="15"/>
      <c r="C993" s="42"/>
      <c r="D993" s="15"/>
      <c r="E993" s="42"/>
      <c r="F993" s="43"/>
      <c r="G993" s="15"/>
      <c r="H993" s="44"/>
      <c r="I993" s="15"/>
      <c r="J993" s="15"/>
      <c r="K993" s="15"/>
      <c r="L993" s="15"/>
      <c r="M993" s="15"/>
      <c r="N993" s="15"/>
      <c r="O993" s="15"/>
      <c r="P993" s="45"/>
      <c r="Q993" s="45"/>
      <c r="R993" s="45"/>
      <c r="S993" s="45"/>
    </row>
    <row r="994" spans="1:19">
      <c r="A994" s="15"/>
      <c r="B994" s="15"/>
      <c r="C994" s="42"/>
      <c r="D994" s="15"/>
      <c r="E994" s="42"/>
      <c r="F994" s="43"/>
      <c r="G994" s="15"/>
      <c r="H994" s="44"/>
      <c r="I994" s="15"/>
      <c r="J994" s="15"/>
      <c r="K994" s="15"/>
      <c r="L994" s="15"/>
      <c r="M994" s="15"/>
      <c r="N994" s="15"/>
      <c r="O994" s="15"/>
      <c r="P994" s="45"/>
      <c r="Q994" s="45"/>
      <c r="R994" s="45"/>
      <c r="S994" s="45"/>
    </row>
    <row r="995" spans="1:19">
      <c r="A995" s="15"/>
      <c r="B995" s="15"/>
      <c r="C995" s="42"/>
      <c r="D995" s="15"/>
      <c r="E995" s="42"/>
      <c r="F995" s="43"/>
      <c r="G995" s="15"/>
      <c r="H995" s="44"/>
      <c r="I995" s="15"/>
      <c r="J995" s="15"/>
      <c r="K995" s="15"/>
      <c r="L995" s="15"/>
      <c r="M995" s="15"/>
      <c r="N995" s="15"/>
      <c r="O995" s="15"/>
      <c r="P995" s="45"/>
      <c r="Q995" s="45"/>
      <c r="R995" s="45"/>
      <c r="S995" s="45"/>
    </row>
    <row r="996" spans="1:19">
      <c r="A996" s="15"/>
      <c r="B996" s="15"/>
      <c r="C996" s="42"/>
      <c r="D996" s="15"/>
      <c r="E996" s="42"/>
      <c r="F996" s="43"/>
      <c r="G996" s="15"/>
      <c r="H996" s="44"/>
      <c r="I996" s="15"/>
      <c r="J996" s="15"/>
      <c r="K996" s="15"/>
      <c r="L996" s="15"/>
      <c r="M996" s="15"/>
      <c r="N996" s="15"/>
      <c r="O996" s="15"/>
      <c r="P996" s="45"/>
      <c r="Q996" s="45"/>
      <c r="R996" s="45"/>
      <c r="S996" s="45"/>
    </row>
    <row r="997" spans="1:19">
      <c r="A997" s="15"/>
      <c r="B997" s="15"/>
      <c r="C997" s="42"/>
      <c r="D997" s="15"/>
      <c r="E997" s="42"/>
      <c r="F997" s="43"/>
      <c r="G997" s="15"/>
      <c r="H997" s="44"/>
      <c r="I997" s="15"/>
      <c r="J997" s="15"/>
      <c r="K997" s="15"/>
      <c r="L997" s="15"/>
      <c r="M997" s="15"/>
      <c r="N997" s="15"/>
      <c r="O997" s="15"/>
      <c r="P997" s="45"/>
      <c r="Q997" s="45"/>
      <c r="R997" s="45"/>
      <c r="S997" s="45"/>
    </row>
    <row r="998" spans="1:19">
      <c r="A998" s="15"/>
      <c r="B998" s="15"/>
      <c r="C998" s="42"/>
      <c r="D998" s="15"/>
      <c r="E998" s="42"/>
      <c r="F998" s="43"/>
      <c r="G998" s="15"/>
      <c r="H998" s="44"/>
      <c r="I998" s="15"/>
      <c r="J998" s="15"/>
      <c r="K998" s="15"/>
      <c r="L998" s="15"/>
      <c r="M998" s="15"/>
      <c r="N998" s="15"/>
      <c r="O998" s="15"/>
      <c r="P998" s="45"/>
      <c r="Q998" s="45"/>
      <c r="R998" s="45"/>
      <c r="S998" s="45"/>
    </row>
    <row r="999" spans="1:19">
      <c r="A999" s="15"/>
      <c r="B999" s="15"/>
      <c r="C999" s="42"/>
      <c r="D999" s="15"/>
      <c r="E999" s="42"/>
      <c r="F999" s="43"/>
      <c r="G999" s="15"/>
      <c r="H999" s="44"/>
      <c r="I999" s="15"/>
      <c r="J999" s="15"/>
      <c r="K999" s="15"/>
      <c r="L999" s="15"/>
      <c r="M999" s="15"/>
      <c r="N999" s="15"/>
      <c r="O999" s="15"/>
      <c r="P999" s="45"/>
      <c r="Q999" s="45"/>
      <c r="R999" s="45"/>
      <c r="S999" s="45"/>
    </row>
    <row r="1000" spans="1:19">
      <c r="A1000" s="15"/>
      <c r="B1000" s="15"/>
      <c r="C1000" s="42"/>
      <c r="D1000" s="15"/>
      <c r="E1000" s="42"/>
      <c r="F1000" s="43"/>
      <c r="G1000" s="15"/>
      <c r="H1000" s="44"/>
      <c r="I1000" s="15"/>
      <c r="J1000" s="15"/>
      <c r="K1000" s="15"/>
      <c r="L1000" s="15"/>
      <c r="M1000" s="15"/>
      <c r="N1000" s="15"/>
      <c r="O1000" s="15"/>
      <c r="P1000" s="45"/>
      <c r="Q1000" s="45"/>
      <c r="R1000" s="45"/>
      <c r="S1000" s="45"/>
    </row>
  </sheetData>
  <conditionalFormatting sqref="S2:S1000">
    <cfRule type="cellIs" dxfId="0" priority="1" operator="lessThan">
      <formula>0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xr:uid="{00000000-0002-0000-0500-000000000000}">
          <x14:formula1>
            <xm:f>Listas!$B$2:$B$100</xm:f>
          </x14:formula1>
          <xm:sqref>G2:G1000</xm:sqref>
        </x14:dataValidation>
        <x14:dataValidation type="list" xr:uid="{00000000-0002-0000-0500-000001000000}">
          <x14:formula1>
            <xm:f>Listas!$C$2:$C$20</xm:f>
          </x14:formula1>
          <xm:sqref>I2:I1000</xm:sqref>
        </x14:dataValidation>
        <x14:dataValidation type="list" xr:uid="{00000000-0002-0000-0500-000002000000}">
          <x14:formula1>
            <xm:f>Listas!$D$2:$D$20</xm:f>
          </x14:formula1>
          <xm:sqref>J2:J1000</xm:sqref>
        </x14:dataValidation>
        <x14:dataValidation type="list" xr:uid="{00000000-0002-0000-0500-000003000000}">
          <x14:formula1>
            <xm:f>Listas!$E$2:$E$20</xm:f>
          </x14:formula1>
          <xm:sqref>K2:K1000</xm:sqref>
        </x14:dataValidation>
        <x14:dataValidation type="list" xr:uid="{00000000-0002-0000-0500-000004000000}">
          <x14:formula1>
            <xm:f>Listas!$F$2:$F$20</xm:f>
          </x14:formula1>
          <xm:sqref>M2:M1000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000"/>
  <sheetViews>
    <sheetView showGridLines="0" workbookViewId="0">
      <pane ySplit="1" topLeftCell="A2" activePane="bottomLeft" state="frozen"/>
      <selection pane="bottomLeft"/>
    </sheetView>
  </sheetViews>
  <sheetFormatPr defaultRowHeight="14"/>
  <cols>
    <col min="1" max="1" width="16" customWidth="1"/>
    <col min="2" max="2" width="34" customWidth="1"/>
    <col min="3" max="3" width="28" customWidth="1"/>
    <col min="4" max="9" width="16" customWidth="1"/>
    <col min="10" max="10" width="30" customWidth="1"/>
    <col min="11" max="14" width="16" customWidth="1"/>
  </cols>
  <sheetData>
    <row r="1" spans="1:14" ht="32" customHeight="1">
      <c r="A1" s="3" t="s">
        <v>1787</v>
      </c>
      <c r="B1" s="29" t="s">
        <v>51</v>
      </c>
      <c r="C1" s="29" t="s">
        <v>52</v>
      </c>
      <c r="D1" s="29" t="s">
        <v>53</v>
      </c>
      <c r="E1" s="29" t="s">
        <v>56</v>
      </c>
      <c r="F1" s="29" t="s">
        <v>1788</v>
      </c>
      <c r="G1" s="29" t="s">
        <v>1789</v>
      </c>
      <c r="H1" s="29" t="s">
        <v>1790</v>
      </c>
      <c r="I1" s="29" t="s">
        <v>25</v>
      </c>
      <c r="J1" s="29" t="s">
        <v>43</v>
      </c>
      <c r="K1" s="29" t="s">
        <v>1791</v>
      </c>
      <c r="L1" s="29" t="s">
        <v>1792</v>
      </c>
      <c r="M1" s="29" t="s">
        <v>1793</v>
      </c>
      <c r="N1" s="4" t="s">
        <v>1794</v>
      </c>
    </row>
    <row r="2" spans="1:14">
      <c r="D2" s="46"/>
      <c r="E2" s="46"/>
      <c r="F2" s="46"/>
      <c r="G2" s="46"/>
      <c r="K2" t="str">
        <f>IF(OR(E2="",F2=""),"",F2-E2+1)</f>
        <v/>
      </c>
      <c r="L2" t="str">
        <f>IF(A2="","",COUNTIF('Detalle Alquiler'!$B$2:$B$5000,A2))</f>
        <v/>
      </c>
      <c r="M2" t="str">
        <f>IF(A2="","",SUMIF('Detalle Alquiler'!$B$2:$B$5000,A2,'Detalle Alquiler'!$F$2:$F$5000))</f>
        <v/>
      </c>
      <c r="N2" t="str">
        <f>IF(A2="","",SUMIF('Detalle Alquiler'!$B$2:$B$5000,A2,'Detalle Alquiler'!$J$2:$J$5000))</f>
        <v/>
      </c>
    </row>
    <row r="3" spans="1:14">
      <c r="D3" s="46"/>
      <c r="E3" s="46"/>
      <c r="F3" s="46"/>
      <c r="G3" s="46"/>
    </row>
    <row r="4" spans="1:14">
      <c r="D4" s="46"/>
      <c r="E4" s="46"/>
      <c r="F4" s="46"/>
      <c r="G4" s="46"/>
    </row>
    <row r="5" spans="1:14">
      <c r="D5" s="46"/>
      <c r="E5" s="46"/>
      <c r="F5" s="46"/>
      <c r="G5" s="46"/>
    </row>
    <row r="6" spans="1:14">
      <c r="D6" s="46"/>
      <c r="E6" s="46"/>
      <c r="F6" s="46"/>
      <c r="G6" s="46"/>
    </row>
    <row r="7" spans="1:14">
      <c r="D7" s="46"/>
      <c r="E7" s="46"/>
      <c r="F7" s="46"/>
      <c r="G7" s="46"/>
    </row>
    <row r="8" spans="1:14">
      <c r="D8" s="46"/>
      <c r="E8" s="46"/>
      <c r="F8" s="46"/>
      <c r="G8" s="46"/>
    </row>
    <row r="9" spans="1:14">
      <c r="D9" s="46"/>
      <c r="E9" s="46"/>
      <c r="F9" s="46"/>
      <c r="G9" s="46"/>
    </row>
    <row r="10" spans="1:14">
      <c r="D10" s="46"/>
      <c r="E10" s="46"/>
      <c r="F10" s="46"/>
      <c r="G10" s="46"/>
    </row>
    <row r="11" spans="1:14">
      <c r="D11" s="46"/>
      <c r="E11" s="46"/>
      <c r="F11" s="46"/>
      <c r="G11" s="46"/>
    </row>
    <row r="12" spans="1:14">
      <c r="D12" s="46"/>
      <c r="E12" s="46"/>
      <c r="F12" s="46"/>
      <c r="G12" s="46"/>
    </row>
    <row r="13" spans="1:14">
      <c r="D13" s="46"/>
      <c r="E13" s="46"/>
      <c r="F13" s="46"/>
      <c r="G13" s="46"/>
    </row>
    <row r="14" spans="1:14">
      <c r="D14" s="46"/>
      <c r="E14" s="46"/>
      <c r="F14" s="46"/>
      <c r="G14" s="46"/>
    </row>
    <row r="15" spans="1:14">
      <c r="D15" s="46"/>
      <c r="E15" s="46"/>
      <c r="F15" s="46"/>
      <c r="G15" s="46"/>
    </row>
    <row r="16" spans="1:14">
      <c r="D16" s="46"/>
      <c r="E16" s="46"/>
      <c r="F16" s="46"/>
      <c r="G16" s="46"/>
    </row>
    <row r="17" spans="4:7">
      <c r="D17" s="46"/>
      <c r="E17" s="46"/>
      <c r="F17" s="46"/>
      <c r="G17" s="46"/>
    </row>
    <row r="18" spans="4:7">
      <c r="D18" s="46"/>
      <c r="E18" s="46"/>
      <c r="F18" s="46"/>
      <c r="G18" s="46"/>
    </row>
    <row r="19" spans="4:7">
      <c r="D19" s="46"/>
      <c r="E19" s="46"/>
      <c r="F19" s="46"/>
      <c r="G19" s="46"/>
    </row>
    <row r="20" spans="4:7">
      <c r="D20" s="46"/>
      <c r="E20" s="46"/>
      <c r="F20" s="46"/>
      <c r="G20" s="46"/>
    </row>
    <row r="21" spans="4:7">
      <c r="D21" s="46"/>
      <c r="E21" s="46"/>
      <c r="F21" s="46"/>
      <c r="G21" s="46"/>
    </row>
    <row r="22" spans="4:7">
      <c r="D22" s="46"/>
      <c r="E22" s="46"/>
      <c r="F22" s="46"/>
      <c r="G22" s="46"/>
    </row>
    <row r="23" spans="4:7">
      <c r="D23" s="46"/>
      <c r="E23" s="46"/>
      <c r="F23" s="46"/>
      <c r="G23" s="46"/>
    </row>
    <row r="24" spans="4:7">
      <c r="D24" s="46"/>
      <c r="E24" s="46"/>
      <c r="F24" s="46"/>
      <c r="G24" s="46"/>
    </row>
    <row r="25" spans="4:7">
      <c r="D25" s="46"/>
      <c r="E25" s="46"/>
      <c r="F25" s="46"/>
      <c r="G25" s="46"/>
    </row>
    <row r="26" spans="4:7">
      <c r="D26" s="46"/>
      <c r="E26" s="46"/>
      <c r="F26" s="46"/>
      <c r="G26" s="46"/>
    </row>
    <row r="27" spans="4:7">
      <c r="D27" s="46"/>
      <c r="E27" s="46"/>
      <c r="F27" s="46"/>
      <c r="G27" s="46"/>
    </row>
    <row r="28" spans="4:7">
      <c r="D28" s="46"/>
      <c r="E28" s="46"/>
      <c r="F28" s="46"/>
      <c r="G28" s="46"/>
    </row>
    <row r="29" spans="4:7">
      <c r="D29" s="46"/>
      <c r="E29" s="46"/>
      <c r="F29" s="46"/>
      <c r="G29" s="46"/>
    </row>
    <row r="30" spans="4:7">
      <c r="D30" s="46"/>
      <c r="E30" s="46"/>
      <c r="F30" s="46"/>
      <c r="G30" s="46"/>
    </row>
    <row r="31" spans="4:7">
      <c r="D31" s="46"/>
      <c r="E31" s="46"/>
      <c r="F31" s="46"/>
      <c r="G31" s="46"/>
    </row>
    <row r="32" spans="4:7">
      <c r="D32" s="46"/>
      <c r="E32" s="46"/>
      <c r="F32" s="46"/>
      <c r="G32" s="46"/>
    </row>
    <row r="33" spans="4:7">
      <c r="D33" s="46"/>
      <c r="E33" s="46"/>
      <c r="F33" s="46"/>
      <c r="G33" s="46"/>
    </row>
    <row r="34" spans="4:7">
      <c r="D34" s="46"/>
      <c r="E34" s="46"/>
      <c r="F34" s="46"/>
      <c r="G34" s="46"/>
    </row>
    <row r="35" spans="4:7">
      <c r="D35" s="46"/>
      <c r="E35" s="46"/>
      <c r="F35" s="46"/>
      <c r="G35" s="46"/>
    </row>
    <row r="36" spans="4:7">
      <c r="D36" s="46"/>
      <c r="E36" s="46"/>
      <c r="F36" s="46"/>
      <c r="G36" s="46"/>
    </row>
    <row r="37" spans="4:7">
      <c r="D37" s="46"/>
      <c r="E37" s="46"/>
      <c r="F37" s="46"/>
      <c r="G37" s="46"/>
    </row>
    <row r="38" spans="4:7">
      <c r="D38" s="46"/>
      <c r="E38" s="46"/>
      <c r="F38" s="46"/>
      <c r="G38" s="46"/>
    </row>
    <row r="39" spans="4:7">
      <c r="D39" s="46"/>
      <c r="E39" s="46"/>
      <c r="F39" s="46"/>
      <c r="G39" s="46"/>
    </row>
    <row r="40" spans="4:7">
      <c r="D40" s="46"/>
      <c r="E40" s="46"/>
      <c r="F40" s="46"/>
      <c r="G40" s="46"/>
    </row>
    <row r="41" spans="4:7">
      <c r="D41" s="46"/>
      <c r="E41" s="46"/>
      <c r="F41" s="46"/>
      <c r="G41" s="46"/>
    </row>
    <row r="42" spans="4:7">
      <c r="D42" s="46"/>
      <c r="E42" s="46"/>
      <c r="F42" s="46"/>
      <c r="G42" s="46"/>
    </row>
    <row r="43" spans="4:7">
      <c r="D43" s="46"/>
      <c r="E43" s="46"/>
      <c r="F43" s="46"/>
      <c r="G43" s="46"/>
    </row>
    <row r="44" spans="4:7">
      <c r="D44" s="46"/>
      <c r="E44" s="46"/>
      <c r="F44" s="46"/>
      <c r="G44" s="46"/>
    </row>
    <row r="45" spans="4:7">
      <c r="D45" s="46"/>
      <c r="E45" s="46"/>
      <c r="F45" s="46"/>
      <c r="G45" s="46"/>
    </row>
    <row r="46" spans="4:7">
      <c r="D46" s="46"/>
      <c r="E46" s="46"/>
      <c r="F46" s="46"/>
      <c r="G46" s="46"/>
    </row>
    <row r="47" spans="4:7">
      <c r="D47" s="46"/>
      <c r="E47" s="46"/>
      <c r="F47" s="46"/>
      <c r="G47" s="46"/>
    </row>
    <row r="48" spans="4:7">
      <c r="D48" s="46"/>
      <c r="E48" s="46"/>
      <c r="F48" s="46"/>
      <c r="G48" s="46"/>
    </row>
    <row r="49" spans="4:7">
      <c r="D49" s="46"/>
      <c r="E49" s="46"/>
      <c r="F49" s="46"/>
      <c r="G49" s="46"/>
    </row>
    <row r="50" spans="4:7">
      <c r="D50" s="46"/>
      <c r="E50" s="46"/>
      <c r="F50" s="46"/>
      <c r="G50" s="46"/>
    </row>
    <row r="51" spans="4:7">
      <c r="D51" s="46"/>
      <c r="E51" s="46"/>
      <c r="F51" s="46"/>
      <c r="G51" s="46"/>
    </row>
    <row r="52" spans="4:7">
      <c r="D52" s="46"/>
      <c r="E52" s="46"/>
      <c r="F52" s="46"/>
      <c r="G52" s="46"/>
    </row>
    <row r="53" spans="4:7">
      <c r="D53" s="46"/>
      <c r="E53" s="46"/>
      <c r="F53" s="46"/>
      <c r="G53" s="46"/>
    </row>
    <row r="54" spans="4:7">
      <c r="D54" s="46"/>
      <c r="E54" s="46"/>
      <c r="F54" s="46"/>
      <c r="G54" s="46"/>
    </row>
    <row r="55" spans="4:7">
      <c r="D55" s="46"/>
      <c r="E55" s="46"/>
      <c r="F55" s="46"/>
      <c r="G55" s="46"/>
    </row>
    <row r="56" spans="4:7">
      <c r="D56" s="46"/>
      <c r="E56" s="46"/>
      <c r="F56" s="46"/>
      <c r="G56" s="46"/>
    </row>
    <row r="57" spans="4:7">
      <c r="D57" s="46"/>
      <c r="E57" s="46"/>
      <c r="F57" s="46"/>
      <c r="G57" s="46"/>
    </row>
    <row r="58" spans="4:7">
      <c r="D58" s="46"/>
      <c r="E58" s="46"/>
      <c r="F58" s="46"/>
      <c r="G58" s="46"/>
    </row>
    <row r="59" spans="4:7">
      <c r="D59" s="46"/>
      <c r="E59" s="46"/>
      <c r="F59" s="46"/>
      <c r="G59" s="46"/>
    </row>
    <row r="60" spans="4:7">
      <c r="D60" s="46"/>
      <c r="E60" s="46"/>
      <c r="F60" s="46"/>
      <c r="G60" s="46"/>
    </row>
    <row r="61" spans="4:7">
      <c r="D61" s="46"/>
      <c r="E61" s="46"/>
      <c r="F61" s="46"/>
      <c r="G61" s="46"/>
    </row>
    <row r="62" spans="4:7">
      <c r="D62" s="46"/>
      <c r="E62" s="46"/>
      <c r="F62" s="46"/>
      <c r="G62" s="46"/>
    </row>
    <row r="63" spans="4:7">
      <c r="D63" s="46"/>
      <c r="E63" s="46"/>
      <c r="F63" s="46"/>
      <c r="G63" s="46"/>
    </row>
    <row r="64" spans="4:7">
      <c r="D64" s="46"/>
      <c r="E64" s="46"/>
      <c r="F64" s="46"/>
      <c r="G64" s="46"/>
    </row>
    <row r="65" spans="4:7">
      <c r="D65" s="46"/>
      <c r="E65" s="46"/>
      <c r="F65" s="46"/>
      <c r="G65" s="46"/>
    </row>
    <row r="66" spans="4:7">
      <c r="D66" s="46"/>
      <c r="E66" s="46"/>
      <c r="F66" s="46"/>
      <c r="G66" s="46"/>
    </row>
    <row r="67" spans="4:7">
      <c r="D67" s="46"/>
      <c r="E67" s="46"/>
      <c r="F67" s="46"/>
      <c r="G67" s="46"/>
    </row>
    <row r="68" spans="4:7">
      <c r="D68" s="46"/>
      <c r="E68" s="46"/>
      <c r="F68" s="46"/>
      <c r="G68" s="46"/>
    </row>
    <row r="69" spans="4:7">
      <c r="D69" s="46"/>
      <c r="E69" s="46"/>
      <c r="F69" s="46"/>
      <c r="G69" s="46"/>
    </row>
    <row r="70" spans="4:7">
      <c r="D70" s="46"/>
      <c r="E70" s="46"/>
      <c r="F70" s="46"/>
      <c r="G70" s="46"/>
    </row>
    <row r="71" spans="4:7">
      <c r="D71" s="46"/>
      <c r="E71" s="46"/>
      <c r="F71" s="46"/>
      <c r="G71" s="46"/>
    </row>
    <row r="72" spans="4:7">
      <c r="D72" s="46"/>
      <c r="E72" s="46"/>
      <c r="F72" s="46"/>
      <c r="G72" s="46"/>
    </row>
    <row r="73" spans="4:7">
      <c r="D73" s="46"/>
      <c r="E73" s="46"/>
      <c r="F73" s="46"/>
      <c r="G73" s="46"/>
    </row>
    <row r="74" spans="4:7">
      <c r="D74" s="46"/>
      <c r="E74" s="46"/>
      <c r="F74" s="46"/>
      <c r="G74" s="46"/>
    </row>
    <row r="75" spans="4:7">
      <c r="D75" s="46"/>
      <c r="E75" s="46"/>
      <c r="F75" s="46"/>
      <c r="G75" s="46"/>
    </row>
    <row r="76" spans="4:7">
      <c r="D76" s="46"/>
      <c r="E76" s="46"/>
      <c r="F76" s="46"/>
      <c r="G76" s="46"/>
    </row>
    <row r="77" spans="4:7">
      <c r="D77" s="46"/>
      <c r="E77" s="46"/>
      <c r="F77" s="46"/>
      <c r="G77" s="46"/>
    </row>
    <row r="78" spans="4:7">
      <c r="D78" s="46"/>
      <c r="E78" s="46"/>
      <c r="F78" s="46"/>
      <c r="G78" s="46"/>
    </row>
    <row r="79" spans="4:7">
      <c r="D79" s="46"/>
      <c r="E79" s="46"/>
      <c r="F79" s="46"/>
      <c r="G79" s="46"/>
    </row>
    <row r="80" spans="4:7">
      <c r="D80" s="46"/>
      <c r="E80" s="46"/>
      <c r="F80" s="46"/>
      <c r="G80" s="46"/>
    </row>
    <row r="81" spans="4:7">
      <c r="D81" s="46"/>
      <c r="E81" s="46"/>
      <c r="F81" s="46"/>
      <c r="G81" s="46"/>
    </row>
    <row r="82" spans="4:7">
      <c r="D82" s="46"/>
      <c r="E82" s="46"/>
      <c r="F82" s="46"/>
      <c r="G82" s="46"/>
    </row>
    <row r="83" spans="4:7">
      <c r="D83" s="46"/>
      <c r="E83" s="46"/>
      <c r="F83" s="46"/>
      <c r="G83" s="46"/>
    </row>
    <row r="84" spans="4:7">
      <c r="D84" s="46"/>
      <c r="E84" s="46"/>
      <c r="F84" s="46"/>
      <c r="G84" s="46"/>
    </row>
    <row r="85" spans="4:7">
      <c r="D85" s="46"/>
      <c r="E85" s="46"/>
      <c r="F85" s="46"/>
      <c r="G85" s="46"/>
    </row>
    <row r="86" spans="4:7">
      <c r="D86" s="46"/>
      <c r="E86" s="46"/>
      <c r="F86" s="46"/>
      <c r="G86" s="46"/>
    </row>
    <row r="87" spans="4:7">
      <c r="D87" s="46"/>
      <c r="E87" s="46"/>
      <c r="F87" s="46"/>
      <c r="G87" s="46"/>
    </row>
    <row r="88" spans="4:7">
      <c r="D88" s="46"/>
      <c r="E88" s="46"/>
      <c r="F88" s="46"/>
      <c r="G88" s="46"/>
    </row>
    <row r="89" spans="4:7">
      <c r="D89" s="46"/>
      <c r="E89" s="46"/>
      <c r="F89" s="46"/>
      <c r="G89" s="46"/>
    </row>
    <row r="90" spans="4:7">
      <c r="D90" s="46"/>
      <c r="E90" s="46"/>
      <c r="F90" s="46"/>
      <c r="G90" s="46"/>
    </row>
    <row r="91" spans="4:7">
      <c r="D91" s="46"/>
      <c r="E91" s="46"/>
      <c r="F91" s="46"/>
      <c r="G91" s="46"/>
    </row>
    <row r="92" spans="4:7">
      <c r="D92" s="46"/>
      <c r="E92" s="46"/>
      <c r="F92" s="46"/>
      <c r="G92" s="46"/>
    </row>
    <row r="93" spans="4:7">
      <c r="D93" s="46"/>
      <c r="E93" s="46"/>
      <c r="F93" s="46"/>
      <c r="G93" s="46"/>
    </row>
    <row r="94" spans="4:7">
      <c r="D94" s="46"/>
      <c r="E94" s="46"/>
      <c r="F94" s="46"/>
      <c r="G94" s="46"/>
    </row>
    <row r="95" spans="4:7">
      <c r="D95" s="46"/>
      <c r="E95" s="46"/>
      <c r="F95" s="46"/>
      <c r="G95" s="46"/>
    </row>
    <row r="96" spans="4:7">
      <c r="D96" s="46"/>
      <c r="E96" s="46"/>
      <c r="F96" s="46"/>
      <c r="G96" s="46"/>
    </row>
    <row r="97" spans="4:7">
      <c r="D97" s="46"/>
      <c r="E97" s="46"/>
      <c r="F97" s="46"/>
      <c r="G97" s="46"/>
    </row>
    <row r="98" spans="4:7">
      <c r="D98" s="46"/>
      <c r="E98" s="46"/>
      <c r="F98" s="46"/>
      <c r="G98" s="46"/>
    </row>
    <row r="99" spans="4:7">
      <c r="D99" s="46"/>
      <c r="E99" s="46"/>
      <c r="F99" s="46"/>
      <c r="G99" s="46"/>
    </row>
    <row r="100" spans="4:7">
      <c r="D100" s="46"/>
      <c r="E100" s="46"/>
      <c r="F100" s="46"/>
      <c r="G100" s="46"/>
    </row>
    <row r="101" spans="4:7">
      <c r="D101" s="46"/>
      <c r="E101" s="46"/>
      <c r="F101" s="46"/>
      <c r="G101" s="46"/>
    </row>
    <row r="102" spans="4:7">
      <c r="D102" s="46"/>
      <c r="E102" s="46"/>
      <c r="F102" s="46"/>
      <c r="G102" s="46"/>
    </row>
    <row r="103" spans="4:7">
      <c r="D103" s="46"/>
      <c r="E103" s="46"/>
      <c r="F103" s="46"/>
      <c r="G103" s="46"/>
    </row>
    <row r="104" spans="4:7">
      <c r="D104" s="46"/>
      <c r="E104" s="46"/>
      <c r="F104" s="46"/>
      <c r="G104" s="46"/>
    </row>
    <row r="105" spans="4:7">
      <c r="D105" s="46"/>
      <c r="E105" s="46"/>
      <c r="F105" s="46"/>
      <c r="G105" s="46"/>
    </row>
    <row r="106" spans="4:7">
      <c r="D106" s="46"/>
      <c r="E106" s="46"/>
      <c r="F106" s="46"/>
      <c r="G106" s="46"/>
    </row>
    <row r="107" spans="4:7">
      <c r="D107" s="46"/>
      <c r="E107" s="46"/>
      <c r="F107" s="46"/>
      <c r="G107" s="46"/>
    </row>
    <row r="108" spans="4:7">
      <c r="D108" s="46"/>
      <c r="E108" s="46"/>
      <c r="F108" s="46"/>
      <c r="G108" s="46"/>
    </row>
    <row r="109" spans="4:7">
      <c r="D109" s="46"/>
      <c r="E109" s="46"/>
      <c r="F109" s="46"/>
      <c r="G109" s="46"/>
    </row>
    <row r="110" spans="4:7">
      <c r="D110" s="46"/>
      <c r="E110" s="46"/>
      <c r="F110" s="46"/>
      <c r="G110" s="46"/>
    </row>
    <row r="111" spans="4:7">
      <c r="D111" s="46"/>
      <c r="E111" s="46"/>
      <c r="F111" s="46"/>
      <c r="G111" s="46"/>
    </row>
    <row r="112" spans="4:7">
      <c r="D112" s="46"/>
      <c r="E112" s="46"/>
      <c r="F112" s="46"/>
      <c r="G112" s="46"/>
    </row>
    <row r="113" spans="4:7">
      <c r="D113" s="46"/>
      <c r="E113" s="46"/>
      <c r="F113" s="46"/>
      <c r="G113" s="46"/>
    </row>
    <row r="114" spans="4:7">
      <c r="D114" s="46"/>
      <c r="E114" s="46"/>
      <c r="F114" s="46"/>
      <c r="G114" s="46"/>
    </row>
    <row r="115" spans="4:7">
      <c r="D115" s="46"/>
      <c r="E115" s="46"/>
      <c r="F115" s="46"/>
      <c r="G115" s="46"/>
    </row>
    <row r="116" spans="4:7">
      <c r="D116" s="46"/>
      <c r="E116" s="46"/>
      <c r="F116" s="46"/>
      <c r="G116" s="46"/>
    </row>
    <row r="117" spans="4:7">
      <c r="D117" s="46"/>
      <c r="E117" s="46"/>
      <c r="F117" s="46"/>
      <c r="G117" s="46"/>
    </row>
    <row r="118" spans="4:7">
      <c r="D118" s="46"/>
      <c r="E118" s="46"/>
      <c r="F118" s="46"/>
      <c r="G118" s="46"/>
    </row>
    <row r="119" spans="4:7">
      <c r="D119" s="46"/>
      <c r="E119" s="46"/>
      <c r="F119" s="46"/>
      <c r="G119" s="46"/>
    </row>
    <row r="120" spans="4:7">
      <c r="D120" s="46"/>
      <c r="E120" s="46"/>
      <c r="F120" s="46"/>
      <c r="G120" s="46"/>
    </row>
    <row r="121" spans="4:7">
      <c r="D121" s="46"/>
      <c r="E121" s="46"/>
      <c r="F121" s="46"/>
      <c r="G121" s="46"/>
    </row>
    <row r="122" spans="4:7">
      <c r="D122" s="46"/>
      <c r="E122" s="46"/>
      <c r="F122" s="46"/>
      <c r="G122" s="46"/>
    </row>
    <row r="123" spans="4:7">
      <c r="D123" s="46"/>
      <c r="E123" s="46"/>
      <c r="F123" s="46"/>
      <c r="G123" s="46"/>
    </row>
    <row r="124" spans="4:7">
      <c r="D124" s="46"/>
      <c r="E124" s="46"/>
      <c r="F124" s="46"/>
      <c r="G124" s="46"/>
    </row>
    <row r="125" spans="4:7">
      <c r="D125" s="46"/>
      <c r="E125" s="46"/>
      <c r="F125" s="46"/>
      <c r="G125" s="46"/>
    </row>
    <row r="126" spans="4:7">
      <c r="D126" s="46"/>
      <c r="E126" s="46"/>
      <c r="F126" s="46"/>
      <c r="G126" s="46"/>
    </row>
    <row r="127" spans="4:7">
      <c r="D127" s="46"/>
      <c r="E127" s="46"/>
      <c r="F127" s="46"/>
      <c r="G127" s="46"/>
    </row>
    <row r="128" spans="4:7">
      <c r="D128" s="46"/>
      <c r="E128" s="46"/>
      <c r="F128" s="46"/>
      <c r="G128" s="46"/>
    </row>
    <row r="129" spans="4:7">
      <c r="D129" s="46"/>
      <c r="E129" s="46"/>
      <c r="F129" s="46"/>
      <c r="G129" s="46"/>
    </row>
    <row r="130" spans="4:7">
      <c r="D130" s="46"/>
      <c r="E130" s="46"/>
      <c r="F130" s="46"/>
      <c r="G130" s="46"/>
    </row>
    <row r="131" spans="4:7">
      <c r="D131" s="46"/>
      <c r="E131" s="46"/>
      <c r="F131" s="46"/>
      <c r="G131" s="46"/>
    </row>
    <row r="132" spans="4:7">
      <c r="D132" s="46"/>
      <c r="E132" s="46"/>
      <c r="F132" s="46"/>
      <c r="G132" s="46"/>
    </row>
    <row r="133" spans="4:7">
      <c r="D133" s="46"/>
      <c r="E133" s="46"/>
      <c r="F133" s="46"/>
      <c r="G133" s="46"/>
    </row>
    <row r="134" spans="4:7">
      <c r="D134" s="46"/>
      <c r="E134" s="46"/>
      <c r="F134" s="46"/>
      <c r="G134" s="46"/>
    </row>
    <row r="135" spans="4:7">
      <c r="D135" s="46"/>
      <c r="E135" s="46"/>
      <c r="F135" s="46"/>
      <c r="G135" s="46"/>
    </row>
    <row r="136" spans="4:7">
      <c r="D136" s="46"/>
      <c r="E136" s="46"/>
      <c r="F136" s="46"/>
      <c r="G136" s="46"/>
    </row>
    <row r="137" spans="4:7">
      <c r="D137" s="46"/>
      <c r="E137" s="46"/>
      <c r="F137" s="46"/>
      <c r="G137" s="46"/>
    </row>
    <row r="138" spans="4:7">
      <c r="D138" s="46"/>
      <c r="E138" s="46"/>
      <c r="F138" s="46"/>
      <c r="G138" s="46"/>
    </row>
    <row r="139" spans="4:7">
      <c r="D139" s="46"/>
      <c r="E139" s="46"/>
      <c r="F139" s="46"/>
      <c r="G139" s="46"/>
    </row>
    <row r="140" spans="4:7">
      <c r="D140" s="46"/>
      <c r="E140" s="46"/>
      <c r="F140" s="46"/>
      <c r="G140" s="46"/>
    </row>
    <row r="141" spans="4:7">
      <c r="D141" s="46"/>
      <c r="E141" s="46"/>
      <c r="F141" s="46"/>
      <c r="G141" s="46"/>
    </row>
    <row r="142" spans="4:7">
      <c r="D142" s="46"/>
      <c r="E142" s="46"/>
      <c r="F142" s="46"/>
      <c r="G142" s="46"/>
    </row>
    <row r="143" spans="4:7">
      <c r="D143" s="46"/>
      <c r="E143" s="46"/>
      <c r="F143" s="46"/>
      <c r="G143" s="46"/>
    </row>
    <row r="144" spans="4:7">
      <c r="D144" s="46"/>
      <c r="E144" s="46"/>
      <c r="F144" s="46"/>
      <c r="G144" s="46"/>
    </row>
    <row r="145" spans="4:7">
      <c r="D145" s="46"/>
      <c r="E145" s="46"/>
      <c r="F145" s="46"/>
      <c r="G145" s="46"/>
    </row>
    <row r="146" spans="4:7">
      <c r="D146" s="46"/>
      <c r="E146" s="46"/>
      <c r="F146" s="46"/>
      <c r="G146" s="46"/>
    </row>
    <row r="147" spans="4:7">
      <c r="D147" s="46"/>
      <c r="E147" s="46"/>
      <c r="F147" s="46"/>
      <c r="G147" s="46"/>
    </row>
    <row r="148" spans="4:7">
      <c r="D148" s="46"/>
      <c r="E148" s="46"/>
      <c r="F148" s="46"/>
      <c r="G148" s="46"/>
    </row>
    <row r="149" spans="4:7">
      <c r="D149" s="46"/>
      <c r="E149" s="46"/>
      <c r="F149" s="46"/>
      <c r="G149" s="46"/>
    </row>
    <row r="150" spans="4:7">
      <c r="D150" s="46"/>
      <c r="E150" s="46"/>
      <c r="F150" s="46"/>
      <c r="G150" s="46"/>
    </row>
    <row r="151" spans="4:7">
      <c r="D151" s="46"/>
      <c r="E151" s="46"/>
      <c r="F151" s="46"/>
      <c r="G151" s="46"/>
    </row>
    <row r="152" spans="4:7">
      <c r="D152" s="46"/>
      <c r="E152" s="46"/>
      <c r="F152" s="46"/>
      <c r="G152" s="46"/>
    </row>
    <row r="153" spans="4:7">
      <c r="D153" s="46"/>
      <c r="E153" s="46"/>
      <c r="F153" s="46"/>
      <c r="G153" s="46"/>
    </row>
    <row r="154" spans="4:7">
      <c r="D154" s="46"/>
      <c r="E154" s="46"/>
      <c r="F154" s="46"/>
      <c r="G154" s="46"/>
    </row>
    <row r="155" spans="4:7">
      <c r="D155" s="46"/>
      <c r="E155" s="46"/>
      <c r="F155" s="46"/>
      <c r="G155" s="46"/>
    </row>
    <row r="156" spans="4:7">
      <c r="D156" s="46"/>
      <c r="E156" s="46"/>
      <c r="F156" s="46"/>
      <c r="G156" s="46"/>
    </row>
    <row r="157" spans="4:7">
      <c r="D157" s="46"/>
      <c r="E157" s="46"/>
      <c r="F157" s="46"/>
      <c r="G157" s="46"/>
    </row>
    <row r="158" spans="4:7">
      <c r="D158" s="46"/>
      <c r="E158" s="46"/>
      <c r="F158" s="46"/>
      <c r="G158" s="46"/>
    </row>
    <row r="159" spans="4:7">
      <c r="D159" s="46"/>
      <c r="E159" s="46"/>
      <c r="F159" s="46"/>
      <c r="G159" s="46"/>
    </row>
    <row r="160" spans="4:7">
      <c r="D160" s="46"/>
      <c r="E160" s="46"/>
      <c r="F160" s="46"/>
      <c r="G160" s="46"/>
    </row>
    <row r="161" spans="4:7">
      <c r="D161" s="46"/>
      <c r="E161" s="46"/>
      <c r="F161" s="46"/>
      <c r="G161" s="46"/>
    </row>
    <row r="162" spans="4:7">
      <c r="D162" s="46"/>
      <c r="E162" s="46"/>
      <c r="F162" s="46"/>
      <c r="G162" s="46"/>
    </row>
    <row r="163" spans="4:7">
      <c r="D163" s="46"/>
      <c r="E163" s="46"/>
      <c r="F163" s="46"/>
      <c r="G163" s="46"/>
    </row>
    <row r="164" spans="4:7">
      <c r="D164" s="46"/>
      <c r="E164" s="46"/>
      <c r="F164" s="46"/>
      <c r="G164" s="46"/>
    </row>
    <row r="165" spans="4:7">
      <c r="D165" s="46"/>
      <c r="E165" s="46"/>
      <c r="F165" s="46"/>
      <c r="G165" s="46"/>
    </row>
    <row r="166" spans="4:7">
      <c r="D166" s="46"/>
      <c r="E166" s="46"/>
      <c r="F166" s="46"/>
      <c r="G166" s="46"/>
    </row>
    <row r="167" spans="4:7">
      <c r="D167" s="46"/>
      <c r="E167" s="46"/>
      <c r="F167" s="46"/>
      <c r="G167" s="46"/>
    </row>
    <row r="168" spans="4:7">
      <c r="D168" s="46"/>
      <c r="E168" s="46"/>
      <c r="F168" s="46"/>
      <c r="G168" s="46"/>
    </row>
    <row r="169" spans="4:7">
      <c r="D169" s="46"/>
      <c r="E169" s="46"/>
      <c r="F169" s="46"/>
      <c r="G169" s="46"/>
    </row>
    <row r="170" spans="4:7">
      <c r="D170" s="46"/>
      <c r="E170" s="46"/>
      <c r="F170" s="46"/>
      <c r="G170" s="46"/>
    </row>
    <row r="171" spans="4:7">
      <c r="D171" s="46"/>
      <c r="E171" s="46"/>
      <c r="F171" s="46"/>
      <c r="G171" s="46"/>
    </row>
    <row r="172" spans="4:7">
      <c r="D172" s="46"/>
      <c r="E172" s="46"/>
      <c r="F172" s="46"/>
      <c r="G172" s="46"/>
    </row>
    <row r="173" spans="4:7">
      <c r="D173" s="46"/>
      <c r="E173" s="46"/>
      <c r="F173" s="46"/>
      <c r="G173" s="46"/>
    </row>
    <row r="174" spans="4:7">
      <c r="D174" s="46"/>
      <c r="E174" s="46"/>
      <c r="F174" s="46"/>
      <c r="G174" s="46"/>
    </row>
    <row r="175" spans="4:7">
      <c r="D175" s="46"/>
      <c r="E175" s="46"/>
      <c r="F175" s="46"/>
      <c r="G175" s="46"/>
    </row>
    <row r="176" spans="4:7">
      <c r="D176" s="46"/>
      <c r="E176" s="46"/>
      <c r="F176" s="46"/>
      <c r="G176" s="46"/>
    </row>
    <row r="177" spans="4:7">
      <c r="D177" s="46"/>
      <c r="E177" s="46"/>
      <c r="F177" s="46"/>
      <c r="G177" s="46"/>
    </row>
    <row r="178" spans="4:7">
      <c r="D178" s="46"/>
      <c r="E178" s="46"/>
      <c r="F178" s="46"/>
      <c r="G178" s="46"/>
    </row>
    <row r="179" spans="4:7">
      <c r="D179" s="46"/>
      <c r="E179" s="46"/>
      <c r="F179" s="46"/>
      <c r="G179" s="46"/>
    </row>
    <row r="180" spans="4:7">
      <c r="D180" s="46"/>
      <c r="E180" s="46"/>
      <c r="F180" s="46"/>
      <c r="G180" s="46"/>
    </row>
    <row r="181" spans="4:7">
      <c r="D181" s="46"/>
      <c r="E181" s="46"/>
      <c r="F181" s="46"/>
      <c r="G181" s="46"/>
    </row>
    <row r="182" spans="4:7">
      <c r="D182" s="46"/>
      <c r="E182" s="46"/>
      <c r="F182" s="46"/>
      <c r="G182" s="46"/>
    </row>
    <row r="183" spans="4:7">
      <c r="D183" s="46"/>
      <c r="E183" s="46"/>
      <c r="F183" s="46"/>
      <c r="G183" s="46"/>
    </row>
    <row r="184" spans="4:7">
      <c r="D184" s="46"/>
      <c r="E184" s="46"/>
      <c r="F184" s="46"/>
      <c r="G184" s="46"/>
    </row>
    <row r="185" spans="4:7">
      <c r="D185" s="46"/>
      <c r="E185" s="46"/>
      <c r="F185" s="46"/>
      <c r="G185" s="46"/>
    </row>
    <row r="186" spans="4:7">
      <c r="D186" s="46"/>
      <c r="E186" s="46"/>
      <c r="F186" s="46"/>
      <c r="G186" s="46"/>
    </row>
    <row r="187" spans="4:7">
      <c r="D187" s="46"/>
      <c r="E187" s="46"/>
      <c r="F187" s="46"/>
      <c r="G187" s="46"/>
    </row>
    <row r="188" spans="4:7">
      <c r="D188" s="46"/>
      <c r="E188" s="46"/>
      <c r="F188" s="46"/>
      <c r="G188" s="46"/>
    </row>
    <row r="189" spans="4:7">
      <c r="D189" s="46"/>
      <c r="E189" s="46"/>
      <c r="F189" s="46"/>
      <c r="G189" s="46"/>
    </row>
    <row r="190" spans="4:7">
      <c r="D190" s="46"/>
      <c r="E190" s="46"/>
      <c r="F190" s="46"/>
      <c r="G190" s="46"/>
    </row>
    <row r="191" spans="4:7">
      <c r="D191" s="46"/>
      <c r="E191" s="46"/>
      <c r="F191" s="46"/>
      <c r="G191" s="46"/>
    </row>
    <row r="192" spans="4:7">
      <c r="D192" s="46"/>
      <c r="E192" s="46"/>
      <c r="F192" s="46"/>
      <c r="G192" s="46"/>
    </row>
    <row r="193" spans="4:7">
      <c r="D193" s="46"/>
      <c r="E193" s="46"/>
      <c r="F193" s="46"/>
      <c r="G193" s="46"/>
    </row>
    <row r="194" spans="4:7">
      <c r="D194" s="46"/>
      <c r="E194" s="46"/>
      <c r="F194" s="46"/>
      <c r="G194" s="46"/>
    </row>
    <row r="195" spans="4:7">
      <c r="D195" s="46"/>
      <c r="E195" s="46"/>
      <c r="F195" s="46"/>
      <c r="G195" s="46"/>
    </row>
    <row r="196" spans="4:7">
      <c r="D196" s="46"/>
      <c r="E196" s="46"/>
      <c r="F196" s="46"/>
      <c r="G196" s="46"/>
    </row>
    <row r="197" spans="4:7">
      <c r="D197" s="46"/>
      <c r="E197" s="46"/>
      <c r="F197" s="46"/>
      <c r="G197" s="46"/>
    </row>
    <row r="198" spans="4:7">
      <c r="D198" s="46"/>
      <c r="E198" s="46"/>
      <c r="F198" s="46"/>
      <c r="G198" s="46"/>
    </row>
    <row r="199" spans="4:7">
      <c r="D199" s="46"/>
      <c r="E199" s="46"/>
      <c r="F199" s="46"/>
      <c r="G199" s="46"/>
    </row>
    <row r="200" spans="4:7">
      <c r="D200" s="46"/>
      <c r="E200" s="46"/>
      <c r="F200" s="46"/>
      <c r="G200" s="46"/>
    </row>
    <row r="201" spans="4:7">
      <c r="D201" s="46"/>
      <c r="E201" s="46"/>
      <c r="F201" s="46"/>
      <c r="G201" s="46"/>
    </row>
    <row r="202" spans="4:7">
      <c r="D202" s="46"/>
      <c r="E202" s="46"/>
      <c r="F202" s="46"/>
      <c r="G202" s="46"/>
    </row>
    <row r="203" spans="4:7">
      <c r="D203" s="46"/>
      <c r="E203" s="46"/>
      <c r="F203" s="46"/>
      <c r="G203" s="46"/>
    </row>
    <row r="204" spans="4:7">
      <c r="D204" s="46"/>
      <c r="E204" s="46"/>
      <c r="F204" s="46"/>
      <c r="G204" s="46"/>
    </row>
    <row r="205" spans="4:7">
      <c r="D205" s="46"/>
      <c r="E205" s="46"/>
      <c r="F205" s="46"/>
      <c r="G205" s="46"/>
    </row>
    <row r="206" spans="4:7">
      <c r="D206" s="46"/>
      <c r="E206" s="46"/>
      <c r="F206" s="46"/>
      <c r="G206" s="46"/>
    </row>
    <row r="207" spans="4:7">
      <c r="D207" s="46"/>
      <c r="E207" s="46"/>
      <c r="F207" s="46"/>
      <c r="G207" s="46"/>
    </row>
    <row r="208" spans="4:7">
      <c r="D208" s="46"/>
      <c r="E208" s="46"/>
      <c r="F208" s="46"/>
      <c r="G208" s="46"/>
    </row>
    <row r="209" spans="4:7">
      <c r="D209" s="46"/>
      <c r="E209" s="46"/>
      <c r="F209" s="46"/>
      <c r="G209" s="46"/>
    </row>
    <row r="210" spans="4:7">
      <c r="D210" s="46"/>
      <c r="E210" s="46"/>
      <c r="F210" s="46"/>
      <c r="G210" s="46"/>
    </row>
    <row r="211" spans="4:7">
      <c r="D211" s="46"/>
      <c r="E211" s="46"/>
      <c r="F211" s="46"/>
      <c r="G211" s="46"/>
    </row>
    <row r="212" spans="4:7">
      <c r="D212" s="46"/>
      <c r="E212" s="46"/>
      <c r="F212" s="46"/>
      <c r="G212" s="46"/>
    </row>
    <row r="213" spans="4:7">
      <c r="D213" s="46"/>
      <c r="E213" s="46"/>
      <c r="F213" s="46"/>
      <c r="G213" s="46"/>
    </row>
    <row r="214" spans="4:7">
      <c r="D214" s="46"/>
      <c r="E214" s="46"/>
      <c r="F214" s="46"/>
      <c r="G214" s="46"/>
    </row>
    <row r="215" spans="4:7">
      <c r="D215" s="46"/>
      <c r="E215" s="46"/>
      <c r="F215" s="46"/>
      <c r="G215" s="46"/>
    </row>
    <row r="216" spans="4:7">
      <c r="D216" s="46"/>
      <c r="E216" s="46"/>
      <c r="F216" s="46"/>
      <c r="G216" s="46"/>
    </row>
    <row r="217" spans="4:7">
      <c r="D217" s="46"/>
      <c r="E217" s="46"/>
      <c r="F217" s="46"/>
      <c r="G217" s="46"/>
    </row>
    <row r="218" spans="4:7">
      <c r="D218" s="46"/>
      <c r="E218" s="46"/>
      <c r="F218" s="46"/>
      <c r="G218" s="46"/>
    </row>
    <row r="219" spans="4:7">
      <c r="D219" s="46"/>
      <c r="E219" s="46"/>
      <c r="F219" s="46"/>
      <c r="G219" s="46"/>
    </row>
    <row r="220" spans="4:7">
      <c r="D220" s="46"/>
      <c r="E220" s="46"/>
      <c r="F220" s="46"/>
      <c r="G220" s="46"/>
    </row>
    <row r="221" spans="4:7">
      <c r="D221" s="46"/>
      <c r="E221" s="46"/>
      <c r="F221" s="46"/>
      <c r="G221" s="46"/>
    </row>
    <row r="222" spans="4:7">
      <c r="D222" s="46"/>
      <c r="E222" s="46"/>
      <c r="F222" s="46"/>
      <c r="G222" s="46"/>
    </row>
    <row r="223" spans="4:7">
      <c r="D223" s="46"/>
      <c r="E223" s="46"/>
      <c r="F223" s="46"/>
      <c r="G223" s="46"/>
    </row>
    <row r="224" spans="4:7">
      <c r="D224" s="46"/>
      <c r="E224" s="46"/>
      <c r="F224" s="46"/>
      <c r="G224" s="46"/>
    </row>
    <row r="225" spans="4:7">
      <c r="D225" s="46"/>
      <c r="E225" s="46"/>
      <c r="F225" s="46"/>
      <c r="G225" s="46"/>
    </row>
    <row r="226" spans="4:7">
      <c r="D226" s="46"/>
      <c r="E226" s="46"/>
      <c r="F226" s="46"/>
      <c r="G226" s="46"/>
    </row>
    <row r="227" spans="4:7">
      <c r="D227" s="46"/>
      <c r="E227" s="46"/>
      <c r="F227" s="46"/>
      <c r="G227" s="46"/>
    </row>
    <row r="228" spans="4:7">
      <c r="D228" s="46"/>
      <c r="E228" s="46"/>
      <c r="F228" s="46"/>
      <c r="G228" s="46"/>
    </row>
    <row r="229" spans="4:7">
      <c r="D229" s="46"/>
      <c r="E229" s="46"/>
      <c r="F229" s="46"/>
      <c r="G229" s="46"/>
    </row>
    <row r="230" spans="4:7">
      <c r="D230" s="46"/>
      <c r="E230" s="46"/>
      <c r="F230" s="46"/>
      <c r="G230" s="46"/>
    </row>
    <row r="231" spans="4:7">
      <c r="D231" s="46"/>
      <c r="E231" s="46"/>
      <c r="F231" s="46"/>
      <c r="G231" s="46"/>
    </row>
    <row r="232" spans="4:7">
      <c r="D232" s="46"/>
      <c r="E232" s="46"/>
      <c r="F232" s="46"/>
      <c r="G232" s="46"/>
    </row>
    <row r="233" spans="4:7">
      <c r="D233" s="46"/>
      <c r="E233" s="46"/>
      <c r="F233" s="46"/>
      <c r="G233" s="46"/>
    </row>
    <row r="234" spans="4:7">
      <c r="D234" s="46"/>
      <c r="E234" s="46"/>
      <c r="F234" s="46"/>
      <c r="G234" s="46"/>
    </row>
    <row r="235" spans="4:7">
      <c r="D235" s="46"/>
      <c r="E235" s="46"/>
      <c r="F235" s="46"/>
      <c r="G235" s="46"/>
    </row>
    <row r="236" spans="4:7">
      <c r="D236" s="46"/>
      <c r="E236" s="46"/>
      <c r="F236" s="46"/>
      <c r="G236" s="46"/>
    </row>
    <row r="237" spans="4:7">
      <c r="D237" s="46"/>
      <c r="E237" s="46"/>
      <c r="F237" s="46"/>
      <c r="G237" s="46"/>
    </row>
    <row r="238" spans="4:7">
      <c r="D238" s="46"/>
      <c r="E238" s="46"/>
      <c r="F238" s="46"/>
      <c r="G238" s="46"/>
    </row>
    <row r="239" spans="4:7">
      <c r="D239" s="46"/>
      <c r="E239" s="46"/>
      <c r="F239" s="46"/>
      <c r="G239" s="46"/>
    </row>
    <row r="240" spans="4:7">
      <c r="D240" s="46"/>
      <c r="E240" s="46"/>
      <c r="F240" s="46"/>
      <c r="G240" s="46"/>
    </row>
    <row r="241" spans="4:7">
      <c r="D241" s="46"/>
      <c r="E241" s="46"/>
      <c r="F241" s="46"/>
      <c r="G241" s="46"/>
    </row>
    <row r="242" spans="4:7">
      <c r="D242" s="46"/>
      <c r="E242" s="46"/>
      <c r="F242" s="46"/>
      <c r="G242" s="46"/>
    </row>
    <row r="243" spans="4:7">
      <c r="D243" s="46"/>
      <c r="E243" s="46"/>
      <c r="F243" s="46"/>
      <c r="G243" s="46"/>
    </row>
    <row r="244" spans="4:7">
      <c r="D244" s="46"/>
      <c r="E244" s="46"/>
      <c r="F244" s="46"/>
      <c r="G244" s="46"/>
    </row>
    <row r="245" spans="4:7">
      <c r="D245" s="46"/>
      <c r="E245" s="46"/>
      <c r="F245" s="46"/>
      <c r="G245" s="46"/>
    </row>
    <row r="246" spans="4:7">
      <c r="D246" s="46"/>
      <c r="E246" s="46"/>
      <c r="F246" s="46"/>
      <c r="G246" s="46"/>
    </row>
    <row r="247" spans="4:7">
      <c r="D247" s="46"/>
      <c r="E247" s="46"/>
      <c r="F247" s="46"/>
      <c r="G247" s="46"/>
    </row>
    <row r="248" spans="4:7">
      <c r="D248" s="46"/>
      <c r="E248" s="46"/>
      <c r="F248" s="46"/>
      <c r="G248" s="46"/>
    </row>
    <row r="249" spans="4:7">
      <c r="D249" s="46"/>
      <c r="E249" s="46"/>
      <c r="F249" s="46"/>
      <c r="G249" s="46"/>
    </row>
    <row r="250" spans="4:7">
      <c r="D250" s="46"/>
      <c r="E250" s="46"/>
      <c r="F250" s="46"/>
      <c r="G250" s="46"/>
    </row>
    <row r="251" spans="4:7">
      <c r="D251" s="46"/>
      <c r="E251" s="46"/>
      <c r="F251" s="46"/>
      <c r="G251" s="46"/>
    </row>
    <row r="252" spans="4:7">
      <c r="D252" s="46"/>
      <c r="E252" s="46"/>
      <c r="F252" s="46"/>
      <c r="G252" s="46"/>
    </row>
    <row r="253" spans="4:7">
      <c r="D253" s="46"/>
      <c r="E253" s="46"/>
      <c r="F253" s="46"/>
      <c r="G253" s="46"/>
    </row>
    <row r="254" spans="4:7">
      <c r="D254" s="46"/>
      <c r="E254" s="46"/>
      <c r="F254" s="46"/>
      <c r="G254" s="46"/>
    </row>
    <row r="255" spans="4:7">
      <c r="D255" s="46"/>
      <c r="E255" s="46"/>
      <c r="F255" s="46"/>
      <c r="G255" s="46"/>
    </row>
    <row r="256" spans="4:7">
      <c r="D256" s="46"/>
      <c r="E256" s="46"/>
      <c r="F256" s="46"/>
      <c r="G256" s="46"/>
    </row>
    <row r="257" spans="4:7">
      <c r="D257" s="46"/>
      <c r="E257" s="46"/>
      <c r="F257" s="46"/>
      <c r="G257" s="46"/>
    </row>
    <row r="258" spans="4:7">
      <c r="D258" s="46"/>
      <c r="E258" s="46"/>
      <c r="F258" s="46"/>
      <c r="G258" s="46"/>
    </row>
    <row r="259" spans="4:7">
      <c r="D259" s="46"/>
      <c r="E259" s="46"/>
      <c r="F259" s="46"/>
      <c r="G259" s="46"/>
    </row>
    <row r="260" spans="4:7">
      <c r="D260" s="46"/>
      <c r="E260" s="46"/>
      <c r="F260" s="46"/>
      <c r="G260" s="46"/>
    </row>
    <row r="261" spans="4:7">
      <c r="D261" s="46"/>
      <c r="E261" s="46"/>
      <c r="F261" s="46"/>
      <c r="G261" s="46"/>
    </row>
    <row r="262" spans="4:7">
      <c r="D262" s="46"/>
      <c r="E262" s="46"/>
      <c r="F262" s="46"/>
      <c r="G262" s="46"/>
    </row>
    <row r="263" spans="4:7">
      <c r="D263" s="46"/>
      <c r="E263" s="46"/>
      <c r="F263" s="46"/>
      <c r="G263" s="46"/>
    </row>
    <row r="264" spans="4:7">
      <c r="D264" s="46"/>
      <c r="E264" s="46"/>
      <c r="F264" s="46"/>
      <c r="G264" s="46"/>
    </row>
    <row r="265" spans="4:7">
      <c r="D265" s="46"/>
      <c r="E265" s="46"/>
      <c r="F265" s="46"/>
      <c r="G265" s="46"/>
    </row>
    <row r="266" spans="4:7">
      <c r="D266" s="46"/>
      <c r="E266" s="46"/>
      <c r="F266" s="46"/>
      <c r="G266" s="46"/>
    </row>
    <row r="267" spans="4:7">
      <c r="D267" s="46"/>
      <c r="E267" s="46"/>
      <c r="F267" s="46"/>
      <c r="G267" s="46"/>
    </row>
    <row r="268" spans="4:7">
      <c r="D268" s="46"/>
      <c r="E268" s="46"/>
      <c r="F268" s="46"/>
      <c r="G268" s="46"/>
    </row>
    <row r="269" spans="4:7">
      <c r="D269" s="46"/>
      <c r="E269" s="46"/>
      <c r="F269" s="46"/>
      <c r="G269" s="46"/>
    </row>
    <row r="270" spans="4:7">
      <c r="D270" s="46"/>
      <c r="E270" s="46"/>
      <c r="F270" s="46"/>
      <c r="G270" s="46"/>
    </row>
    <row r="271" spans="4:7">
      <c r="D271" s="46"/>
      <c r="E271" s="46"/>
      <c r="F271" s="46"/>
      <c r="G271" s="46"/>
    </row>
    <row r="272" spans="4:7">
      <c r="D272" s="46"/>
      <c r="E272" s="46"/>
      <c r="F272" s="46"/>
      <c r="G272" s="46"/>
    </row>
    <row r="273" spans="4:7">
      <c r="D273" s="46"/>
      <c r="E273" s="46"/>
      <c r="F273" s="46"/>
      <c r="G273" s="46"/>
    </row>
    <row r="274" spans="4:7">
      <c r="D274" s="46"/>
      <c r="E274" s="46"/>
      <c r="F274" s="46"/>
      <c r="G274" s="46"/>
    </row>
    <row r="275" spans="4:7">
      <c r="D275" s="46"/>
      <c r="E275" s="46"/>
      <c r="F275" s="46"/>
      <c r="G275" s="46"/>
    </row>
    <row r="276" spans="4:7">
      <c r="D276" s="46"/>
      <c r="E276" s="46"/>
      <c r="F276" s="46"/>
      <c r="G276" s="46"/>
    </row>
    <row r="277" spans="4:7">
      <c r="D277" s="46"/>
      <c r="E277" s="46"/>
      <c r="F277" s="46"/>
      <c r="G277" s="46"/>
    </row>
    <row r="278" spans="4:7">
      <c r="D278" s="46"/>
      <c r="E278" s="46"/>
      <c r="F278" s="46"/>
      <c r="G278" s="46"/>
    </row>
    <row r="279" spans="4:7">
      <c r="D279" s="46"/>
      <c r="E279" s="46"/>
      <c r="F279" s="46"/>
      <c r="G279" s="46"/>
    </row>
    <row r="280" spans="4:7">
      <c r="D280" s="46"/>
      <c r="E280" s="46"/>
      <c r="F280" s="46"/>
      <c r="G280" s="46"/>
    </row>
    <row r="281" spans="4:7">
      <c r="D281" s="46"/>
      <c r="E281" s="46"/>
      <c r="F281" s="46"/>
      <c r="G281" s="46"/>
    </row>
    <row r="282" spans="4:7">
      <c r="D282" s="46"/>
      <c r="E282" s="46"/>
      <c r="F282" s="46"/>
      <c r="G282" s="46"/>
    </row>
    <row r="283" spans="4:7">
      <c r="D283" s="46"/>
      <c r="E283" s="46"/>
      <c r="F283" s="46"/>
      <c r="G283" s="46"/>
    </row>
    <row r="284" spans="4:7">
      <c r="D284" s="46"/>
      <c r="E284" s="46"/>
      <c r="F284" s="46"/>
      <c r="G284" s="46"/>
    </row>
    <row r="285" spans="4:7">
      <c r="D285" s="46"/>
      <c r="E285" s="46"/>
      <c r="F285" s="46"/>
      <c r="G285" s="46"/>
    </row>
    <row r="286" spans="4:7">
      <c r="D286" s="46"/>
      <c r="E286" s="46"/>
      <c r="F286" s="46"/>
      <c r="G286" s="46"/>
    </row>
    <row r="287" spans="4:7">
      <c r="D287" s="46"/>
      <c r="E287" s="46"/>
      <c r="F287" s="46"/>
      <c r="G287" s="46"/>
    </row>
    <row r="288" spans="4:7">
      <c r="D288" s="46"/>
      <c r="E288" s="46"/>
      <c r="F288" s="46"/>
      <c r="G288" s="46"/>
    </row>
    <row r="289" spans="4:7">
      <c r="D289" s="46"/>
      <c r="E289" s="46"/>
      <c r="F289" s="46"/>
      <c r="G289" s="46"/>
    </row>
    <row r="290" spans="4:7">
      <c r="D290" s="46"/>
      <c r="E290" s="46"/>
      <c r="F290" s="46"/>
      <c r="G290" s="46"/>
    </row>
    <row r="291" spans="4:7">
      <c r="D291" s="46"/>
      <c r="E291" s="46"/>
      <c r="F291" s="46"/>
      <c r="G291" s="46"/>
    </row>
    <row r="292" spans="4:7">
      <c r="D292" s="46"/>
      <c r="E292" s="46"/>
      <c r="F292" s="46"/>
      <c r="G292" s="46"/>
    </row>
    <row r="293" spans="4:7">
      <c r="D293" s="46"/>
      <c r="E293" s="46"/>
      <c r="F293" s="46"/>
      <c r="G293" s="46"/>
    </row>
    <row r="294" spans="4:7">
      <c r="D294" s="46"/>
      <c r="E294" s="46"/>
      <c r="F294" s="46"/>
      <c r="G294" s="46"/>
    </row>
    <row r="295" spans="4:7">
      <c r="D295" s="46"/>
      <c r="E295" s="46"/>
      <c r="F295" s="46"/>
      <c r="G295" s="46"/>
    </row>
    <row r="296" spans="4:7">
      <c r="D296" s="46"/>
      <c r="E296" s="46"/>
      <c r="F296" s="46"/>
      <c r="G296" s="46"/>
    </row>
    <row r="297" spans="4:7">
      <c r="D297" s="46"/>
      <c r="E297" s="46"/>
      <c r="F297" s="46"/>
      <c r="G297" s="46"/>
    </row>
    <row r="298" spans="4:7">
      <c r="D298" s="46"/>
      <c r="E298" s="46"/>
      <c r="F298" s="46"/>
      <c r="G298" s="46"/>
    </row>
    <row r="299" spans="4:7">
      <c r="D299" s="46"/>
      <c r="E299" s="46"/>
      <c r="F299" s="46"/>
      <c r="G299" s="46"/>
    </row>
    <row r="300" spans="4:7">
      <c r="D300" s="46"/>
      <c r="E300" s="46"/>
      <c r="F300" s="46"/>
      <c r="G300" s="46"/>
    </row>
    <row r="301" spans="4:7">
      <c r="D301" s="46"/>
      <c r="E301" s="46"/>
      <c r="F301" s="46"/>
      <c r="G301" s="46"/>
    </row>
    <row r="302" spans="4:7">
      <c r="D302" s="46"/>
      <c r="E302" s="46"/>
      <c r="F302" s="46"/>
      <c r="G302" s="46"/>
    </row>
    <row r="303" spans="4:7">
      <c r="D303" s="46"/>
      <c r="E303" s="46"/>
      <c r="F303" s="46"/>
      <c r="G303" s="46"/>
    </row>
    <row r="304" spans="4:7">
      <c r="D304" s="46"/>
      <c r="E304" s="46"/>
      <c r="F304" s="46"/>
      <c r="G304" s="46"/>
    </row>
    <row r="305" spans="4:7">
      <c r="D305" s="46"/>
      <c r="E305" s="46"/>
      <c r="F305" s="46"/>
      <c r="G305" s="46"/>
    </row>
    <row r="306" spans="4:7">
      <c r="D306" s="46"/>
      <c r="E306" s="46"/>
      <c r="F306" s="46"/>
      <c r="G306" s="46"/>
    </row>
    <row r="307" spans="4:7">
      <c r="D307" s="46"/>
      <c r="E307" s="46"/>
      <c r="F307" s="46"/>
      <c r="G307" s="46"/>
    </row>
    <row r="308" spans="4:7">
      <c r="D308" s="46"/>
      <c r="E308" s="46"/>
      <c r="F308" s="46"/>
      <c r="G308" s="46"/>
    </row>
    <row r="309" spans="4:7">
      <c r="D309" s="46"/>
      <c r="E309" s="46"/>
      <c r="F309" s="46"/>
      <c r="G309" s="46"/>
    </row>
    <row r="310" spans="4:7">
      <c r="D310" s="46"/>
      <c r="E310" s="46"/>
      <c r="F310" s="46"/>
      <c r="G310" s="46"/>
    </row>
    <row r="311" spans="4:7">
      <c r="D311" s="46"/>
      <c r="E311" s="46"/>
      <c r="F311" s="46"/>
      <c r="G311" s="46"/>
    </row>
    <row r="312" spans="4:7">
      <c r="D312" s="46"/>
      <c r="E312" s="46"/>
      <c r="F312" s="46"/>
      <c r="G312" s="46"/>
    </row>
    <row r="313" spans="4:7">
      <c r="D313" s="46"/>
      <c r="E313" s="46"/>
      <c r="F313" s="46"/>
      <c r="G313" s="46"/>
    </row>
    <row r="314" spans="4:7">
      <c r="D314" s="46"/>
      <c r="E314" s="46"/>
      <c r="F314" s="46"/>
      <c r="G314" s="46"/>
    </row>
    <row r="315" spans="4:7">
      <c r="D315" s="46"/>
      <c r="E315" s="46"/>
      <c r="F315" s="46"/>
      <c r="G315" s="46"/>
    </row>
    <row r="316" spans="4:7">
      <c r="D316" s="46"/>
      <c r="E316" s="46"/>
      <c r="F316" s="46"/>
      <c r="G316" s="46"/>
    </row>
    <row r="317" spans="4:7">
      <c r="D317" s="46"/>
      <c r="E317" s="46"/>
      <c r="F317" s="46"/>
      <c r="G317" s="46"/>
    </row>
    <row r="318" spans="4:7">
      <c r="D318" s="46"/>
      <c r="E318" s="46"/>
      <c r="F318" s="46"/>
      <c r="G318" s="46"/>
    </row>
    <row r="319" spans="4:7">
      <c r="D319" s="46"/>
      <c r="E319" s="46"/>
      <c r="F319" s="46"/>
      <c r="G319" s="46"/>
    </row>
    <row r="320" spans="4:7">
      <c r="D320" s="46"/>
      <c r="E320" s="46"/>
      <c r="F320" s="46"/>
      <c r="G320" s="46"/>
    </row>
    <row r="321" spans="4:7">
      <c r="D321" s="46"/>
      <c r="E321" s="46"/>
      <c r="F321" s="46"/>
      <c r="G321" s="46"/>
    </row>
    <row r="322" spans="4:7">
      <c r="D322" s="46"/>
      <c r="E322" s="46"/>
      <c r="F322" s="46"/>
      <c r="G322" s="46"/>
    </row>
    <row r="323" spans="4:7">
      <c r="D323" s="46"/>
      <c r="E323" s="46"/>
      <c r="F323" s="46"/>
      <c r="G323" s="46"/>
    </row>
    <row r="324" spans="4:7">
      <c r="D324" s="46"/>
      <c r="E324" s="46"/>
      <c r="F324" s="46"/>
      <c r="G324" s="46"/>
    </row>
    <row r="325" spans="4:7">
      <c r="D325" s="46"/>
      <c r="E325" s="46"/>
      <c r="F325" s="46"/>
      <c r="G325" s="46"/>
    </row>
    <row r="326" spans="4:7">
      <c r="D326" s="46"/>
      <c r="E326" s="46"/>
      <c r="F326" s="46"/>
      <c r="G326" s="46"/>
    </row>
    <row r="327" spans="4:7">
      <c r="D327" s="46"/>
      <c r="E327" s="46"/>
      <c r="F327" s="46"/>
      <c r="G327" s="46"/>
    </row>
    <row r="328" spans="4:7">
      <c r="D328" s="46"/>
      <c r="E328" s="46"/>
      <c r="F328" s="46"/>
      <c r="G328" s="46"/>
    </row>
    <row r="329" spans="4:7">
      <c r="D329" s="46"/>
      <c r="E329" s="46"/>
      <c r="F329" s="46"/>
      <c r="G329" s="46"/>
    </row>
    <row r="330" spans="4:7">
      <c r="D330" s="46"/>
      <c r="E330" s="46"/>
      <c r="F330" s="46"/>
      <c r="G330" s="46"/>
    </row>
    <row r="331" spans="4:7">
      <c r="D331" s="46"/>
      <c r="E331" s="46"/>
      <c r="F331" s="46"/>
      <c r="G331" s="46"/>
    </row>
    <row r="332" spans="4:7">
      <c r="D332" s="46"/>
      <c r="E332" s="46"/>
      <c r="F332" s="46"/>
      <c r="G332" s="46"/>
    </row>
    <row r="333" spans="4:7">
      <c r="D333" s="46"/>
      <c r="E333" s="46"/>
      <c r="F333" s="46"/>
      <c r="G333" s="46"/>
    </row>
    <row r="334" spans="4:7">
      <c r="D334" s="46"/>
      <c r="E334" s="46"/>
      <c r="F334" s="46"/>
      <c r="G334" s="46"/>
    </row>
    <row r="335" spans="4:7">
      <c r="D335" s="46"/>
      <c r="E335" s="46"/>
      <c r="F335" s="46"/>
      <c r="G335" s="46"/>
    </row>
    <row r="336" spans="4:7">
      <c r="D336" s="46"/>
      <c r="E336" s="46"/>
      <c r="F336" s="46"/>
      <c r="G336" s="46"/>
    </row>
    <row r="337" spans="4:7">
      <c r="D337" s="46"/>
      <c r="E337" s="46"/>
      <c r="F337" s="46"/>
      <c r="G337" s="46"/>
    </row>
    <row r="338" spans="4:7">
      <c r="D338" s="46"/>
      <c r="E338" s="46"/>
      <c r="F338" s="46"/>
      <c r="G338" s="46"/>
    </row>
    <row r="339" spans="4:7">
      <c r="D339" s="46"/>
      <c r="E339" s="46"/>
      <c r="F339" s="46"/>
      <c r="G339" s="46"/>
    </row>
    <row r="340" spans="4:7">
      <c r="D340" s="46"/>
      <c r="E340" s="46"/>
      <c r="F340" s="46"/>
      <c r="G340" s="46"/>
    </row>
    <row r="341" spans="4:7">
      <c r="D341" s="46"/>
      <c r="E341" s="46"/>
      <c r="F341" s="46"/>
      <c r="G341" s="46"/>
    </row>
    <row r="342" spans="4:7">
      <c r="D342" s="46"/>
      <c r="E342" s="46"/>
      <c r="F342" s="46"/>
      <c r="G342" s="46"/>
    </row>
    <row r="343" spans="4:7">
      <c r="D343" s="46"/>
      <c r="E343" s="46"/>
      <c r="F343" s="46"/>
      <c r="G343" s="46"/>
    </row>
    <row r="344" spans="4:7">
      <c r="D344" s="46"/>
      <c r="E344" s="46"/>
      <c r="F344" s="46"/>
      <c r="G344" s="46"/>
    </row>
    <row r="345" spans="4:7">
      <c r="D345" s="46"/>
      <c r="E345" s="46"/>
      <c r="F345" s="46"/>
      <c r="G345" s="46"/>
    </row>
    <row r="346" spans="4:7">
      <c r="D346" s="46"/>
      <c r="E346" s="46"/>
      <c r="F346" s="46"/>
      <c r="G346" s="46"/>
    </row>
    <row r="347" spans="4:7">
      <c r="D347" s="46"/>
      <c r="E347" s="46"/>
      <c r="F347" s="46"/>
      <c r="G347" s="46"/>
    </row>
    <row r="348" spans="4:7">
      <c r="D348" s="46"/>
      <c r="E348" s="46"/>
      <c r="F348" s="46"/>
      <c r="G348" s="46"/>
    </row>
    <row r="349" spans="4:7">
      <c r="D349" s="46"/>
      <c r="E349" s="46"/>
      <c r="F349" s="46"/>
      <c r="G349" s="46"/>
    </row>
    <row r="350" spans="4:7">
      <c r="D350" s="46"/>
      <c r="E350" s="46"/>
      <c r="F350" s="46"/>
      <c r="G350" s="46"/>
    </row>
    <row r="351" spans="4:7">
      <c r="D351" s="46"/>
      <c r="E351" s="46"/>
      <c r="F351" s="46"/>
      <c r="G351" s="46"/>
    </row>
    <row r="352" spans="4:7">
      <c r="D352" s="46"/>
      <c r="E352" s="46"/>
      <c r="F352" s="46"/>
      <c r="G352" s="46"/>
    </row>
    <row r="353" spans="4:7">
      <c r="D353" s="46"/>
      <c r="E353" s="46"/>
      <c r="F353" s="46"/>
      <c r="G353" s="46"/>
    </row>
    <row r="354" spans="4:7">
      <c r="D354" s="46"/>
      <c r="E354" s="46"/>
      <c r="F354" s="46"/>
      <c r="G354" s="46"/>
    </row>
    <row r="355" spans="4:7">
      <c r="D355" s="46"/>
      <c r="E355" s="46"/>
      <c r="F355" s="46"/>
      <c r="G355" s="46"/>
    </row>
    <row r="356" spans="4:7">
      <c r="D356" s="46"/>
      <c r="E356" s="46"/>
      <c r="F356" s="46"/>
      <c r="G356" s="46"/>
    </row>
    <row r="357" spans="4:7">
      <c r="D357" s="46"/>
      <c r="E357" s="46"/>
      <c r="F357" s="46"/>
      <c r="G357" s="46"/>
    </row>
    <row r="358" spans="4:7">
      <c r="D358" s="46"/>
      <c r="E358" s="46"/>
      <c r="F358" s="46"/>
      <c r="G358" s="46"/>
    </row>
    <row r="359" spans="4:7">
      <c r="D359" s="46"/>
      <c r="E359" s="46"/>
      <c r="F359" s="46"/>
      <c r="G359" s="46"/>
    </row>
    <row r="360" spans="4:7">
      <c r="D360" s="46"/>
      <c r="E360" s="46"/>
      <c r="F360" s="46"/>
      <c r="G360" s="46"/>
    </row>
    <row r="361" spans="4:7">
      <c r="D361" s="46"/>
      <c r="E361" s="46"/>
      <c r="F361" s="46"/>
      <c r="G361" s="46"/>
    </row>
    <row r="362" spans="4:7">
      <c r="D362" s="46"/>
      <c r="E362" s="46"/>
      <c r="F362" s="46"/>
      <c r="G362" s="46"/>
    </row>
    <row r="363" spans="4:7">
      <c r="D363" s="46"/>
      <c r="E363" s="46"/>
      <c r="F363" s="46"/>
      <c r="G363" s="46"/>
    </row>
    <row r="364" spans="4:7">
      <c r="D364" s="46"/>
      <c r="E364" s="46"/>
      <c r="F364" s="46"/>
      <c r="G364" s="46"/>
    </row>
    <row r="365" spans="4:7">
      <c r="D365" s="46"/>
      <c r="E365" s="46"/>
      <c r="F365" s="46"/>
      <c r="G365" s="46"/>
    </row>
    <row r="366" spans="4:7">
      <c r="D366" s="46"/>
      <c r="E366" s="46"/>
      <c r="F366" s="46"/>
      <c r="G366" s="46"/>
    </row>
    <row r="367" spans="4:7">
      <c r="D367" s="46"/>
      <c r="E367" s="46"/>
      <c r="F367" s="46"/>
      <c r="G367" s="46"/>
    </row>
    <row r="368" spans="4:7">
      <c r="D368" s="46"/>
      <c r="E368" s="46"/>
      <c r="F368" s="46"/>
      <c r="G368" s="46"/>
    </row>
    <row r="369" spans="4:7">
      <c r="D369" s="46"/>
      <c r="E369" s="46"/>
      <c r="F369" s="46"/>
      <c r="G369" s="46"/>
    </row>
    <row r="370" spans="4:7">
      <c r="D370" s="46"/>
      <c r="E370" s="46"/>
      <c r="F370" s="46"/>
      <c r="G370" s="46"/>
    </row>
    <row r="371" spans="4:7">
      <c r="D371" s="46"/>
      <c r="E371" s="46"/>
      <c r="F371" s="46"/>
      <c r="G371" s="46"/>
    </row>
    <row r="372" spans="4:7">
      <c r="D372" s="46"/>
      <c r="E372" s="46"/>
      <c r="F372" s="46"/>
      <c r="G372" s="46"/>
    </row>
    <row r="373" spans="4:7">
      <c r="D373" s="46"/>
      <c r="E373" s="46"/>
      <c r="F373" s="46"/>
      <c r="G373" s="46"/>
    </row>
    <row r="374" spans="4:7">
      <c r="D374" s="46"/>
      <c r="E374" s="46"/>
      <c r="F374" s="46"/>
      <c r="G374" s="46"/>
    </row>
    <row r="375" spans="4:7">
      <c r="D375" s="46"/>
      <c r="E375" s="46"/>
      <c r="F375" s="46"/>
      <c r="G375" s="46"/>
    </row>
    <row r="376" spans="4:7">
      <c r="D376" s="46"/>
      <c r="E376" s="46"/>
      <c r="F376" s="46"/>
      <c r="G376" s="46"/>
    </row>
    <row r="377" spans="4:7">
      <c r="D377" s="46"/>
      <c r="E377" s="46"/>
      <c r="F377" s="46"/>
      <c r="G377" s="46"/>
    </row>
    <row r="378" spans="4:7">
      <c r="D378" s="46"/>
      <c r="E378" s="46"/>
      <c r="F378" s="46"/>
      <c r="G378" s="46"/>
    </row>
    <row r="379" spans="4:7">
      <c r="D379" s="46"/>
      <c r="E379" s="46"/>
      <c r="F379" s="46"/>
      <c r="G379" s="46"/>
    </row>
    <row r="380" spans="4:7">
      <c r="D380" s="46"/>
      <c r="E380" s="46"/>
      <c r="F380" s="46"/>
      <c r="G380" s="46"/>
    </row>
    <row r="381" spans="4:7">
      <c r="D381" s="46"/>
      <c r="E381" s="46"/>
      <c r="F381" s="46"/>
      <c r="G381" s="46"/>
    </row>
    <row r="382" spans="4:7">
      <c r="D382" s="46"/>
      <c r="E382" s="46"/>
      <c r="F382" s="46"/>
      <c r="G382" s="46"/>
    </row>
    <row r="383" spans="4:7">
      <c r="D383" s="46"/>
      <c r="E383" s="46"/>
      <c r="F383" s="46"/>
      <c r="G383" s="46"/>
    </row>
    <row r="384" spans="4:7">
      <c r="D384" s="46"/>
      <c r="E384" s="46"/>
      <c r="F384" s="46"/>
      <c r="G384" s="46"/>
    </row>
    <row r="385" spans="4:7">
      <c r="D385" s="46"/>
      <c r="E385" s="46"/>
      <c r="F385" s="46"/>
      <c r="G385" s="46"/>
    </row>
    <row r="386" spans="4:7">
      <c r="D386" s="46"/>
      <c r="E386" s="46"/>
      <c r="F386" s="46"/>
      <c r="G386" s="46"/>
    </row>
    <row r="387" spans="4:7">
      <c r="D387" s="46"/>
      <c r="E387" s="46"/>
      <c r="F387" s="46"/>
      <c r="G387" s="46"/>
    </row>
    <row r="388" spans="4:7">
      <c r="D388" s="46"/>
      <c r="E388" s="46"/>
      <c r="F388" s="46"/>
      <c r="G388" s="46"/>
    </row>
    <row r="389" spans="4:7">
      <c r="D389" s="46"/>
      <c r="E389" s="46"/>
      <c r="F389" s="46"/>
      <c r="G389" s="46"/>
    </row>
    <row r="390" spans="4:7">
      <c r="D390" s="46"/>
      <c r="E390" s="46"/>
      <c r="F390" s="46"/>
      <c r="G390" s="46"/>
    </row>
    <row r="391" spans="4:7">
      <c r="D391" s="46"/>
      <c r="E391" s="46"/>
      <c r="F391" s="46"/>
      <c r="G391" s="46"/>
    </row>
    <row r="392" spans="4:7">
      <c r="D392" s="46"/>
      <c r="E392" s="46"/>
      <c r="F392" s="46"/>
      <c r="G392" s="46"/>
    </row>
    <row r="393" spans="4:7">
      <c r="D393" s="46"/>
      <c r="E393" s="46"/>
      <c r="F393" s="46"/>
      <c r="G393" s="46"/>
    </row>
    <row r="394" spans="4:7">
      <c r="D394" s="46"/>
      <c r="E394" s="46"/>
      <c r="F394" s="46"/>
      <c r="G394" s="46"/>
    </row>
    <row r="395" spans="4:7">
      <c r="D395" s="46"/>
      <c r="E395" s="46"/>
      <c r="F395" s="46"/>
      <c r="G395" s="46"/>
    </row>
    <row r="396" spans="4:7">
      <c r="D396" s="46"/>
      <c r="E396" s="46"/>
      <c r="F396" s="46"/>
      <c r="G396" s="46"/>
    </row>
    <row r="397" spans="4:7">
      <c r="D397" s="46"/>
      <c r="E397" s="46"/>
      <c r="F397" s="46"/>
      <c r="G397" s="46"/>
    </row>
    <row r="398" spans="4:7">
      <c r="D398" s="46"/>
      <c r="E398" s="46"/>
      <c r="F398" s="46"/>
      <c r="G398" s="46"/>
    </row>
    <row r="399" spans="4:7">
      <c r="D399" s="46"/>
      <c r="E399" s="46"/>
      <c r="F399" s="46"/>
      <c r="G399" s="46"/>
    </row>
    <row r="400" spans="4:7">
      <c r="D400" s="46"/>
      <c r="E400" s="46"/>
      <c r="F400" s="46"/>
      <c r="G400" s="46"/>
    </row>
    <row r="401" spans="4:7">
      <c r="D401" s="46"/>
      <c r="E401" s="46"/>
      <c r="F401" s="46"/>
      <c r="G401" s="46"/>
    </row>
    <row r="402" spans="4:7">
      <c r="D402" s="46"/>
      <c r="E402" s="46"/>
      <c r="F402" s="46"/>
      <c r="G402" s="46"/>
    </row>
    <row r="403" spans="4:7">
      <c r="D403" s="46"/>
      <c r="E403" s="46"/>
      <c r="F403" s="46"/>
      <c r="G403" s="46"/>
    </row>
    <row r="404" spans="4:7">
      <c r="D404" s="46"/>
      <c r="E404" s="46"/>
      <c r="F404" s="46"/>
      <c r="G404" s="46"/>
    </row>
    <row r="405" spans="4:7">
      <c r="D405" s="46"/>
      <c r="E405" s="46"/>
      <c r="F405" s="46"/>
      <c r="G405" s="46"/>
    </row>
    <row r="406" spans="4:7">
      <c r="D406" s="46"/>
      <c r="E406" s="46"/>
      <c r="F406" s="46"/>
      <c r="G406" s="46"/>
    </row>
    <row r="407" spans="4:7">
      <c r="D407" s="46"/>
      <c r="E407" s="46"/>
      <c r="F407" s="46"/>
      <c r="G407" s="46"/>
    </row>
    <row r="408" spans="4:7">
      <c r="D408" s="46"/>
      <c r="E408" s="46"/>
      <c r="F408" s="46"/>
      <c r="G408" s="46"/>
    </row>
    <row r="409" spans="4:7">
      <c r="D409" s="46"/>
      <c r="E409" s="46"/>
      <c r="F409" s="46"/>
      <c r="G409" s="46"/>
    </row>
    <row r="410" spans="4:7">
      <c r="D410" s="46"/>
      <c r="E410" s="46"/>
      <c r="F410" s="46"/>
      <c r="G410" s="46"/>
    </row>
    <row r="411" spans="4:7">
      <c r="D411" s="46"/>
      <c r="E411" s="46"/>
      <c r="F411" s="46"/>
      <c r="G411" s="46"/>
    </row>
    <row r="412" spans="4:7">
      <c r="D412" s="46"/>
      <c r="E412" s="46"/>
      <c r="F412" s="46"/>
      <c r="G412" s="46"/>
    </row>
    <row r="413" spans="4:7">
      <c r="D413" s="46"/>
      <c r="E413" s="46"/>
      <c r="F413" s="46"/>
      <c r="G413" s="46"/>
    </row>
    <row r="414" spans="4:7">
      <c r="D414" s="46"/>
      <c r="E414" s="46"/>
      <c r="F414" s="46"/>
      <c r="G414" s="46"/>
    </row>
    <row r="415" spans="4:7">
      <c r="D415" s="46"/>
      <c r="E415" s="46"/>
      <c r="F415" s="46"/>
      <c r="G415" s="46"/>
    </row>
    <row r="416" spans="4:7">
      <c r="D416" s="46"/>
      <c r="E416" s="46"/>
      <c r="F416" s="46"/>
      <c r="G416" s="46"/>
    </row>
    <row r="417" spans="4:7">
      <c r="D417" s="46"/>
      <c r="E417" s="46"/>
      <c r="F417" s="46"/>
      <c r="G417" s="46"/>
    </row>
    <row r="418" spans="4:7">
      <c r="D418" s="46"/>
      <c r="E418" s="46"/>
      <c r="F418" s="46"/>
      <c r="G418" s="46"/>
    </row>
    <row r="419" spans="4:7">
      <c r="D419" s="46"/>
      <c r="E419" s="46"/>
      <c r="F419" s="46"/>
      <c r="G419" s="46"/>
    </row>
    <row r="420" spans="4:7">
      <c r="D420" s="46"/>
      <c r="E420" s="46"/>
      <c r="F420" s="46"/>
      <c r="G420" s="46"/>
    </row>
    <row r="421" spans="4:7">
      <c r="D421" s="46"/>
      <c r="E421" s="46"/>
      <c r="F421" s="46"/>
      <c r="G421" s="46"/>
    </row>
    <row r="422" spans="4:7">
      <c r="D422" s="46"/>
      <c r="E422" s="46"/>
      <c r="F422" s="46"/>
      <c r="G422" s="46"/>
    </row>
    <row r="423" spans="4:7">
      <c r="D423" s="46"/>
      <c r="E423" s="46"/>
      <c r="F423" s="46"/>
      <c r="G423" s="46"/>
    </row>
    <row r="424" spans="4:7">
      <c r="D424" s="46"/>
      <c r="E424" s="46"/>
      <c r="F424" s="46"/>
      <c r="G424" s="46"/>
    </row>
    <row r="425" spans="4:7">
      <c r="D425" s="46"/>
      <c r="E425" s="46"/>
      <c r="F425" s="46"/>
      <c r="G425" s="46"/>
    </row>
    <row r="426" spans="4:7">
      <c r="D426" s="46"/>
      <c r="E426" s="46"/>
      <c r="F426" s="46"/>
      <c r="G426" s="46"/>
    </row>
    <row r="427" spans="4:7">
      <c r="D427" s="46"/>
      <c r="E427" s="46"/>
      <c r="F427" s="46"/>
      <c r="G427" s="46"/>
    </row>
    <row r="428" spans="4:7">
      <c r="D428" s="46"/>
      <c r="E428" s="46"/>
      <c r="F428" s="46"/>
      <c r="G428" s="46"/>
    </row>
    <row r="429" spans="4:7">
      <c r="D429" s="46"/>
      <c r="E429" s="46"/>
      <c r="F429" s="46"/>
      <c r="G429" s="46"/>
    </row>
    <row r="430" spans="4:7">
      <c r="D430" s="46"/>
      <c r="E430" s="46"/>
      <c r="F430" s="46"/>
      <c r="G430" s="46"/>
    </row>
    <row r="431" spans="4:7">
      <c r="D431" s="46"/>
      <c r="E431" s="46"/>
      <c r="F431" s="46"/>
      <c r="G431" s="46"/>
    </row>
    <row r="432" spans="4:7">
      <c r="D432" s="46"/>
      <c r="E432" s="46"/>
      <c r="F432" s="46"/>
      <c r="G432" s="46"/>
    </row>
    <row r="433" spans="4:7">
      <c r="D433" s="46"/>
      <c r="E433" s="46"/>
      <c r="F433" s="46"/>
      <c r="G433" s="46"/>
    </row>
    <row r="434" spans="4:7">
      <c r="D434" s="46"/>
      <c r="E434" s="46"/>
      <c r="F434" s="46"/>
      <c r="G434" s="46"/>
    </row>
    <row r="435" spans="4:7">
      <c r="D435" s="46"/>
      <c r="E435" s="46"/>
      <c r="F435" s="46"/>
      <c r="G435" s="46"/>
    </row>
    <row r="436" spans="4:7">
      <c r="D436" s="46"/>
      <c r="E436" s="46"/>
      <c r="F436" s="46"/>
      <c r="G436" s="46"/>
    </row>
    <row r="437" spans="4:7">
      <c r="D437" s="46"/>
      <c r="E437" s="46"/>
      <c r="F437" s="46"/>
      <c r="G437" s="46"/>
    </row>
    <row r="438" spans="4:7">
      <c r="D438" s="46"/>
      <c r="E438" s="46"/>
      <c r="F438" s="46"/>
      <c r="G438" s="46"/>
    </row>
    <row r="439" spans="4:7">
      <c r="D439" s="46"/>
      <c r="E439" s="46"/>
      <c r="F439" s="46"/>
      <c r="G439" s="46"/>
    </row>
    <row r="440" spans="4:7">
      <c r="D440" s="46"/>
      <c r="E440" s="46"/>
      <c r="F440" s="46"/>
      <c r="G440" s="46"/>
    </row>
    <row r="441" spans="4:7">
      <c r="D441" s="46"/>
      <c r="E441" s="46"/>
      <c r="F441" s="46"/>
      <c r="G441" s="46"/>
    </row>
    <row r="442" spans="4:7">
      <c r="D442" s="46"/>
      <c r="E442" s="46"/>
      <c r="F442" s="46"/>
      <c r="G442" s="46"/>
    </row>
    <row r="443" spans="4:7">
      <c r="D443" s="46"/>
      <c r="E443" s="46"/>
      <c r="F443" s="46"/>
      <c r="G443" s="46"/>
    </row>
    <row r="444" spans="4:7">
      <c r="D444" s="46"/>
      <c r="E444" s="46"/>
      <c r="F444" s="46"/>
      <c r="G444" s="46"/>
    </row>
    <row r="445" spans="4:7">
      <c r="D445" s="46"/>
      <c r="E445" s="46"/>
      <c r="F445" s="46"/>
      <c r="G445" s="46"/>
    </row>
    <row r="446" spans="4:7">
      <c r="D446" s="46"/>
      <c r="E446" s="46"/>
      <c r="F446" s="46"/>
      <c r="G446" s="46"/>
    </row>
    <row r="447" spans="4:7">
      <c r="D447" s="46"/>
      <c r="E447" s="46"/>
      <c r="F447" s="46"/>
      <c r="G447" s="46"/>
    </row>
    <row r="448" spans="4:7">
      <c r="D448" s="46"/>
      <c r="E448" s="46"/>
      <c r="F448" s="46"/>
      <c r="G448" s="46"/>
    </row>
    <row r="449" spans="4:7">
      <c r="D449" s="46"/>
      <c r="E449" s="46"/>
      <c r="F449" s="46"/>
      <c r="G449" s="46"/>
    </row>
    <row r="450" spans="4:7">
      <c r="D450" s="46"/>
      <c r="E450" s="46"/>
      <c r="F450" s="46"/>
      <c r="G450" s="46"/>
    </row>
    <row r="451" spans="4:7">
      <c r="D451" s="46"/>
      <c r="E451" s="46"/>
      <c r="F451" s="46"/>
      <c r="G451" s="46"/>
    </row>
    <row r="452" spans="4:7">
      <c r="D452" s="46"/>
      <c r="E452" s="46"/>
      <c r="F452" s="46"/>
      <c r="G452" s="46"/>
    </row>
    <row r="453" spans="4:7">
      <c r="D453" s="46"/>
      <c r="E453" s="46"/>
      <c r="F453" s="46"/>
      <c r="G453" s="46"/>
    </row>
    <row r="454" spans="4:7">
      <c r="D454" s="46"/>
      <c r="E454" s="46"/>
      <c r="F454" s="46"/>
      <c r="G454" s="46"/>
    </row>
    <row r="455" spans="4:7">
      <c r="D455" s="46"/>
      <c r="E455" s="46"/>
      <c r="F455" s="46"/>
      <c r="G455" s="46"/>
    </row>
    <row r="456" spans="4:7">
      <c r="D456" s="46"/>
      <c r="E456" s="46"/>
      <c r="F456" s="46"/>
      <c r="G456" s="46"/>
    </row>
    <row r="457" spans="4:7">
      <c r="D457" s="46"/>
      <c r="E457" s="46"/>
      <c r="F457" s="46"/>
      <c r="G457" s="46"/>
    </row>
    <row r="458" spans="4:7">
      <c r="D458" s="46"/>
      <c r="E458" s="46"/>
      <c r="F458" s="46"/>
      <c r="G458" s="46"/>
    </row>
    <row r="459" spans="4:7">
      <c r="D459" s="46"/>
      <c r="E459" s="46"/>
      <c r="F459" s="46"/>
      <c r="G459" s="46"/>
    </row>
    <row r="460" spans="4:7">
      <c r="D460" s="46"/>
      <c r="E460" s="46"/>
      <c r="F460" s="46"/>
      <c r="G460" s="46"/>
    </row>
    <row r="461" spans="4:7">
      <c r="D461" s="46"/>
      <c r="E461" s="46"/>
      <c r="F461" s="46"/>
      <c r="G461" s="46"/>
    </row>
    <row r="462" spans="4:7">
      <c r="D462" s="46"/>
      <c r="E462" s="46"/>
      <c r="F462" s="46"/>
      <c r="G462" s="46"/>
    </row>
    <row r="463" spans="4:7">
      <c r="D463" s="46"/>
      <c r="E463" s="46"/>
      <c r="F463" s="46"/>
      <c r="G463" s="46"/>
    </row>
    <row r="464" spans="4:7">
      <c r="D464" s="46"/>
      <c r="E464" s="46"/>
      <c r="F464" s="46"/>
      <c r="G464" s="46"/>
    </row>
    <row r="465" spans="4:7">
      <c r="D465" s="46"/>
      <c r="E465" s="46"/>
      <c r="F465" s="46"/>
      <c r="G465" s="46"/>
    </row>
    <row r="466" spans="4:7">
      <c r="D466" s="46"/>
      <c r="E466" s="46"/>
      <c r="F466" s="46"/>
      <c r="G466" s="46"/>
    </row>
    <row r="467" spans="4:7">
      <c r="D467" s="46"/>
      <c r="E467" s="46"/>
      <c r="F467" s="46"/>
      <c r="G467" s="46"/>
    </row>
    <row r="468" spans="4:7">
      <c r="D468" s="46"/>
      <c r="E468" s="46"/>
      <c r="F468" s="46"/>
      <c r="G468" s="46"/>
    </row>
    <row r="469" spans="4:7">
      <c r="D469" s="46"/>
      <c r="E469" s="46"/>
      <c r="F469" s="46"/>
      <c r="G469" s="46"/>
    </row>
    <row r="470" spans="4:7">
      <c r="D470" s="46"/>
      <c r="E470" s="46"/>
      <c r="F470" s="46"/>
      <c r="G470" s="46"/>
    </row>
    <row r="471" spans="4:7">
      <c r="D471" s="46"/>
      <c r="E471" s="46"/>
      <c r="F471" s="46"/>
      <c r="G471" s="46"/>
    </row>
    <row r="472" spans="4:7">
      <c r="D472" s="46"/>
      <c r="E472" s="46"/>
      <c r="F472" s="46"/>
      <c r="G472" s="46"/>
    </row>
    <row r="473" spans="4:7">
      <c r="D473" s="46"/>
      <c r="E473" s="46"/>
      <c r="F473" s="46"/>
      <c r="G473" s="46"/>
    </row>
    <row r="474" spans="4:7">
      <c r="D474" s="46"/>
      <c r="E474" s="46"/>
      <c r="F474" s="46"/>
      <c r="G474" s="46"/>
    </row>
    <row r="475" spans="4:7">
      <c r="D475" s="46"/>
      <c r="E475" s="46"/>
      <c r="F475" s="46"/>
      <c r="G475" s="46"/>
    </row>
    <row r="476" spans="4:7">
      <c r="D476" s="46"/>
      <c r="E476" s="46"/>
      <c r="F476" s="46"/>
      <c r="G476" s="46"/>
    </row>
    <row r="477" spans="4:7">
      <c r="D477" s="46"/>
      <c r="E477" s="46"/>
      <c r="F477" s="46"/>
      <c r="G477" s="46"/>
    </row>
    <row r="478" spans="4:7">
      <c r="D478" s="46"/>
      <c r="E478" s="46"/>
      <c r="F478" s="46"/>
      <c r="G478" s="46"/>
    </row>
    <row r="479" spans="4:7">
      <c r="D479" s="46"/>
      <c r="E479" s="46"/>
      <c r="F479" s="46"/>
      <c r="G479" s="46"/>
    </row>
    <row r="480" spans="4:7">
      <c r="D480" s="46"/>
      <c r="E480" s="46"/>
      <c r="F480" s="46"/>
      <c r="G480" s="46"/>
    </row>
    <row r="481" spans="4:7">
      <c r="D481" s="46"/>
      <c r="E481" s="46"/>
      <c r="F481" s="46"/>
      <c r="G481" s="46"/>
    </row>
    <row r="482" spans="4:7">
      <c r="D482" s="46"/>
      <c r="E482" s="46"/>
      <c r="F482" s="46"/>
      <c r="G482" s="46"/>
    </row>
    <row r="483" spans="4:7">
      <c r="D483" s="46"/>
      <c r="E483" s="46"/>
      <c r="F483" s="46"/>
      <c r="G483" s="46"/>
    </row>
    <row r="484" spans="4:7">
      <c r="D484" s="46"/>
      <c r="E484" s="46"/>
      <c r="F484" s="46"/>
      <c r="G484" s="46"/>
    </row>
    <row r="485" spans="4:7">
      <c r="D485" s="46"/>
      <c r="E485" s="46"/>
      <c r="F485" s="46"/>
      <c r="G485" s="46"/>
    </row>
    <row r="486" spans="4:7">
      <c r="D486" s="46"/>
      <c r="E486" s="46"/>
      <c r="F486" s="46"/>
      <c r="G486" s="46"/>
    </row>
    <row r="487" spans="4:7">
      <c r="D487" s="46"/>
      <c r="E487" s="46"/>
      <c r="F487" s="46"/>
      <c r="G487" s="46"/>
    </row>
    <row r="488" spans="4:7">
      <c r="D488" s="46"/>
      <c r="E488" s="46"/>
      <c r="F488" s="46"/>
      <c r="G488" s="46"/>
    </row>
    <row r="489" spans="4:7">
      <c r="D489" s="46"/>
      <c r="E489" s="46"/>
      <c r="F489" s="46"/>
      <c r="G489" s="46"/>
    </row>
    <row r="490" spans="4:7">
      <c r="D490" s="46"/>
      <c r="E490" s="46"/>
      <c r="F490" s="46"/>
      <c r="G490" s="46"/>
    </row>
    <row r="491" spans="4:7">
      <c r="D491" s="46"/>
      <c r="E491" s="46"/>
      <c r="F491" s="46"/>
      <c r="G491" s="46"/>
    </row>
    <row r="492" spans="4:7">
      <c r="D492" s="46"/>
      <c r="E492" s="46"/>
      <c r="F492" s="46"/>
      <c r="G492" s="46"/>
    </row>
    <row r="493" spans="4:7">
      <c r="D493" s="46"/>
      <c r="E493" s="46"/>
      <c r="F493" s="46"/>
      <c r="G493" s="46"/>
    </row>
    <row r="494" spans="4:7">
      <c r="D494" s="46"/>
      <c r="E494" s="46"/>
      <c r="F494" s="46"/>
      <c r="G494" s="46"/>
    </row>
    <row r="495" spans="4:7">
      <c r="D495" s="46"/>
      <c r="E495" s="46"/>
      <c r="F495" s="46"/>
      <c r="G495" s="46"/>
    </row>
    <row r="496" spans="4:7">
      <c r="D496" s="46"/>
      <c r="E496" s="46"/>
      <c r="F496" s="46"/>
      <c r="G496" s="46"/>
    </row>
    <row r="497" spans="4:7">
      <c r="D497" s="46"/>
      <c r="E497" s="46"/>
      <c r="F497" s="46"/>
      <c r="G497" s="46"/>
    </row>
    <row r="498" spans="4:7">
      <c r="D498" s="46"/>
      <c r="E498" s="46"/>
      <c r="F498" s="46"/>
      <c r="G498" s="46"/>
    </row>
    <row r="499" spans="4:7">
      <c r="D499" s="46"/>
      <c r="E499" s="46"/>
      <c r="F499" s="46"/>
      <c r="G499" s="46"/>
    </row>
    <row r="500" spans="4:7">
      <c r="D500" s="46"/>
      <c r="E500" s="46"/>
      <c r="F500" s="46"/>
      <c r="G500" s="46"/>
    </row>
    <row r="501" spans="4:7">
      <c r="D501" s="46"/>
      <c r="E501" s="46"/>
      <c r="F501" s="46"/>
      <c r="G501" s="46"/>
    </row>
    <row r="502" spans="4:7">
      <c r="D502" s="46"/>
      <c r="E502" s="46"/>
      <c r="F502" s="46"/>
      <c r="G502" s="46"/>
    </row>
    <row r="503" spans="4:7">
      <c r="D503" s="46"/>
      <c r="E503" s="46"/>
      <c r="F503" s="46"/>
      <c r="G503" s="46"/>
    </row>
    <row r="504" spans="4:7">
      <c r="D504" s="46"/>
      <c r="E504" s="46"/>
      <c r="F504" s="46"/>
      <c r="G504" s="46"/>
    </row>
    <row r="505" spans="4:7">
      <c r="D505" s="46"/>
      <c r="E505" s="46"/>
      <c r="F505" s="46"/>
      <c r="G505" s="46"/>
    </row>
    <row r="506" spans="4:7">
      <c r="D506" s="46"/>
      <c r="E506" s="46"/>
      <c r="F506" s="46"/>
      <c r="G506" s="46"/>
    </row>
    <row r="507" spans="4:7">
      <c r="D507" s="46"/>
      <c r="E507" s="46"/>
      <c r="F507" s="46"/>
      <c r="G507" s="46"/>
    </row>
    <row r="508" spans="4:7">
      <c r="D508" s="46"/>
      <c r="E508" s="46"/>
      <c r="F508" s="46"/>
      <c r="G508" s="46"/>
    </row>
    <row r="509" spans="4:7">
      <c r="D509" s="46"/>
      <c r="E509" s="46"/>
      <c r="F509" s="46"/>
      <c r="G509" s="46"/>
    </row>
    <row r="510" spans="4:7">
      <c r="D510" s="46"/>
      <c r="E510" s="46"/>
      <c r="F510" s="46"/>
      <c r="G510" s="46"/>
    </row>
    <row r="511" spans="4:7">
      <c r="D511" s="46"/>
      <c r="E511" s="46"/>
      <c r="F511" s="46"/>
      <c r="G511" s="46"/>
    </row>
    <row r="512" spans="4:7">
      <c r="D512" s="46"/>
      <c r="E512" s="46"/>
      <c r="F512" s="46"/>
      <c r="G512" s="46"/>
    </row>
    <row r="513" spans="4:7">
      <c r="D513" s="46"/>
      <c r="E513" s="46"/>
      <c r="F513" s="46"/>
      <c r="G513" s="46"/>
    </row>
    <row r="514" spans="4:7">
      <c r="D514" s="46"/>
      <c r="E514" s="46"/>
      <c r="F514" s="46"/>
      <c r="G514" s="46"/>
    </row>
    <row r="515" spans="4:7">
      <c r="D515" s="46"/>
      <c r="E515" s="46"/>
      <c r="F515" s="46"/>
      <c r="G515" s="46"/>
    </row>
    <row r="516" spans="4:7">
      <c r="D516" s="46"/>
      <c r="E516" s="46"/>
      <c r="F516" s="46"/>
      <c r="G516" s="46"/>
    </row>
    <row r="517" spans="4:7">
      <c r="D517" s="46"/>
      <c r="E517" s="46"/>
      <c r="F517" s="46"/>
      <c r="G517" s="46"/>
    </row>
    <row r="518" spans="4:7">
      <c r="D518" s="46"/>
      <c r="E518" s="46"/>
      <c r="F518" s="46"/>
      <c r="G518" s="46"/>
    </row>
    <row r="519" spans="4:7">
      <c r="D519" s="46"/>
      <c r="E519" s="46"/>
      <c r="F519" s="46"/>
      <c r="G519" s="46"/>
    </row>
    <row r="520" spans="4:7">
      <c r="D520" s="46"/>
      <c r="E520" s="46"/>
      <c r="F520" s="46"/>
      <c r="G520" s="46"/>
    </row>
    <row r="521" spans="4:7">
      <c r="D521" s="46"/>
      <c r="E521" s="46"/>
      <c r="F521" s="46"/>
      <c r="G521" s="46"/>
    </row>
    <row r="522" spans="4:7">
      <c r="D522" s="46"/>
      <c r="E522" s="46"/>
      <c r="F522" s="46"/>
      <c r="G522" s="46"/>
    </row>
    <row r="523" spans="4:7">
      <c r="D523" s="46"/>
      <c r="E523" s="46"/>
      <c r="F523" s="46"/>
      <c r="G523" s="46"/>
    </row>
    <row r="524" spans="4:7">
      <c r="D524" s="46"/>
      <c r="E524" s="46"/>
      <c r="F524" s="46"/>
      <c r="G524" s="46"/>
    </row>
    <row r="525" spans="4:7">
      <c r="D525" s="46"/>
      <c r="E525" s="46"/>
      <c r="F525" s="46"/>
      <c r="G525" s="46"/>
    </row>
    <row r="526" spans="4:7">
      <c r="D526" s="46"/>
      <c r="E526" s="46"/>
      <c r="F526" s="46"/>
      <c r="G526" s="46"/>
    </row>
    <row r="527" spans="4:7">
      <c r="D527" s="46"/>
      <c r="E527" s="46"/>
      <c r="F527" s="46"/>
      <c r="G527" s="46"/>
    </row>
    <row r="528" spans="4:7">
      <c r="D528" s="46"/>
      <c r="E528" s="46"/>
      <c r="F528" s="46"/>
      <c r="G528" s="46"/>
    </row>
    <row r="529" spans="4:7">
      <c r="D529" s="46"/>
      <c r="E529" s="46"/>
      <c r="F529" s="46"/>
      <c r="G529" s="46"/>
    </row>
    <row r="530" spans="4:7">
      <c r="D530" s="46"/>
      <c r="E530" s="46"/>
      <c r="F530" s="46"/>
      <c r="G530" s="46"/>
    </row>
    <row r="531" spans="4:7">
      <c r="D531" s="46"/>
      <c r="E531" s="46"/>
      <c r="F531" s="46"/>
      <c r="G531" s="46"/>
    </row>
    <row r="532" spans="4:7">
      <c r="D532" s="46"/>
      <c r="E532" s="46"/>
      <c r="F532" s="46"/>
      <c r="G532" s="46"/>
    </row>
    <row r="533" spans="4:7">
      <c r="D533" s="46"/>
      <c r="E533" s="46"/>
      <c r="F533" s="46"/>
      <c r="G533" s="46"/>
    </row>
    <row r="534" spans="4:7">
      <c r="D534" s="46"/>
      <c r="E534" s="46"/>
      <c r="F534" s="46"/>
      <c r="G534" s="46"/>
    </row>
    <row r="535" spans="4:7">
      <c r="D535" s="46"/>
      <c r="E535" s="46"/>
      <c r="F535" s="46"/>
      <c r="G535" s="46"/>
    </row>
    <row r="536" spans="4:7">
      <c r="D536" s="46"/>
      <c r="E536" s="46"/>
      <c r="F536" s="46"/>
      <c r="G536" s="46"/>
    </row>
    <row r="537" spans="4:7">
      <c r="D537" s="46"/>
      <c r="E537" s="46"/>
      <c r="F537" s="46"/>
      <c r="G537" s="46"/>
    </row>
    <row r="538" spans="4:7">
      <c r="D538" s="46"/>
      <c r="E538" s="46"/>
      <c r="F538" s="46"/>
      <c r="G538" s="46"/>
    </row>
    <row r="539" spans="4:7">
      <c r="D539" s="46"/>
      <c r="E539" s="46"/>
      <c r="F539" s="46"/>
      <c r="G539" s="46"/>
    </row>
    <row r="540" spans="4:7">
      <c r="D540" s="46"/>
      <c r="E540" s="46"/>
      <c r="F540" s="46"/>
      <c r="G540" s="46"/>
    </row>
    <row r="541" spans="4:7">
      <c r="D541" s="46"/>
      <c r="E541" s="46"/>
      <c r="F541" s="46"/>
      <c r="G541" s="46"/>
    </row>
    <row r="542" spans="4:7">
      <c r="D542" s="46"/>
      <c r="E542" s="46"/>
      <c r="F542" s="46"/>
      <c r="G542" s="46"/>
    </row>
    <row r="543" spans="4:7">
      <c r="D543" s="46"/>
      <c r="E543" s="46"/>
      <c r="F543" s="46"/>
      <c r="G543" s="46"/>
    </row>
    <row r="544" spans="4:7">
      <c r="D544" s="46"/>
      <c r="E544" s="46"/>
      <c r="F544" s="46"/>
      <c r="G544" s="46"/>
    </row>
    <row r="545" spans="4:7">
      <c r="D545" s="46"/>
      <c r="E545" s="46"/>
      <c r="F545" s="46"/>
      <c r="G545" s="46"/>
    </row>
    <row r="546" spans="4:7">
      <c r="D546" s="46"/>
      <c r="E546" s="46"/>
      <c r="F546" s="46"/>
      <c r="G546" s="46"/>
    </row>
    <row r="547" spans="4:7">
      <c r="D547" s="46"/>
      <c r="E547" s="46"/>
      <c r="F547" s="46"/>
      <c r="G547" s="46"/>
    </row>
    <row r="548" spans="4:7">
      <c r="D548" s="46"/>
      <c r="E548" s="46"/>
      <c r="F548" s="46"/>
      <c r="G548" s="46"/>
    </row>
    <row r="549" spans="4:7">
      <c r="D549" s="46"/>
      <c r="E549" s="46"/>
      <c r="F549" s="46"/>
      <c r="G549" s="46"/>
    </row>
    <row r="550" spans="4:7">
      <c r="D550" s="46"/>
      <c r="E550" s="46"/>
      <c r="F550" s="46"/>
      <c r="G550" s="46"/>
    </row>
    <row r="551" spans="4:7">
      <c r="D551" s="46"/>
      <c r="E551" s="46"/>
      <c r="F551" s="46"/>
      <c r="G551" s="46"/>
    </row>
    <row r="552" spans="4:7">
      <c r="D552" s="46"/>
      <c r="E552" s="46"/>
      <c r="F552" s="46"/>
      <c r="G552" s="46"/>
    </row>
    <row r="553" spans="4:7">
      <c r="D553" s="46"/>
      <c r="E553" s="46"/>
      <c r="F553" s="46"/>
      <c r="G553" s="46"/>
    </row>
    <row r="554" spans="4:7">
      <c r="D554" s="46"/>
      <c r="E554" s="46"/>
      <c r="F554" s="46"/>
      <c r="G554" s="46"/>
    </row>
    <row r="555" spans="4:7">
      <c r="D555" s="46"/>
      <c r="E555" s="46"/>
      <c r="F555" s="46"/>
      <c r="G555" s="46"/>
    </row>
    <row r="556" spans="4:7">
      <c r="D556" s="46"/>
      <c r="E556" s="46"/>
      <c r="F556" s="46"/>
      <c r="G556" s="46"/>
    </row>
    <row r="557" spans="4:7">
      <c r="D557" s="46"/>
      <c r="E557" s="46"/>
      <c r="F557" s="46"/>
      <c r="G557" s="46"/>
    </row>
    <row r="558" spans="4:7">
      <c r="D558" s="46"/>
      <c r="E558" s="46"/>
      <c r="F558" s="46"/>
      <c r="G558" s="46"/>
    </row>
    <row r="559" spans="4:7">
      <c r="D559" s="46"/>
      <c r="E559" s="46"/>
      <c r="F559" s="46"/>
      <c r="G559" s="46"/>
    </row>
    <row r="560" spans="4:7">
      <c r="D560" s="46"/>
      <c r="E560" s="46"/>
      <c r="F560" s="46"/>
      <c r="G560" s="46"/>
    </row>
    <row r="561" spans="4:7">
      <c r="D561" s="46"/>
      <c r="E561" s="46"/>
      <c r="F561" s="46"/>
      <c r="G561" s="46"/>
    </row>
    <row r="562" spans="4:7">
      <c r="D562" s="46"/>
      <c r="E562" s="46"/>
      <c r="F562" s="46"/>
      <c r="G562" s="46"/>
    </row>
    <row r="563" spans="4:7">
      <c r="D563" s="46"/>
      <c r="E563" s="46"/>
      <c r="F563" s="46"/>
      <c r="G563" s="46"/>
    </row>
    <row r="564" spans="4:7">
      <c r="D564" s="46"/>
      <c r="E564" s="46"/>
      <c r="F564" s="46"/>
      <c r="G564" s="46"/>
    </row>
    <row r="565" spans="4:7">
      <c r="D565" s="46"/>
      <c r="E565" s="46"/>
      <c r="F565" s="46"/>
      <c r="G565" s="46"/>
    </row>
    <row r="566" spans="4:7">
      <c r="D566" s="46"/>
      <c r="E566" s="46"/>
      <c r="F566" s="46"/>
      <c r="G566" s="46"/>
    </row>
    <row r="567" spans="4:7">
      <c r="D567" s="46"/>
      <c r="E567" s="46"/>
      <c r="F567" s="46"/>
      <c r="G567" s="46"/>
    </row>
    <row r="568" spans="4:7">
      <c r="D568" s="46"/>
      <c r="E568" s="46"/>
      <c r="F568" s="46"/>
      <c r="G568" s="46"/>
    </row>
    <row r="569" spans="4:7">
      <c r="D569" s="46"/>
      <c r="E569" s="46"/>
      <c r="F569" s="46"/>
      <c r="G569" s="46"/>
    </row>
    <row r="570" spans="4:7">
      <c r="D570" s="46"/>
      <c r="E570" s="46"/>
      <c r="F570" s="46"/>
      <c r="G570" s="46"/>
    </row>
    <row r="571" spans="4:7">
      <c r="D571" s="46"/>
      <c r="E571" s="46"/>
      <c r="F571" s="46"/>
      <c r="G571" s="46"/>
    </row>
    <row r="572" spans="4:7">
      <c r="D572" s="46"/>
      <c r="E572" s="46"/>
      <c r="F572" s="46"/>
      <c r="G572" s="46"/>
    </row>
    <row r="573" spans="4:7">
      <c r="D573" s="46"/>
      <c r="E573" s="46"/>
      <c r="F573" s="46"/>
      <c r="G573" s="46"/>
    </row>
    <row r="574" spans="4:7">
      <c r="D574" s="46"/>
      <c r="E574" s="46"/>
      <c r="F574" s="46"/>
      <c r="G574" s="46"/>
    </row>
    <row r="575" spans="4:7">
      <c r="D575" s="46"/>
      <c r="E575" s="46"/>
      <c r="F575" s="46"/>
      <c r="G575" s="46"/>
    </row>
    <row r="576" spans="4:7">
      <c r="D576" s="46"/>
      <c r="E576" s="46"/>
      <c r="F576" s="46"/>
      <c r="G576" s="46"/>
    </row>
    <row r="577" spans="4:7">
      <c r="D577" s="46"/>
      <c r="E577" s="46"/>
      <c r="F577" s="46"/>
      <c r="G577" s="46"/>
    </row>
    <row r="578" spans="4:7">
      <c r="D578" s="46"/>
      <c r="E578" s="46"/>
      <c r="F578" s="46"/>
      <c r="G578" s="46"/>
    </row>
    <row r="579" spans="4:7">
      <c r="D579" s="46"/>
      <c r="E579" s="46"/>
      <c r="F579" s="46"/>
      <c r="G579" s="46"/>
    </row>
    <row r="580" spans="4:7">
      <c r="D580" s="46"/>
      <c r="E580" s="46"/>
      <c r="F580" s="46"/>
      <c r="G580" s="46"/>
    </row>
    <row r="581" spans="4:7">
      <c r="D581" s="46"/>
      <c r="E581" s="46"/>
      <c r="F581" s="46"/>
      <c r="G581" s="46"/>
    </row>
    <row r="582" spans="4:7">
      <c r="D582" s="46"/>
      <c r="E582" s="46"/>
      <c r="F582" s="46"/>
      <c r="G582" s="46"/>
    </row>
    <row r="583" spans="4:7">
      <c r="D583" s="46"/>
      <c r="E583" s="46"/>
      <c r="F583" s="46"/>
      <c r="G583" s="46"/>
    </row>
    <row r="584" spans="4:7">
      <c r="D584" s="46"/>
      <c r="E584" s="46"/>
      <c r="F584" s="46"/>
      <c r="G584" s="46"/>
    </row>
    <row r="585" spans="4:7">
      <c r="D585" s="46"/>
      <c r="E585" s="46"/>
      <c r="F585" s="46"/>
      <c r="G585" s="46"/>
    </row>
    <row r="586" spans="4:7">
      <c r="D586" s="46"/>
      <c r="E586" s="46"/>
      <c r="F586" s="46"/>
      <c r="G586" s="46"/>
    </row>
    <row r="587" spans="4:7">
      <c r="D587" s="46"/>
      <c r="E587" s="46"/>
      <c r="F587" s="46"/>
      <c r="G587" s="46"/>
    </row>
    <row r="588" spans="4:7">
      <c r="D588" s="46"/>
      <c r="E588" s="46"/>
      <c r="F588" s="46"/>
      <c r="G588" s="46"/>
    </row>
    <row r="589" spans="4:7">
      <c r="D589" s="46"/>
      <c r="E589" s="46"/>
      <c r="F589" s="46"/>
      <c r="G589" s="46"/>
    </row>
    <row r="590" spans="4:7">
      <c r="D590" s="46"/>
      <c r="E590" s="46"/>
      <c r="F590" s="46"/>
      <c r="G590" s="46"/>
    </row>
    <row r="591" spans="4:7">
      <c r="D591" s="46"/>
      <c r="E591" s="46"/>
      <c r="F591" s="46"/>
      <c r="G591" s="46"/>
    </row>
    <row r="592" spans="4:7">
      <c r="D592" s="46"/>
      <c r="E592" s="46"/>
      <c r="F592" s="46"/>
      <c r="G592" s="46"/>
    </row>
    <row r="593" spans="4:7">
      <c r="D593" s="46"/>
      <c r="E593" s="46"/>
      <c r="F593" s="46"/>
      <c r="G593" s="46"/>
    </row>
    <row r="594" spans="4:7">
      <c r="D594" s="46"/>
      <c r="E594" s="46"/>
      <c r="F594" s="46"/>
      <c r="G594" s="46"/>
    </row>
    <row r="595" spans="4:7">
      <c r="D595" s="46"/>
      <c r="E595" s="46"/>
      <c r="F595" s="46"/>
      <c r="G595" s="46"/>
    </row>
    <row r="596" spans="4:7">
      <c r="D596" s="46"/>
      <c r="E596" s="46"/>
      <c r="F596" s="46"/>
      <c r="G596" s="46"/>
    </row>
    <row r="597" spans="4:7">
      <c r="D597" s="46"/>
      <c r="E597" s="46"/>
      <c r="F597" s="46"/>
      <c r="G597" s="46"/>
    </row>
    <row r="598" spans="4:7">
      <c r="D598" s="46"/>
      <c r="E598" s="46"/>
      <c r="F598" s="46"/>
      <c r="G598" s="46"/>
    </row>
    <row r="599" spans="4:7">
      <c r="D599" s="46"/>
      <c r="E599" s="46"/>
      <c r="F599" s="46"/>
      <c r="G599" s="46"/>
    </row>
    <row r="600" spans="4:7">
      <c r="D600" s="46"/>
      <c r="E600" s="46"/>
      <c r="F600" s="46"/>
      <c r="G600" s="46"/>
    </row>
    <row r="601" spans="4:7">
      <c r="D601" s="46"/>
      <c r="E601" s="46"/>
      <c r="F601" s="46"/>
      <c r="G601" s="46"/>
    </row>
    <row r="602" spans="4:7">
      <c r="D602" s="46"/>
      <c r="E602" s="46"/>
      <c r="F602" s="46"/>
      <c r="G602" s="46"/>
    </row>
    <row r="603" spans="4:7">
      <c r="D603" s="46"/>
      <c r="E603" s="46"/>
      <c r="F603" s="46"/>
      <c r="G603" s="46"/>
    </row>
    <row r="604" spans="4:7">
      <c r="D604" s="46"/>
      <c r="E604" s="46"/>
      <c r="F604" s="46"/>
      <c r="G604" s="46"/>
    </row>
    <row r="605" spans="4:7">
      <c r="D605" s="46"/>
      <c r="E605" s="46"/>
      <c r="F605" s="46"/>
      <c r="G605" s="46"/>
    </row>
    <row r="606" spans="4:7">
      <c r="D606" s="46"/>
      <c r="E606" s="46"/>
      <c r="F606" s="46"/>
      <c r="G606" s="46"/>
    </row>
    <row r="607" spans="4:7">
      <c r="D607" s="46"/>
      <c r="E607" s="46"/>
      <c r="F607" s="46"/>
      <c r="G607" s="46"/>
    </row>
    <row r="608" spans="4:7">
      <c r="D608" s="46"/>
      <c r="E608" s="46"/>
      <c r="F608" s="46"/>
      <c r="G608" s="46"/>
    </row>
    <row r="609" spans="4:7">
      <c r="D609" s="46"/>
      <c r="E609" s="46"/>
      <c r="F609" s="46"/>
      <c r="G609" s="46"/>
    </row>
    <row r="610" spans="4:7">
      <c r="D610" s="46"/>
      <c r="E610" s="46"/>
      <c r="F610" s="46"/>
      <c r="G610" s="46"/>
    </row>
    <row r="611" spans="4:7">
      <c r="D611" s="46"/>
      <c r="E611" s="46"/>
      <c r="F611" s="46"/>
      <c r="G611" s="46"/>
    </row>
    <row r="612" spans="4:7">
      <c r="D612" s="46"/>
      <c r="E612" s="46"/>
      <c r="F612" s="46"/>
      <c r="G612" s="46"/>
    </row>
    <row r="613" spans="4:7">
      <c r="D613" s="46"/>
      <c r="E613" s="46"/>
      <c r="F613" s="46"/>
      <c r="G613" s="46"/>
    </row>
    <row r="614" spans="4:7">
      <c r="D614" s="46"/>
      <c r="E614" s="46"/>
      <c r="F614" s="46"/>
      <c r="G614" s="46"/>
    </row>
    <row r="615" spans="4:7">
      <c r="D615" s="46"/>
      <c r="E615" s="46"/>
      <c r="F615" s="46"/>
      <c r="G615" s="46"/>
    </row>
    <row r="616" spans="4:7">
      <c r="D616" s="46"/>
      <c r="E616" s="46"/>
      <c r="F616" s="46"/>
      <c r="G616" s="46"/>
    </row>
    <row r="617" spans="4:7">
      <c r="D617" s="46"/>
      <c r="E617" s="46"/>
      <c r="F617" s="46"/>
      <c r="G617" s="46"/>
    </row>
    <row r="618" spans="4:7">
      <c r="D618" s="46"/>
      <c r="E618" s="46"/>
      <c r="F618" s="46"/>
      <c r="G618" s="46"/>
    </row>
    <row r="619" spans="4:7">
      <c r="D619" s="46"/>
      <c r="E619" s="46"/>
      <c r="F619" s="46"/>
      <c r="G619" s="46"/>
    </row>
    <row r="620" spans="4:7">
      <c r="D620" s="46"/>
      <c r="E620" s="46"/>
      <c r="F620" s="46"/>
      <c r="G620" s="46"/>
    </row>
    <row r="621" spans="4:7">
      <c r="D621" s="46"/>
      <c r="E621" s="46"/>
      <c r="F621" s="46"/>
      <c r="G621" s="46"/>
    </row>
    <row r="622" spans="4:7">
      <c r="D622" s="46"/>
      <c r="E622" s="46"/>
      <c r="F622" s="46"/>
      <c r="G622" s="46"/>
    </row>
    <row r="623" spans="4:7">
      <c r="D623" s="46"/>
      <c r="E623" s="46"/>
      <c r="F623" s="46"/>
      <c r="G623" s="46"/>
    </row>
    <row r="624" spans="4:7">
      <c r="D624" s="46"/>
      <c r="E624" s="46"/>
      <c r="F624" s="46"/>
      <c r="G624" s="46"/>
    </row>
    <row r="625" spans="4:7">
      <c r="D625" s="46"/>
      <c r="E625" s="46"/>
      <c r="F625" s="46"/>
      <c r="G625" s="46"/>
    </row>
    <row r="626" spans="4:7">
      <c r="D626" s="46"/>
      <c r="E626" s="46"/>
      <c r="F626" s="46"/>
      <c r="G626" s="46"/>
    </row>
    <row r="627" spans="4:7">
      <c r="D627" s="46"/>
      <c r="E627" s="46"/>
      <c r="F627" s="46"/>
      <c r="G627" s="46"/>
    </row>
    <row r="628" spans="4:7">
      <c r="D628" s="46"/>
      <c r="E628" s="46"/>
      <c r="F628" s="46"/>
      <c r="G628" s="46"/>
    </row>
    <row r="629" spans="4:7">
      <c r="D629" s="46"/>
      <c r="E629" s="46"/>
      <c r="F629" s="46"/>
      <c r="G629" s="46"/>
    </row>
    <row r="630" spans="4:7">
      <c r="D630" s="46"/>
      <c r="E630" s="46"/>
      <c r="F630" s="46"/>
      <c r="G630" s="46"/>
    </row>
    <row r="631" spans="4:7">
      <c r="D631" s="46"/>
      <c r="E631" s="46"/>
      <c r="F631" s="46"/>
      <c r="G631" s="46"/>
    </row>
    <row r="632" spans="4:7">
      <c r="D632" s="46"/>
      <c r="E632" s="46"/>
      <c r="F632" s="46"/>
      <c r="G632" s="46"/>
    </row>
    <row r="633" spans="4:7">
      <c r="D633" s="46"/>
      <c r="E633" s="46"/>
      <c r="F633" s="46"/>
      <c r="G633" s="46"/>
    </row>
    <row r="634" spans="4:7">
      <c r="D634" s="46"/>
      <c r="E634" s="46"/>
      <c r="F634" s="46"/>
      <c r="G634" s="46"/>
    </row>
    <row r="635" spans="4:7">
      <c r="D635" s="46"/>
      <c r="E635" s="46"/>
      <c r="F635" s="46"/>
      <c r="G635" s="46"/>
    </row>
    <row r="636" spans="4:7">
      <c r="D636" s="46"/>
      <c r="E636" s="46"/>
      <c r="F636" s="46"/>
      <c r="G636" s="46"/>
    </row>
    <row r="637" spans="4:7">
      <c r="D637" s="46"/>
      <c r="E637" s="46"/>
      <c r="F637" s="46"/>
      <c r="G637" s="46"/>
    </row>
    <row r="638" spans="4:7">
      <c r="D638" s="46"/>
      <c r="E638" s="46"/>
      <c r="F638" s="46"/>
      <c r="G638" s="46"/>
    </row>
    <row r="639" spans="4:7">
      <c r="D639" s="46"/>
      <c r="E639" s="46"/>
      <c r="F639" s="46"/>
      <c r="G639" s="46"/>
    </row>
    <row r="640" spans="4:7">
      <c r="D640" s="46"/>
      <c r="E640" s="46"/>
      <c r="F640" s="46"/>
      <c r="G640" s="46"/>
    </row>
    <row r="641" spans="4:7">
      <c r="D641" s="46"/>
      <c r="E641" s="46"/>
      <c r="F641" s="46"/>
      <c r="G641" s="46"/>
    </row>
    <row r="642" spans="4:7">
      <c r="D642" s="46"/>
      <c r="E642" s="46"/>
      <c r="F642" s="46"/>
      <c r="G642" s="46"/>
    </row>
    <row r="643" spans="4:7">
      <c r="D643" s="46"/>
      <c r="E643" s="46"/>
      <c r="F643" s="46"/>
      <c r="G643" s="46"/>
    </row>
    <row r="644" spans="4:7">
      <c r="D644" s="46"/>
      <c r="E644" s="46"/>
      <c r="F644" s="46"/>
      <c r="G644" s="46"/>
    </row>
    <row r="645" spans="4:7">
      <c r="D645" s="46"/>
      <c r="E645" s="46"/>
      <c r="F645" s="46"/>
      <c r="G645" s="46"/>
    </row>
    <row r="646" spans="4:7">
      <c r="D646" s="46"/>
      <c r="E646" s="46"/>
      <c r="F646" s="46"/>
      <c r="G646" s="46"/>
    </row>
    <row r="647" spans="4:7">
      <c r="D647" s="46"/>
      <c r="E647" s="46"/>
      <c r="F647" s="46"/>
      <c r="G647" s="46"/>
    </row>
    <row r="648" spans="4:7">
      <c r="D648" s="46"/>
      <c r="E648" s="46"/>
      <c r="F648" s="46"/>
      <c r="G648" s="46"/>
    </row>
    <row r="649" spans="4:7">
      <c r="D649" s="46"/>
      <c r="E649" s="46"/>
      <c r="F649" s="46"/>
      <c r="G649" s="46"/>
    </row>
    <row r="650" spans="4:7">
      <c r="D650" s="46"/>
      <c r="E650" s="46"/>
      <c r="F650" s="46"/>
      <c r="G650" s="46"/>
    </row>
    <row r="651" spans="4:7">
      <c r="D651" s="46"/>
      <c r="E651" s="46"/>
      <c r="F651" s="46"/>
      <c r="G651" s="46"/>
    </row>
    <row r="652" spans="4:7">
      <c r="D652" s="46"/>
      <c r="E652" s="46"/>
      <c r="F652" s="46"/>
      <c r="G652" s="46"/>
    </row>
    <row r="653" spans="4:7">
      <c r="D653" s="46"/>
      <c r="E653" s="46"/>
      <c r="F653" s="46"/>
      <c r="G653" s="46"/>
    </row>
    <row r="654" spans="4:7">
      <c r="D654" s="46"/>
      <c r="E654" s="46"/>
      <c r="F654" s="46"/>
      <c r="G654" s="46"/>
    </row>
    <row r="655" spans="4:7">
      <c r="D655" s="46"/>
      <c r="E655" s="46"/>
      <c r="F655" s="46"/>
      <c r="G655" s="46"/>
    </row>
    <row r="656" spans="4:7">
      <c r="D656" s="46"/>
      <c r="E656" s="46"/>
      <c r="F656" s="46"/>
      <c r="G656" s="46"/>
    </row>
    <row r="657" spans="4:7">
      <c r="D657" s="46"/>
      <c r="E657" s="46"/>
      <c r="F657" s="46"/>
      <c r="G657" s="46"/>
    </row>
    <row r="658" spans="4:7">
      <c r="D658" s="46"/>
      <c r="E658" s="46"/>
      <c r="F658" s="46"/>
      <c r="G658" s="46"/>
    </row>
    <row r="659" spans="4:7">
      <c r="D659" s="46"/>
      <c r="E659" s="46"/>
      <c r="F659" s="46"/>
      <c r="G659" s="46"/>
    </row>
    <row r="660" spans="4:7">
      <c r="D660" s="46"/>
      <c r="E660" s="46"/>
      <c r="F660" s="46"/>
      <c r="G660" s="46"/>
    </row>
    <row r="661" spans="4:7">
      <c r="D661" s="46"/>
      <c r="E661" s="46"/>
      <c r="F661" s="46"/>
      <c r="G661" s="46"/>
    </row>
    <row r="662" spans="4:7">
      <c r="D662" s="46"/>
      <c r="E662" s="46"/>
      <c r="F662" s="46"/>
      <c r="G662" s="46"/>
    </row>
    <row r="663" spans="4:7">
      <c r="D663" s="46"/>
      <c r="E663" s="46"/>
      <c r="F663" s="46"/>
      <c r="G663" s="46"/>
    </row>
    <row r="664" spans="4:7">
      <c r="D664" s="46"/>
      <c r="E664" s="46"/>
      <c r="F664" s="46"/>
      <c r="G664" s="46"/>
    </row>
    <row r="665" spans="4:7">
      <c r="D665" s="46"/>
      <c r="E665" s="46"/>
      <c r="F665" s="46"/>
      <c r="G665" s="46"/>
    </row>
    <row r="666" spans="4:7">
      <c r="D666" s="46"/>
      <c r="E666" s="46"/>
      <c r="F666" s="46"/>
      <c r="G666" s="46"/>
    </row>
    <row r="667" spans="4:7">
      <c r="D667" s="46"/>
      <c r="E667" s="46"/>
      <c r="F667" s="46"/>
      <c r="G667" s="46"/>
    </row>
    <row r="668" spans="4:7">
      <c r="D668" s="46"/>
      <c r="E668" s="46"/>
      <c r="F668" s="46"/>
      <c r="G668" s="46"/>
    </row>
    <row r="669" spans="4:7">
      <c r="D669" s="46"/>
      <c r="E669" s="46"/>
      <c r="F669" s="46"/>
      <c r="G669" s="46"/>
    </row>
    <row r="670" spans="4:7">
      <c r="D670" s="46"/>
      <c r="E670" s="46"/>
      <c r="F670" s="46"/>
      <c r="G670" s="46"/>
    </row>
    <row r="671" spans="4:7">
      <c r="D671" s="46"/>
      <c r="E671" s="46"/>
      <c r="F671" s="46"/>
      <c r="G671" s="46"/>
    </row>
    <row r="672" spans="4:7">
      <c r="D672" s="46"/>
      <c r="E672" s="46"/>
      <c r="F672" s="46"/>
      <c r="G672" s="46"/>
    </row>
    <row r="673" spans="4:7">
      <c r="D673" s="46"/>
      <c r="E673" s="46"/>
      <c r="F673" s="46"/>
      <c r="G673" s="46"/>
    </row>
    <row r="674" spans="4:7">
      <c r="D674" s="46"/>
      <c r="E674" s="46"/>
      <c r="F674" s="46"/>
      <c r="G674" s="46"/>
    </row>
    <row r="675" spans="4:7">
      <c r="D675" s="46"/>
      <c r="E675" s="46"/>
      <c r="F675" s="46"/>
      <c r="G675" s="46"/>
    </row>
    <row r="676" spans="4:7">
      <c r="D676" s="46"/>
      <c r="E676" s="46"/>
      <c r="F676" s="46"/>
      <c r="G676" s="46"/>
    </row>
    <row r="677" spans="4:7">
      <c r="D677" s="46"/>
      <c r="E677" s="46"/>
      <c r="F677" s="46"/>
      <c r="G677" s="46"/>
    </row>
    <row r="678" spans="4:7">
      <c r="D678" s="46"/>
      <c r="E678" s="46"/>
      <c r="F678" s="46"/>
      <c r="G678" s="46"/>
    </row>
    <row r="679" spans="4:7">
      <c r="D679" s="46"/>
      <c r="E679" s="46"/>
      <c r="F679" s="46"/>
      <c r="G679" s="46"/>
    </row>
    <row r="680" spans="4:7">
      <c r="D680" s="46"/>
      <c r="E680" s="46"/>
      <c r="F680" s="46"/>
      <c r="G680" s="46"/>
    </row>
    <row r="681" spans="4:7">
      <c r="D681" s="46"/>
      <c r="E681" s="46"/>
      <c r="F681" s="46"/>
      <c r="G681" s="46"/>
    </row>
    <row r="682" spans="4:7">
      <c r="D682" s="46"/>
      <c r="E682" s="46"/>
      <c r="F682" s="46"/>
      <c r="G682" s="46"/>
    </row>
    <row r="683" spans="4:7">
      <c r="D683" s="46"/>
      <c r="E683" s="46"/>
      <c r="F683" s="46"/>
      <c r="G683" s="46"/>
    </row>
    <row r="684" spans="4:7">
      <c r="D684" s="46"/>
      <c r="E684" s="46"/>
      <c r="F684" s="46"/>
      <c r="G684" s="46"/>
    </row>
    <row r="685" spans="4:7">
      <c r="D685" s="46"/>
      <c r="E685" s="46"/>
      <c r="F685" s="46"/>
      <c r="G685" s="46"/>
    </row>
    <row r="686" spans="4:7">
      <c r="D686" s="46"/>
      <c r="E686" s="46"/>
      <c r="F686" s="46"/>
      <c r="G686" s="46"/>
    </row>
    <row r="687" spans="4:7">
      <c r="D687" s="46"/>
      <c r="E687" s="46"/>
      <c r="F687" s="46"/>
      <c r="G687" s="46"/>
    </row>
    <row r="688" spans="4:7">
      <c r="D688" s="46"/>
      <c r="E688" s="46"/>
      <c r="F688" s="46"/>
      <c r="G688" s="46"/>
    </row>
    <row r="689" spans="4:7">
      <c r="D689" s="46"/>
      <c r="E689" s="46"/>
      <c r="F689" s="46"/>
      <c r="G689" s="46"/>
    </row>
    <row r="690" spans="4:7">
      <c r="D690" s="46"/>
      <c r="E690" s="46"/>
      <c r="F690" s="46"/>
      <c r="G690" s="46"/>
    </row>
    <row r="691" spans="4:7">
      <c r="D691" s="46"/>
      <c r="E691" s="46"/>
      <c r="F691" s="46"/>
      <c r="G691" s="46"/>
    </row>
    <row r="692" spans="4:7">
      <c r="D692" s="46"/>
      <c r="E692" s="46"/>
      <c r="F692" s="46"/>
      <c r="G692" s="46"/>
    </row>
    <row r="693" spans="4:7">
      <c r="D693" s="46"/>
      <c r="E693" s="46"/>
      <c r="F693" s="46"/>
      <c r="G693" s="46"/>
    </row>
    <row r="694" spans="4:7">
      <c r="D694" s="46"/>
      <c r="E694" s="46"/>
      <c r="F694" s="46"/>
      <c r="G694" s="46"/>
    </row>
    <row r="695" spans="4:7">
      <c r="D695" s="46"/>
      <c r="E695" s="46"/>
      <c r="F695" s="46"/>
      <c r="G695" s="46"/>
    </row>
    <row r="696" spans="4:7">
      <c r="D696" s="46"/>
      <c r="E696" s="46"/>
      <c r="F696" s="46"/>
      <c r="G696" s="46"/>
    </row>
    <row r="697" spans="4:7">
      <c r="D697" s="46"/>
      <c r="E697" s="46"/>
      <c r="F697" s="46"/>
      <c r="G697" s="46"/>
    </row>
    <row r="698" spans="4:7">
      <c r="D698" s="46"/>
      <c r="E698" s="46"/>
      <c r="F698" s="46"/>
      <c r="G698" s="46"/>
    </row>
    <row r="699" spans="4:7">
      <c r="D699" s="46"/>
      <c r="E699" s="46"/>
      <c r="F699" s="46"/>
      <c r="G699" s="46"/>
    </row>
    <row r="700" spans="4:7">
      <c r="D700" s="46"/>
      <c r="E700" s="46"/>
      <c r="F700" s="46"/>
      <c r="G700" s="46"/>
    </row>
    <row r="701" spans="4:7">
      <c r="D701" s="46"/>
      <c r="E701" s="46"/>
      <c r="F701" s="46"/>
      <c r="G701" s="46"/>
    </row>
    <row r="702" spans="4:7">
      <c r="D702" s="46"/>
      <c r="E702" s="46"/>
      <c r="F702" s="46"/>
      <c r="G702" s="46"/>
    </row>
    <row r="703" spans="4:7">
      <c r="D703" s="46"/>
      <c r="E703" s="46"/>
      <c r="F703" s="46"/>
      <c r="G703" s="46"/>
    </row>
    <row r="704" spans="4:7">
      <c r="D704" s="46"/>
      <c r="E704" s="46"/>
      <c r="F704" s="46"/>
      <c r="G704" s="46"/>
    </row>
    <row r="705" spans="4:7">
      <c r="D705" s="46"/>
      <c r="E705" s="46"/>
      <c r="F705" s="46"/>
      <c r="G705" s="46"/>
    </row>
    <row r="706" spans="4:7">
      <c r="D706" s="46"/>
      <c r="E706" s="46"/>
      <c r="F706" s="46"/>
      <c r="G706" s="46"/>
    </row>
    <row r="707" spans="4:7">
      <c r="D707" s="46"/>
      <c r="E707" s="46"/>
      <c r="F707" s="46"/>
      <c r="G707" s="46"/>
    </row>
    <row r="708" spans="4:7">
      <c r="D708" s="46"/>
      <c r="E708" s="46"/>
      <c r="F708" s="46"/>
      <c r="G708" s="46"/>
    </row>
    <row r="709" spans="4:7">
      <c r="D709" s="46"/>
      <c r="E709" s="46"/>
      <c r="F709" s="46"/>
      <c r="G709" s="46"/>
    </row>
    <row r="710" spans="4:7">
      <c r="D710" s="46"/>
      <c r="E710" s="46"/>
      <c r="F710" s="46"/>
      <c r="G710" s="46"/>
    </row>
    <row r="711" spans="4:7">
      <c r="D711" s="46"/>
      <c r="E711" s="46"/>
      <c r="F711" s="46"/>
      <c r="G711" s="46"/>
    </row>
    <row r="712" spans="4:7">
      <c r="D712" s="46"/>
      <c r="E712" s="46"/>
      <c r="F712" s="46"/>
      <c r="G712" s="46"/>
    </row>
    <row r="713" spans="4:7">
      <c r="D713" s="46"/>
      <c r="E713" s="46"/>
      <c r="F713" s="46"/>
      <c r="G713" s="46"/>
    </row>
    <row r="714" spans="4:7">
      <c r="D714" s="46"/>
      <c r="E714" s="46"/>
      <c r="F714" s="46"/>
      <c r="G714" s="46"/>
    </row>
    <row r="715" spans="4:7">
      <c r="D715" s="46"/>
      <c r="E715" s="46"/>
      <c r="F715" s="46"/>
      <c r="G715" s="46"/>
    </row>
    <row r="716" spans="4:7">
      <c r="D716" s="46"/>
      <c r="E716" s="46"/>
      <c r="F716" s="46"/>
      <c r="G716" s="46"/>
    </row>
    <row r="717" spans="4:7">
      <c r="D717" s="46"/>
      <c r="E717" s="46"/>
      <c r="F717" s="46"/>
      <c r="G717" s="46"/>
    </row>
    <row r="718" spans="4:7">
      <c r="D718" s="46"/>
      <c r="E718" s="46"/>
      <c r="F718" s="46"/>
      <c r="G718" s="46"/>
    </row>
    <row r="719" spans="4:7">
      <c r="D719" s="46"/>
      <c r="E719" s="46"/>
      <c r="F719" s="46"/>
      <c r="G719" s="46"/>
    </row>
    <row r="720" spans="4:7">
      <c r="D720" s="46"/>
      <c r="E720" s="46"/>
      <c r="F720" s="46"/>
      <c r="G720" s="46"/>
    </row>
    <row r="721" spans="4:7">
      <c r="D721" s="46"/>
      <c r="E721" s="46"/>
      <c r="F721" s="46"/>
      <c r="G721" s="46"/>
    </row>
    <row r="722" spans="4:7">
      <c r="D722" s="46"/>
      <c r="E722" s="46"/>
      <c r="F722" s="46"/>
      <c r="G722" s="46"/>
    </row>
    <row r="723" spans="4:7">
      <c r="D723" s="46"/>
      <c r="E723" s="46"/>
      <c r="F723" s="46"/>
      <c r="G723" s="46"/>
    </row>
    <row r="724" spans="4:7">
      <c r="D724" s="46"/>
      <c r="E724" s="46"/>
      <c r="F724" s="46"/>
      <c r="G724" s="46"/>
    </row>
    <row r="725" spans="4:7">
      <c r="D725" s="46"/>
      <c r="E725" s="46"/>
      <c r="F725" s="46"/>
      <c r="G725" s="46"/>
    </row>
    <row r="726" spans="4:7">
      <c r="D726" s="46"/>
      <c r="E726" s="46"/>
      <c r="F726" s="46"/>
      <c r="G726" s="46"/>
    </row>
    <row r="727" spans="4:7">
      <c r="D727" s="46"/>
      <c r="E727" s="46"/>
      <c r="F727" s="46"/>
      <c r="G727" s="46"/>
    </row>
    <row r="728" spans="4:7">
      <c r="D728" s="46"/>
      <c r="E728" s="46"/>
      <c r="F728" s="46"/>
      <c r="G728" s="46"/>
    </row>
    <row r="729" spans="4:7">
      <c r="D729" s="46"/>
      <c r="E729" s="46"/>
      <c r="F729" s="46"/>
      <c r="G729" s="46"/>
    </row>
    <row r="730" spans="4:7">
      <c r="D730" s="46"/>
      <c r="E730" s="46"/>
      <c r="F730" s="46"/>
      <c r="G730" s="46"/>
    </row>
    <row r="731" spans="4:7">
      <c r="D731" s="46"/>
      <c r="E731" s="46"/>
      <c r="F731" s="46"/>
      <c r="G731" s="46"/>
    </row>
    <row r="732" spans="4:7">
      <c r="D732" s="46"/>
      <c r="E732" s="46"/>
      <c r="F732" s="46"/>
      <c r="G732" s="46"/>
    </row>
    <row r="733" spans="4:7">
      <c r="D733" s="46"/>
      <c r="E733" s="46"/>
      <c r="F733" s="46"/>
      <c r="G733" s="46"/>
    </row>
    <row r="734" spans="4:7">
      <c r="D734" s="46"/>
      <c r="E734" s="46"/>
      <c r="F734" s="46"/>
      <c r="G734" s="46"/>
    </row>
    <row r="735" spans="4:7">
      <c r="D735" s="46"/>
      <c r="E735" s="46"/>
      <c r="F735" s="46"/>
      <c r="G735" s="46"/>
    </row>
    <row r="736" spans="4:7">
      <c r="D736" s="46"/>
      <c r="E736" s="46"/>
      <c r="F736" s="46"/>
      <c r="G736" s="46"/>
    </row>
    <row r="737" spans="4:7">
      <c r="D737" s="46"/>
      <c r="E737" s="46"/>
      <c r="F737" s="46"/>
      <c r="G737" s="46"/>
    </row>
    <row r="738" spans="4:7">
      <c r="D738" s="46"/>
      <c r="E738" s="46"/>
      <c r="F738" s="46"/>
      <c r="G738" s="46"/>
    </row>
    <row r="739" spans="4:7">
      <c r="D739" s="46"/>
      <c r="E739" s="46"/>
      <c r="F739" s="46"/>
      <c r="G739" s="46"/>
    </row>
    <row r="740" spans="4:7">
      <c r="D740" s="46"/>
      <c r="E740" s="46"/>
      <c r="F740" s="46"/>
      <c r="G740" s="46"/>
    </row>
    <row r="741" spans="4:7">
      <c r="D741" s="46"/>
      <c r="E741" s="46"/>
      <c r="F741" s="46"/>
      <c r="G741" s="46"/>
    </row>
    <row r="742" spans="4:7">
      <c r="D742" s="46"/>
      <c r="E742" s="46"/>
      <c r="F742" s="46"/>
      <c r="G742" s="46"/>
    </row>
    <row r="743" spans="4:7">
      <c r="D743" s="46"/>
      <c r="E743" s="46"/>
      <c r="F743" s="46"/>
      <c r="G743" s="46"/>
    </row>
    <row r="744" spans="4:7">
      <c r="D744" s="46"/>
      <c r="E744" s="46"/>
      <c r="F744" s="46"/>
      <c r="G744" s="46"/>
    </row>
    <row r="745" spans="4:7">
      <c r="D745" s="46"/>
      <c r="E745" s="46"/>
      <c r="F745" s="46"/>
      <c r="G745" s="46"/>
    </row>
    <row r="746" spans="4:7">
      <c r="D746" s="46"/>
      <c r="E746" s="46"/>
      <c r="F746" s="46"/>
      <c r="G746" s="46"/>
    </row>
    <row r="747" spans="4:7">
      <c r="D747" s="46"/>
      <c r="E747" s="46"/>
      <c r="F747" s="46"/>
      <c r="G747" s="46"/>
    </row>
    <row r="748" spans="4:7">
      <c r="D748" s="46"/>
      <c r="E748" s="46"/>
      <c r="F748" s="46"/>
      <c r="G748" s="46"/>
    </row>
    <row r="749" spans="4:7">
      <c r="D749" s="46"/>
      <c r="E749" s="46"/>
      <c r="F749" s="46"/>
      <c r="G749" s="46"/>
    </row>
    <row r="750" spans="4:7">
      <c r="D750" s="46"/>
      <c r="E750" s="46"/>
      <c r="F750" s="46"/>
      <c r="G750" s="46"/>
    </row>
    <row r="751" spans="4:7">
      <c r="D751" s="46"/>
      <c r="E751" s="46"/>
      <c r="F751" s="46"/>
      <c r="G751" s="46"/>
    </row>
    <row r="752" spans="4:7">
      <c r="D752" s="46"/>
      <c r="E752" s="46"/>
      <c r="F752" s="46"/>
      <c r="G752" s="46"/>
    </row>
    <row r="753" spans="4:7">
      <c r="D753" s="46"/>
      <c r="E753" s="46"/>
      <c r="F753" s="46"/>
      <c r="G753" s="46"/>
    </row>
    <row r="754" spans="4:7">
      <c r="D754" s="46"/>
      <c r="E754" s="46"/>
      <c r="F754" s="46"/>
      <c r="G754" s="46"/>
    </row>
    <row r="755" spans="4:7">
      <c r="D755" s="46"/>
      <c r="E755" s="46"/>
      <c r="F755" s="46"/>
      <c r="G755" s="46"/>
    </row>
    <row r="756" spans="4:7">
      <c r="D756" s="46"/>
      <c r="E756" s="46"/>
      <c r="F756" s="46"/>
      <c r="G756" s="46"/>
    </row>
    <row r="757" spans="4:7">
      <c r="D757" s="46"/>
      <c r="E757" s="46"/>
      <c r="F757" s="46"/>
      <c r="G757" s="46"/>
    </row>
    <row r="758" spans="4:7">
      <c r="D758" s="46"/>
      <c r="E758" s="46"/>
      <c r="F758" s="46"/>
      <c r="G758" s="46"/>
    </row>
    <row r="759" spans="4:7">
      <c r="D759" s="46"/>
      <c r="E759" s="46"/>
      <c r="F759" s="46"/>
      <c r="G759" s="46"/>
    </row>
    <row r="760" spans="4:7">
      <c r="D760" s="46"/>
      <c r="E760" s="46"/>
      <c r="F760" s="46"/>
      <c r="G760" s="46"/>
    </row>
    <row r="761" spans="4:7">
      <c r="D761" s="46"/>
      <c r="E761" s="46"/>
      <c r="F761" s="46"/>
      <c r="G761" s="46"/>
    </row>
    <row r="762" spans="4:7">
      <c r="D762" s="46"/>
      <c r="E762" s="46"/>
      <c r="F762" s="46"/>
      <c r="G762" s="46"/>
    </row>
    <row r="763" spans="4:7">
      <c r="D763" s="46"/>
      <c r="E763" s="46"/>
      <c r="F763" s="46"/>
      <c r="G763" s="46"/>
    </row>
    <row r="764" spans="4:7">
      <c r="D764" s="46"/>
      <c r="E764" s="46"/>
      <c r="F764" s="46"/>
      <c r="G764" s="46"/>
    </row>
    <row r="765" spans="4:7">
      <c r="D765" s="46"/>
      <c r="E765" s="46"/>
      <c r="F765" s="46"/>
      <c r="G765" s="46"/>
    </row>
    <row r="766" spans="4:7">
      <c r="D766" s="46"/>
      <c r="E766" s="46"/>
      <c r="F766" s="46"/>
      <c r="G766" s="46"/>
    </row>
    <row r="767" spans="4:7">
      <c r="D767" s="46"/>
      <c r="E767" s="46"/>
      <c r="F767" s="46"/>
      <c r="G767" s="46"/>
    </row>
    <row r="768" spans="4:7">
      <c r="D768" s="46"/>
      <c r="E768" s="46"/>
      <c r="F768" s="46"/>
      <c r="G768" s="46"/>
    </row>
    <row r="769" spans="4:7">
      <c r="D769" s="46"/>
      <c r="E769" s="46"/>
      <c r="F769" s="46"/>
      <c r="G769" s="46"/>
    </row>
    <row r="770" spans="4:7">
      <c r="D770" s="46"/>
      <c r="E770" s="46"/>
      <c r="F770" s="46"/>
      <c r="G770" s="46"/>
    </row>
    <row r="771" spans="4:7">
      <c r="D771" s="46"/>
      <c r="E771" s="46"/>
      <c r="F771" s="46"/>
      <c r="G771" s="46"/>
    </row>
    <row r="772" spans="4:7">
      <c r="D772" s="46"/>
      <c r="E772" s="46"/>
      <c r="F772" s="46"/>
      <c r="G772" s="46"/>
    </row>
    <row r="773" spans="4:7">
      <c r="D773" s="46"/>
      <c r="E773" s="46"/>
      <c r="F773" s="46"/>
      <c r="G773" s="46"/>
    </row>
    <row r="774" spans="4:7">
      <c r="D774" s="46"/>
      <c r="E774" s="46"/>
      <c r="F774" s="46"/>
      <c r="G774" s="46"/>
    </row>
    <row r="775" spans="4:7">
      <c r="D775" s="46"/>
      <c r="E775" s="46"/>
      <c r="F775" s="46"/>
      <c r="G775" s="46"/>
    </row>
    <row r="776" spans="4:7">
      <c r="D776" s="46"/>
      <c r="E776" s="46"/>
      <c r="F776" s="46"/>
      <c r="G776" s="46"/>
    </row>
    <row r="777" spans="4:7">
      <c r="D777" s="46"/>
      <c r="E777" s="46"/>
      <c r="F777" s="46"/>
      <c r="G777" s="46"/>
    </row>
    <row r="778" spans="4:7">
      <c r="D778" s="46"/>
      <c r="E778" s="46"/>
      <c r="F778" s="46"/>
      <c r="G778" s="46"/>
    </row>
    <row r="779" spans="4:7">
      <c r="D779" s="46"/>
      <c r="E779" s="46"/>
      <c r="F779" s="46"/>
      <c r="G779" s="46"/>
    </row>
    <row r="780" spans="4:7">
      <c r="D780" s="46"/>
      <c r="E780" s="46"/>
      <c r="F780" s="46"/>
      <c r="G780" s="46"/>
    </row>
    <row r="781" spans="4:7">
      <c r="D781" s="46"/>
      <c r="E781" s="46"/>
      <c r="F781" s="46"/>
      <c r="G781" s="46"/>
    </row>
    <row r="782" spans="4:7">
      <c r="D782" s="46"/>
      <c r="E782" s="46"/>
      <c r="F782" s="46"/>
      <c r="G782" s="46"/>
    </row>
    <row r="783" spans="4:7">
      <c r="D783" s="46"/>
      <c r="E783" s="46"/>
      <c r="F783" s="46"/>
      <c r="G783" s="46"/>
    </row>
    <row r="784" spans="4:7">
      <c r="D784" s="46"/>
      <c r="E784" s="46"/>
      <c r="F784" s="46"/>
      <c r="G784" s="46"/>
    </row>
    <row r="785" spans="4:7">
      <c r="D785" s="46"/>
      <c r="E785" s="46"/>
      <c r="F785" s="46"/>
      <c r="G785" s="46"/>
    </row>
    <row r="786" spans="4:7">
      <c r="D786" s="46"/>
      <c r="E786" s="46"/>
      <c r="F786" s="46"/>
      <c r="G786" s="46"/>
    </row>
    <row r="787" spans="4:7">
      <c r="D787" s="46"/>
      <c r="E787" s="46"/>
      <c r="F787" s="46"/>
      <c r="G787" s="46"/>
    </row>
    <row r="788" spans="4:7">
      <c r="D788" s="46"/>
      <c r="E788" s="46"/>
      <c r="F788" s="46"/>
      <c r="G788" s="46"/>
    </row>
    <row r="789" spans="4:7">
      <c r="D789" s="46"/>
      <c r="E789" s="46"/>
      <c r="F789" s="46"/>
      <c r="G789" s="46"/>
    </row>
    <row r="790" spans="4:7">
      <c r="D790" s="46"/>
      <c r="E790" s="46"/>
      <c r="F790" s="46"/>
      <c r="G790" s="46"/>
    </row>
    <row r="791" spans="4:7">
      <c r="D791" s="46"/>
      <c r="E791" s="46"/>
      <c r="F791" s="46"/>
      <c r="G791" s="46"/>
    </row>
    <row r="792" spans="4:7">
      <c r="D792" s="46"/>
      <c r="E792" s="46"/>
      <c r="F792" s="46"/>
      <c r="G792" s="46"/>
    </row>
    <row r="793" spans="4:7">
      <c r="D793" s="46"/>
      <c r="E793" s="46"/>
      <c r="F793" s="46"/>
      <c r="G793" s="46"/>
    </row>
    <row r="794" spans="4:7">
      <c r="D794" s="46"/>
      <c r="E794" s="46"/>
      <c r="F794" s="46"/>
      <c r="G794" s="46"/>
    </row>
    <row r="795" spans="4:7">
      <c r="D795" s="46"/>
      <c r="E795" s="46"/>
      <c r="F795" s="46"/>
      <c r="G795" s="46"/>
    </row>
    <row r="796" spans="4:7">
      <c r="D796" s="46"/>
      <c r="E796" s="46"/>
      <c r="F796" s="46"/>
      <c r="G796" s="46"/>
    </row>
    <row r="797" spans="4:7">
      <c r="D797" s="46"/>
      <c r="E797" s="46"/>
      <c r="F797" s="46"/>
      <c r="G797" s="46"/>
    </row>
    <row r="798" spans="4:7">
      <c r="D798" s="46"/>
      <c r="E798" s="46"/>
      <c r="F798" s="46"/>
      <c r="G798" s="46"/>
    </row>
    <row r="799" spans="4:7">
      <c r="D799" s="46"/>
      <c r="E799" s="46"/>
      <c r="F799" s="46"/>
      <c r="G799" s="46"/>
    </row>
    <row r="800" spans="4:7">
      <c r="D800" s="46"/>
      <c r="E800" s="46"/>
      <c r="F800" s="46"/>
      <c r="G800" s="46"/>
    </row>
    <row r="801" spans="4:7">
      <c r="D801" s="46"/>
      <c r="E801" s="46"/>
      <c r="F801" s="46"/>
      <c r="G801" s="46"/>
    </row>
    <row r="802" spans="4:7">
      <c r="D802" s="46"/>
      <c r="E802" s="46"/>
      <c r="F802" s="46"/>
      <c r="G802" s="46"/>
    </row>
    <row r="803" spans="4:7">
      <c r="D803" s="46"/>
      <c r="E803" s="46"/>
      <c r="F803" s="46"/>
      <c r="G803" s="46"/>
    </row>
    <row r="804" spans="4:7">
      <c r="D804" s="46"/>
      <c r="E804" s="46"/>
      <c r="F804" s="46"/>
      <c r="G804" s="46"/>
    </row>
    <row r="805" spans="4:7">
      <c r="D805" s="46"/>
      <c r="E805" s="46"/>
      <c r="F805" s="46"/>
      <c r="G805" s="46"/>
    </row>
    <row r="806" spans="4:7">
      <c r="D806" s="46"/>
      <c r="E806" s="46"/>
      <c r="F806" s="46"/>
      <c r="G806" s="46"/>
    </row>
    <row r="807" spans="4:7">
      <c r="D807" s="46"/>
      <c r="E807" s="46"/>
      <c r="F807" s="46"/>
      <c r="G807" s="46"/>
    </row>
    <row r="808" spans="4:7">
      <c r="D808" s="46"/>
      <c r="E808" s="46"/>
      <c r="F808" s="46"/>
      <c r="G808" s="46"/>
    </row>
    <row r="809" spans="4:7">
      <c r="D809" s="46"/>
      <c r="E809" s="46"/>
      <c r="F809" s="46"/>
      <c r="G809" s="46"/>
    </row>
    <row r="810" spans="4:7">
      <c r="D810" s="46"/>
      <c r="E810" s="46"/>
      <c r="F810" s="46"/>
      <c r="G810" s="46"/>
    </row>
    <row r="811" spans="4:7">
      <c r="D811" s="46"/>
      <c r="E811" s="46"/>
      <c r="F811" s="46"/>
      <c r="G811" s="46"/>
    </row>
    <row r="812" spans="4:7">
      <c r="D812" s="46"/>
      <c r="E812" s="46"/>
      <c r="F812" s="46"/>
      <c r="G812" s="46"/>
    </row>
    <row r="813" spans="4:7">
      <c r="D813" s="46"/>
      <c r="E813" s="46"/>
      <c r="F813" s="46"/>
      <c r="G813" s="46"/>
    </row>
    <row r="814" spans="4:7">
      <c r="D814" s="46"/>
      <c r="E814" s="46"/>
      <c r="F814" s="46"/>
      <c r="G814" s="46"/>
    </row>
    <row r="815" spans="4:7">
      <c r="D815" s="46"/>
      <c r="E815" s="46"/>
      <c r="F815" s="46"/>
      <c r="G815" s="46"/>
    </row>
    <row r="816" spans="4:7">
      <c r="D816" s="46"/>
      <c r="E816" s="46"/>
      <c r="F816" s="46"/>
      <c r="G816" s="46"/>
    </row>
    <row r="817" spans="4:7">
      <c r="D817" s="46"/>
      <c r="E817" s="46"/>
      <c r="F817" s="46"/>
      <c r="G817" s="46"/>
    </row>
    <row r="818" spans="4:7">
      <c r="D818" s="46"/>
      <c r="E818" s="46"/>
      <c r="F818" s="46"/>
      <c r="G818" s="46"/>
    </row>
    <row r="819" spans="4:7">
      <c r="D819" s="46"/>
      <c r="E819" s="46"/>
      <c r="F819" s="46"/>
      <c r="G819" s="46"/>
    </row>
    <row r="820" spans="4:7">
      <c r="D820" s="46"/>
      <c r="E820" s="46"/>
      <c r="F820" s="46"/>
      <c r="G820" s="46"/>
    </row>
    <row r="821" spans="4:7">
      <c r="D821" s="46"/>
      <c r="E821" s="46"/>
      <c r="F821" s="46"/>
      <c r="G821" s="46"/>
    </row>
    <row r="822" spans="4:7">
      <c r="D822" s="46"/>
      <c r="E822" s="46"/>
      <c r="F822" s="46"/>
      <c r="G822" s="46"/>
    </row>
    <row r="823" spans="4:7">
      <c r="D823" s="46"/>
      <c r="E823" s="46"/>
      <c r="F823" s="46"/>
      <c r="G823" s="46"/>
    </row>
    <row r="824" spans="4:7">
      <c r="D824" s="46"/>
      <c r="E824" s="46"/>
      <c r="F824" s="46"/>
      <c r="G824" s="46"/>
    </row>
    <row r="825" spans="4:7">
      <c r="D825" s="46"/>
      <c r="E825" s="46"/>
      <c r="F825" s="46"/>
      <c r="G825" s="46"/>
    </row>
    <row r="826" spans="4:7">
      <c r="D826" s="46"/>
      <c r="E826" s="46"/>
      <c r="F826" s="46"/>
      <c r="G826" s="46"/>
    </row>
    <row r="827" spans="4:7">
      <c r="D827" s="46"/>
      <c r="E827" s="46"/>
      <c r="F827" s="46"/>
      <c r="G827" s="46"/>
    </row>
    <row r="828" spans="4:7">
      <c r="D828" s="46"/>
      <c r="E828" s="46"/>
      <c r="F828" s="46"/>
      <c r="G828" s="46"/>
    </row>
    <row r="829" spans="4:7">
      <c r="D829" s="46"/>
      <c r="E829" s="46"/>
      <c r="F829" s="46"/>
      <c r="G829" s="46"/>
    </row>
    <row r="830" spans="4:7">
      <c r="D830" s="46"/>
      <c r="E830" s="46"/>
      <c r="F830" s="46"/>
      <c r="G830" s="46"/>
    </row>
    <row r="831" spans="4:7">
      <c r="D831" s="46"/>
      <c r="E831" s="46"/>
      <c r="F831" s="46"/>
      <c r="G831" s="46"/>
    </row>
    <row r="832" spans="4:7">
      <c r="D832" s="46"/>
      <c r="E832" s="46"/>
      <c r="F832" s="46"/>
      <c r="G832" s="46"/>
    </row>
    <row r="833" spans="4:7">
      <c r="D833" s="46"/>
      <c r="E833" s="46"/>
      <c r="F833" s="46"/>
      <c r="G833" s="46"/>
    </row>
    <row r="834" spans="4:7">
      <c r="D834" s="46"/>
      <c r="E834" s="46"/>
      <c r="F834" s="46"/>
      <c r="G834" s="46"/>
    </row>
    <row r="835" spans="4:7">
      <c r="D835" s="46"/>
      <c r="E835" s="46"/>
      <c r="F835" s="46"/>
      <c r="G835" s="46"/>
    </row>
    <row r="836" spans="4:7">
      <c r="D836" s="46"/>
      <c r="E836" s="46"/>
      <c r="F836" s="46"/>
      <c r="G836" s="46"/>
    </row>
    <row r="837" spans="4:7">
      <c r="D837" s="46"/>
      <c r="E837" s="46"/>
      <c r="F837" s="46"/>
      <c r="G837" s="46"/>
    </row>
    <row r="838" spans="4:7">
      <c r="D838" s="46"/>
      <c r="E838" s="46"/>
      <c r="F838" s="46"/>
      <c r="G838" s="46"/>
    </row>
    <row r="839" spans="4:7">
      <c r="D839" s="46"/>
      <c r="E839" s="46"/>
      <c r="F839" s="46"/>
      <c r="G839" s="46"/>
    </row>
    <row r="840" spans="4:7">
      <c r="D840" s="46"/>
      <c r="E840" s="46"/>
      <c r="F840" s="46"/>
      <c r="G840" s="46"/>
    </row>
    <row r="841" spans="4:7">
      <c r="D841" s="46"/>
      <c r="E841" s="46"/>
      <c r="F841" s="46"/>
      <c r="G841" s="46"/>
    </row>
    <row r="842" spans="4:7">
      <c r="D842" s="46"/>
      <c r="E842" s="46"/>
      <c r="F842" s="46"/>
      <c r="G842" s="46"/>
    </row>
    <row r="843" spans="4:7">
      <c r="D843" s="46"/>
      <c r="E843" s="46"/>
      <c r="F843" s="46"/>
      <c r="G843" s="46"/>
    </row>
    <row r="844" spans="4:7">
      <c r="D844" s="46"/>
      <c r="E844" s="46"/>
      <c r="F844" s="46"/>
      <c r="G844" s="46"/>
    </row>
    <row r="845" spans="4:7">
      <c r="D845" s="46"/>
      <c r="E845" s="46"/>
      <c r="F845" s="46"/>
      <c r="G845" s="46"/>
    </row>
    <row r="846" spans="4:7">
      <c r="D846" s="46"/>
      <c r="E846" s="46"/>
      <c r="F846" s="46"/>
      <c r="G846" s="46"/>
    </row>
    <row r="847" spans="4:7">
      <c r="D847" s="46"/>
      <c r="E847" s="46"/>
      <c r="F847" s="46"/>
      <c r="G847" s="46"/>
    </row>
    <row r="848" spans="4:7">
      <c r="D848" s="46"/>
      <c r="E848" s="46"/>
      <c r="F848" s="46"/>
      <c r="G848" s="46"/>
    </row>
    <row r="849" spans="4:7">
      <c r="D849" s="46"/>
      <c r="E849" s="46"/>
      <c r="F849" s="46"/>
      <c r="G849" s="46"/>
    </row>
    <row r="850" spans="4:7">
      <c r="D850" s="46"/>
      <c r="E850" s="46"/>
      <c r="F850" s="46"/>
      <c r="G850" s="46"/>
    </row>
    <row r="851" spans="4:7">
      <c r="D851" s="46"/>
      <c r="E851" s="46"/>
      <c r="F851" s="46"/>
      <c r="G851" s="46"/>
    </row>
    <row r="852" spans="4:7">
      <c r="D852" s="46"/>
      <c r="E852" s="46"/>
      <c r="F852" s="46"/>
      <c r="G852" s="46"/>
    </row>
    <row r="853" spans="4:7">
      <c r="D853" s="46"/>
      <c r="E853" s="46"/>
      <c r="F853" s="46"/>
      <c r="G853" s="46"/>
    </row>
    <row r="854" spans="4:7">
      <c r="D854" s="46"/>
      <c r="E854" s="46"/>
      <c r="F854" s="46"/>
      <c r="G854" s="46"/>
    </row>
    <row r="855" spans="4:7">
      <c r="D855" s="46"/>
      <c r="E855" s="46"/>
      <c r="F855" s="46"/>
      <c r="G855" s="46"/>
    </row>
    <row r="856" spans="4:7">
      <c r="D856" s="46"/>
      <c r="E856" s="46"/>
      <c r="F856" s="46"/>
      <c r="G856" s="46"/>
    </row>
    <row r="857" spans="4:7">
      <c r="D857" s="46"/>
      <c r="E857" s="46"/>
      <c r="F857" s="46"/>
      <c r="G857" s="46"/>
    </row>
    <row r="858" spans="4:7">
      <c r="D858" s="46"/>
      <c r="E858" s="46"/>
      <c r="F858" s="46"/>
      <c r="G858" s="46"/>
    </row>
    <row r="859" spans="4:7">
      <c r="D859" s="46"/>
      <c r="E859" s="46"/>
      <c r="F859" s="46"/>
      <c r="G859" s="46"/>
    </row>
    <row r="860" spans="4:7">
      <c r="D860" s="46"/>
      <c r="E860" s="46"/>
      <c r="F860" s="46"/>
      <c r="G860" s="46"/>
    </row>
    <row r="861" spans="4:7">
      <c r="D861" s="46"/>
      <c r="E861" s="46"/>
      <c r="F861" s="46"/>
      <c r="G861" s="46"/>
    </row>
    <row r="862" spans="4:7">
      <c r="D862" s="46"/>
      <c r="E862" s="46"/>
      <c r="F862" s="46"/>
      <c r="G862" s="46"/>
    </row>
    <row r="863" spans="4:7">
      <c r="D863" s="46"/>
      <c r="E863" s="46"/>
      <c r="F863" s="46"/>
      <c r="G863" s="46"/>
    </row>
    <row r="864" spans="4:7">
      <c r="D864" s="46"/>
      <c r="E864" s="46"/>
      <c r="F864" s="46"/>
      <c r="G864" s="46"/>
    </row>
    <row r="865" spans="4:7">
      <c r="D865" s="46"/>
      <c r="E865" s="46"/>
      <c r="F865" s="46"/>
      <c r="G865" s="46"/>
    </row>
    <row r="866" spans="4:7">
      <c r="D866" s="46"/>
      <c r="E866" s="46"/>
      <c r="F866" s="46"/>
      <c r="G866" s="46"/>
    </row>
    <row r="867" spans="4:7">
      <c r="D867" s="46"/>
      <c r="E867" s="46"/>
      <c r="F867" s="46"/>
      <c r="G867" s="46"/>
    </row>
    <row r="868" spans="4:7">
      <c r="D868" s="46"/>
      <c r="E868" s="46"/>
      <c r="F868" s="46"/>
      <c r="G868" s="46"/>
    </row>
    <row r="869" spans="4:7">
      <c r="D869" s="46"/>
      <c r="E869" s="46"/>
      <c r="F869" s="46"/>
      <c r="G869" s="46"/>
    </row>
    <row r="870" spans="4:7">
      <c r="D870" s="46"/>
      <c r="E870" s="46"/>
      <c r="F870" s="46"/>
      <c r="G870" s="46"/>
    </row>
    <row r="871" spans="4:7">
      <c r="D871" s="46"/>
      <c r="E871" s="46"/>
      <c r="F871" s="46"/>
      <c r="G871" s="46"/>
    </row>
    <row r="872" spans="4:7">
      <c r="D872" s="46"/>
      <c r="E872" s="46"/>
      <c r="F872" s="46"/>
      <c r="G872" s="46"/>
    </row>
    <row r="873" spans="4:7">
      <c r="D873" s="46"/>
      <c r="E873" s="46"/>
      <c r="F873" s="46"/>
      <c r="G873" s="46"/>
    </row>
    <row r="874" spans="4:7">
      <c r="D874" s="46"/>
      <c r="E874" s="46"/>
      <c r="F874" s="46"/>
      <c r="G874" s="46"/>
    </row>
    <row r="875" spans="4:7">
      <c r="D875" s="46"/>
      <c r="E875" s="46"/>
      <c r="F875" s="46"/>
      <c r="G875" s="46"/>
    </row>
    <row r="876" spans="4:7">
      <c r="D876" s="46"/>
      <c r="E876" s="46"/>
      <c r="F876" s="46"/>
      <c r="G876" s="46"/>
    </row>
    <row r="877" spans="4:7">
      <c r="D877" s="46"/>
      <c r="E877" s="46"/>
      <c r="F877" s="46"/>
      <c r="G877" s="46"/>
    </row>
    <row r="878" spans="4:7">
      <c r="D878" s="46"/>
      <c r="E878" s="46"/>
      <c r="F878" s="46"/>
      <c r="G878" s="46"/>
    </row>
    <row r="879" spans="4:7">
      <c r="D879" s="46"/>
      <c r="E879" s="46"/>
      <c r="F879" s="46"/>
      <c r="G879" s="46"/>
    </row>
    <row r="880" spans="4:7">
      <c r="D880" s="46"/>
      <c r="E880" s="46"/>
      <c r="F880" s="46"/>
      <c r="G880" s="46"/>
    </row>
    <row r="881" spans="4:7">
      <c r="D881" s="46"/>
      <c r="E881" s="46"/>
      <c r="F881" s="46"/>
      <c r="G881" s="46"/>
    </row>
    <row r="882" spans="4:7">
      <c r="D882" s="46"/>
      <c r="E882" s="46"/>
      <c r="F882" s="46"/>
      <c r="G882" s="46"/>
    </row>
    <row r="883" spans="4:7">
      <c r="D883" s="46"/>
      <c r="E883" s="46"/>
      <c r="F883" s="46"/>
      <c r="G883" s="46"/>
    </row>
    <row r="884" spans="4:7">
      <c r="D884" s="46"/>
      <c r="E884" s="46"/>
      <c r="F884" s="46"/>
      <c r="G884" s="46"/>
    </row>
    <row r="885" spans="4:7">
      <c r="D885" s="46"/>
      <c r="E885" s="46"/>
      <c r="F885" s="46"/>
      <c r="G885" s="46"/>
    </row>
    <row r="886" spans="4:7">
      <c r="D886" s="46"/>
      <c r="E886" s="46"/>
      <c r="F886" s="46"/>
      <c r="G886" s="46"/>
    </row>
    <row r="887" spans="4:7">
      <c r="D887" s="46"/>
      <c r="E887" s="46"/>
      <c r="F887" s="46"/>
      <c r="G887" s="46"/>
    </row>
    <row r="888" spans="4:7">
      <c r="D888" s="46"/>
      <c r="E888" s="46"/>
      <c r="F888" s="46"/>
      <c r="G888" s="46"/>
    </row>
    <row r="889" spans="4:7">
      <c r="D889" s="46"/>
      <c r="E889" s="46"/>
      <c r="F889" s="46"/>
      <c r="G889" s="46"/>
    </row>
    <row r="890" spans="4:7">
      <c r="D890" s="46"/>
      <c r="E890" s="46"/>
      <c r="F890" s="46"/>
      <c r="G890" s="46"/>
    </row>
    <row r="891" spans="4:7">
      <c r="D891" s="46"/>
      <c r="E891" s="46"/>
      <c r="F891" s="46"/>
      <c r="G891" s="46"/>
    </row>
    <row r="892" spans="4:7">
      <c r="D892" s="46"/>
      <c r="E892" s="46"/>
      <c r="F892" s="46"/>
      <c r="G892" s="46"/>
    </row>
    <row r="893" spans="4:7">
      <c r="D893" s="46"/>
      <c r="E893" s="46"/>
      <c r="F893" s="46"/>
      <c r="G893" s="46"/>
    </row>
    <row r="894" spans="4:7">
      <c r="D894" s="46"/>
      <c r="E894" s="46"/>
      <c r="F894" s="46"/>
      <c r="G894" s="46"/>
    </row>
    <row r="895" spans="4:7">
      <c r="D895" s="46"/>
      <c r="E895" s="46"/>
      <c r="F895" s="46"/>
      <c r="G895" s="46"/>
    </row>
    <row r="896" spans="4:7">
      <c r="D896" s="46"/>
      <c r="E896" s="46"/>
      <c r="F896" s="46"/>
      <c r="G896" s="46"/>
    </row>
    <row r="897" spans="4:7">
      <c r="D897" s="46"/>
      <c r="E897" s="46"/>
      <c r="F897" s="46"/>
      <c r="G897" s="46"/>
    </row>
    <row r="898" spans="4:7">
      <c r="D898" s="46"/>
      <c r="E898" s="46"/>
      <c r="F898" s="46"/>
      <c r="G898" s="46"/>
    </row>
    <row r="899" spans="4:7">
      <c r="D899" s="46"/>
      <c r="E899" s="46"/>
      <c r="F899" s="46"/>
      <c r="G899" s="46"/>
    </row>
    <row r="900" spans="4:7">
      <c r="D900" s="46"/>
      <c r="E900" s="46"/>
      <c r="F900" s="46"/>
      <c r="G900" s="46"/>
    </row>
    <row r="901" spans="4:7">
      <c r="D901" s="46"/>
      <c r="E901" s="46"/>
      <c r="F901" s="46"/>
      <c r="G901" s="46"/>
    </row>
    <row r="902" spans="4:7">
      <c r="D902" s="46"/>
      <c r="E902" s="46"/>
      <c r="F902" s="46"/>
      <c r="G902" s="46"/>
    </row>
    <row r="903" spans="4:7">
      <c r="D903" s="46"/>
      <c r="E903" s="46"/>
      <c r="F903" s="46"/>
      <c r="G903" s="46"/>
    </row>
    <row r="904" spans="4:7">
      <c r="D904" s="46"/>
      <c r="E904" s="46"/>
      <c r="F904" s="46"/>
      <c r="G904" s="46"/>
    </row>
    <row r="905" spans="4:7">
      <c r="D905" s="46"/>
      <c r="E905" s="46"/>
      <c r="F905" s="46"/>
      <c r="G905" s="46"/>
    </row>
    <row r="906" spans="4:7">
      <c r="D906" s="46"/>
      <c r="E906" s="46"/>
      <c r="F906" s="46"/>
      <c r="G906" s="46"/>
    </row>
    <row r="907" spans="4:7">
      <c r="D907" s="46"/>
      <c r="E907" s="46"/>
      <c r="F907" s="46"/>
      <c r="G907" s="46"/>
    </row>
    <row r="908" spans="4:7">
      <c r="D908" s="46"/>
      <c r="E908" s="46"/>
      <c r="F908" s="46"/>
      <c r="G908" s="46"/>
    </row>
    <row r="909" spans="4:7">
      <c r="D909" s="46"/>
      <c r="E909" s="46"/>
      <c r="F909" s="46"/>
      <c r="G909" s="46"/>
    </row>
    <row r="910" spans="4:7">
      <c r="D910" s="46"/>
      <c r="E910" s="46"/>
      <c r="F910" s="46"/>
      <c r="G910" s="46"/>
    </row>
    <row r="911" spans="4:7">
      <c r="D911" s="46"/>
      <c r="E911" s="46"/>
      <c r="F911" s="46"/>
      <c r="G911" s="46"/>
    </row>
    <row r="912" spans="4:7">
      <c r="D912" s="46"/>
      <c r="E912" s="46"/>
      <c r="F912" s="46"/>
      <c r="G912" s="46"/>
    </row>
    <row r="913" spans="4:7">
      <c r="D913" s="46"/>
      <c r="E913" s="46"/>
      <c r="F913" s="46"/>
      <c r="G913" s="46"/>
    </row>
    <row r="914" spans="4:7">
      <c r="D914" s="46"/>
      <c r="E914" s="46"/>
      <c r="F914" s="46"/>
      <c r="G914" s="46"/>
    </row>
    <row r="915" spans="4:7">
      <c r="D915" s="46"/>
      <c r="E915" s="46"/>
      <c r="F915" s="46"/>
      <c r="G915" s="46"/>
    </row>
    <row r="916" spans="4:7">
      <c r="D916" s="46"/>
      <c r="E916" s="46"/>
      <c r="F916" s="46"/>
      <c r="G916" s="46"/>
    </row>
    <row r="917" spans="4:7">
      <c r="D917" s="46"/>
      <c r="E917" s="46"/>
      <c r="F917" s="46"/>
      <c r="G917" s="46"/>
    </row>
    <row r="918" spans="4:7">
      <c r="D918" s="46"/>
      <c r="E918" s="46"/>
      <c r="F918" s="46"/>
      <c r="G918" s="46"/>
    </row>
    <row r="919" spans="4:7">
      <c r="D919" s="46"/>
      <c r="E919" s="46"/>
      <c r="F919" s="46"/>
      <c r="G919" s="46"/>
    </row>
    <row r="920" spans="4:7">
      <c r="D920" s="46"/>
      <c r="E920" s="46"/>
      <c r="F920" s="46"/>
      <c r="G920" s="46"/>
    </row>
    <row r="921" spans="4:7">
      <c r="D921" s="46"/>
      <c r="E921" s="46"/>
      <c r="F921" s="46"/>
      <c r="G921" s="46"/>
    </row>
    <row r="922" spans="4:7">
      <c r="D922" s="46"/>
      <c r="E922" s="46"/>
      <c r="F922" s="46"/>
      <c r="G922" s="46"/>
    </row>
    <row r="923" spans="4:7">
      <c r="D923" s="46"/>
      <c r="E923" s="46"/>
      <c r="F923" s="46"/>
      <c r="G923" s="46"/>
    </row>
    <row r="924" spans="4:7">
      <c r="D924" s="46"/>
      <c r="E924" s="46"/>
      <c r="F924" s="46"/>
      <c r="G924" s="46"/>
    </row>
    <row r="925" spans="4:7">
      <c r="D925" s="46"/>
      <c r="E925" s="46"/>
      <c r="F925" s="46"/>
      <c r="G925" s="46"/>
    </row>
    <row r="926" spans="4:7">
      <c r="D926" s="46"/>
      <c r="E926" s="46"/>
      <c r="F926" s="46"/>
      <c r="G926" s="46"/>
    </row>
    <row r="927" spans="4:7">
      <c r="D927" s="46"/>
      <c r="E927" s="46"/>
      <c r="F927" s="46"/>
      <c r="G927" s="46"/>
    </row>
    <row r="928" spans="4:7">
      <c r="D928" s="46"/>
      <c r="E928" s="46"/>
      <c r="F928" s="46"/>
      <c r="G928" s="46"/>
    </row>
    <row r="929" spans="4:7">
      <c r="D929" s="46"/>
      <c r="E929" s="46"/>
      <c r="F929" s="46"/>
      <c r="G929" s="46"/>
    </row>
    <row r="930" spans="4:7">
      <c r="D930" s="46"/>
      <c r="E930" s="46"/>
      <c r="F930" s="46"/>
      <c r="G930" s="46"/>
    </row>
    <row r="931" spans="4:7">
      <c r="D931" s="46"/>
      <c r="E931" s="46"/>
      <c r="F931" s="46"/>
      <c r="G931" s="46"/>
    </row>
    <row r="932" spans="4:7">
      <c r="D932" s="46"/>
      <c r="E932" s="46"/>
      <c r="F932" s="46"/>
      <c r="G932" s="46"/>
    </row>
    <row r="933" spans="4:7">
      <c r="D933" s="46"/>
      <c r="E933" s="46"/>
      <c r="F933" s="46"/>
      <c r="G933" s="46"/>
    </row>
    <row r="934" spans="4:7">
      <c r="D934" s="46"/>
      <c r="E934" s="46"/>
      <c r="F934" s="46"/>
      <c r="G934" s="46"/>
    </row>
    <row r="935" spans="4:7">
      <c r="D935" s="46"/>
      <c r="E935" s="46"/>
      <c r="F935" s="46"/>
      <c r="G935" s="46"/>
    </row>
    <row r="936" spans="4:7">
      <c r="D936" s="46"/>
      <c r="E936" s="46"/>
      <c r="F936" s="46"/>
      <c r="G936" s="46"/>
    </row>
    <row r="937" spans="4:7">
      <c r="D937" s="46"/>
      <c r="E937" s="46"/>
      <c r="F937" s="46"/>
      <c r="G937" s="46"/>
    </row>
    <row r="938" spans="4:7">
      <c r="D938" s="46"/>
      <c r="E938" s="46"/>
      <c r="F938" s="46"/>
      <c r="G938" s="46"/>
    </row>
    <row r="939" spans="4:7">
      <c r="D939" s="46"/>
      <c r="E939" s="46"/>
      <c r="F939" s="46"/>
      <c r="G939" s="46"/>
    </row>
    <row r="940" spans="4:7">
      <c r="D940" s="46"/>
      <c r="E940" s="46"/>
      <c r="F940" s="46"/>
      <c r="G940" s="46"/>
    </row>
    <row r="941" spans="4:7">
      <c r="D941" s="46"/>
      <c r="E941" s="46"/>
      <c r="F941" s="46"/>
      <c r="G941" s="46"/>
    </row>
    <row r="942" spans="4:7">
      <c r="D942" s="46"/>
      <c r="E942" s="46"/>
      <c r="F942" s="46"/>
      <c r="G942" s="46"/>
    </row>
    <row r="943" spans="4:7">
      <c r="D943" s="46"/>
      <c r="E943" s="46"/>
      <c r="F943" s="46"/>
      <c r="G943" s="46"/>
    </row>
    <row r="944" spans="4:7">
      <c r="D944" s="46"/>
      <c r="E944" s="46"/>
      <c r="F944" s="46"/>
      <c r="G944" s="46"/>
    </row>
    <row r="945" spans="4:7">
      <c r="D945" s="46"/>
      <c r="E945" s="46"/>
      <c r="F945" s="46"/>
      <c r="G945" s="46"/>
    </row>
    <row r="946" spans="4:7">
      <c r="D946" s="46"/>
      <c r="E946" s="46"/>
      <c r="F946" s="46"/>
      <c r="G946" s="46"/>
    </row>
    <row r="947" spans="4:7">
      <c r="D947" s="46"/>
      <c r="E947" s="46"/>
      <c r="F947" s="46"/>
      <c r="G947" s="46"/>
    </row>
    <row r="948" spans="4:7">
      <c r="D948" s="46"/>
      <c r="E948" s="46"/>
      <c r="F948" s="46"/>
      <c r="G948" s="46"/>
    </row>
    <row r="949" spans="4:7">
      <c r="D949" s="46"/>
      <c r="E949" s="46"/>
      <c r="F949" s="46"/>
      <c r="G949" s="46"/>
    </row>
    <row r="950" spans="4:7">
      <c r="D950" s="46"/>
      <c r="E950" s="46"/>
      <c r="F950" s="46"/>
      <c r="G950" s="46"/>
    </row>
    <row r="951" spans="4:7">
      <c r="D951" s="46"/>
      <c r="E951" s="46"/>
      <c r="F951" s="46"/>
      <c r="G951" s="46"/>
    </row>
    <row r="952" spans="4:7">
      <c r="D952" s="46"/>
      <c r="E952" s="46"/>
      <c r="F952" s="46"/>
      <c r="G952" s="46"/>
    </row>
    <row r="953" spans="4:7">
      <c r="D953" s="46"/>
      <c r="E953" s="46"/>
      <c r="F953" s="46"/>
      <c r="G953" s="46"/>
    </row>
    <row r="954" spans="4:7">
      <c r="D954" s="46"/>
      <c r="E954" s="46"/>
      <c r="F954" s="46"/>
      <c r="G954" s="46"/>
    </row>
    <row r="955" spans="4:7">
      <c r="D955" s="46"/>
      <c r="E955" s="46"/>
      <c r="F955" s="46"/>
      <c r="G955" s="46"/>
    </row>
    <row r="956" spans="4:7">
      <c r="D956" s="46"/>
      <c r="E956" s="46"/>
      <c r="F956" s="46"/>
      <c r="G956" s="46"/>
    </row>
    <row r="957" spans="4:7">
      <c r="D957" s="46"/>
      <c r="E957" s="46"/>
      <c r="F957" s="46"/>
      <c r="G957" s="46"/>
    </row>
    <row r="958" spans="4:7">
      <c r="D958" s="46"/>
      <c r="E958" s="46"/>
      <c r="F958" s="46"/>
      <c r="G958" s="46"/>
    </row>
    <row r="959" spans="4:7">
      <c r="D959" s="46"/>
      <c r="E959" s="46"/>
      <c r="F959" s="46"/>
      <c r="G959" s="46"/>
    </row>
    <row r="960" spans="4:7">
      <c r="D960" s="46"/>
      <c r="E960" s="46"/>
      <c r="F960" s="46"/>
      <c r="G960" s="46"/>
    </row>
    <row r="961" spans="4:7">
      <c r="D961" s="46"/>
      <c r="E961" s="46"/>
      <c r="F961" s="46"/>
      <c r="G961" s="46"/>
    </row>
    <row r="962" spans="4:7">
      <c r="D962" s="46"/>
      <c r="E962" s="46"/>
      <c r="F962" s="46"/>
      <c r="G962" s="46"/>
    </row>
    <row r="963" spans="4:7">
      <c r="D963" s="46"/>
      <c r="E963" s="46"/>
      <c r="F963" s="46"/>
      <c r="G963" s="46"/>
    </row>
    <row r="964" spans="4:7">
      <c r="D964" s="46"/>
      <c r="E964" s="46"/>
      <c r="F964" s="46"/>
      <c r="G964" s="46"/>
    </row>
    <row r="965" spans="4:7">
      <c r="D965" s="46"/>
      <c r="E965" s="46"/>
      <c r="F965" s="46"/>
      <c r="G965" s="46"/>
    </row>
    <row r="966" spans="4:7">
      <c r="D966" s="46"/>
      <c r="E966" s="46"/>
      <c r="F966" s="46"/>
      <c r="G966" s="46"/>
    </row>
    <row r="967" spans="4:7">
      <c r="D967" s="46"/>
      <c r="E967" s="46"/>
      <c r="F967" s="46"/>
      <c r="G967" s="46"/>
    </row>
    <row r="968" spans="4:7">
      <c r="D968" s="46"/>
      <c r="E968" s="46"/>
      <c r="F968" s="46"/>
      <c r="G968" s="46"/>
    </row>
    <row r="969" spans="4:7">
      <c r="D969" s="46"/>
      <c r="E969" s="46"/>
      <c r="F969" s="46"/>
      <c r="G969" s="46"/>
    </row>
    <row r="970" spans="4:7">
      <c r="D970" s="46"/>
      <c r="E970" s="46"/>
      <c r="F970" s="46"/>
      <c r="G970" s="46"/>
    </row>
    <row r="971" spans="4:7">
      <c r="D971" s="46"/>
      <c r="E971" s="46"/>
      <c r="F971" s="46"/>
      <c r="G971" s="46"/>
    </row>
    <row r="972" spans="4:7">
      <c r="D972" s="46"/>
      <c r="E972" s="46"/>
      <c r="F972" s="46"/>
      <c r="G972" s="46"/>
    </row>
    <row r="973" spans="4:7">
      <c r="D973" s="46"/>
      <c r="E973" s="46"/>
      <c r="F973" s="46"/>
      <c r="G973" s="46"/>
    </row>
    <row r="974" spans="4:7">
      <c r="D974" s="46"/>
      <c r="E974" s="46"/>
      <c r="F974" s="46"/>
      <c r="G974" s="46"/>
    </row>
    <row r="975" spans="4:7">
      <c r="D975" s="46"/>
      <c r="E975" s="46"/>
      <c r="F975" s="46"/>
      <c r="G975" s="46"/>
    </row>
    <row r="976" spans="4:7">
      <c r="D976" s="46"/>
      <c r="E976" s="46"/>
      <c r="F976" s="46"/>
      <c r="G976" s="46"/>
    </row>
    <row r="977" spans="4:7">
      <c r="D977" s="46"/>
      <c r="E977" s="46"/>
      <c r="F977" s="46"/>
      <c r="G977" s="46"/>
    </row>
    <row r="978" spans="4:7">
      <c r="D978" s="46"/>
      <c r="E978" s="46"/>
      <c r="F978" s="46"/>
      <c r="G978" s="46"/>
    </row>
    <row r="979" spans="4:7">
      <c r="D979" s="46"/>
      <c r="E979" s="46"/>
      <c r="F979" s="46"/>
      <c r="G979" s="46"/>
    </row>
    <row r="980" spans="4:7">
      <c r="D980" s="46"/>
      <c r="E980" s="46"/>
      <c r="F980" s="46"/>
      <c r="G980" s="46"/>
    </row>
    <row r="981" spans="4:7">
      <c r="D981" s="46"/>
      <c r="E981" s="46"/>
      <c r="F981" s="46"/>
      <c r="G981" s="46"/>
    </row>
    <row r="982" spans="4:7">
      <c r="D982" s="46"/>
      <c r="E982" s="46"/>
      <c r="F982" s="46"/>
      <c r="G982" s="46"/>
    </row>
    <row r="983" spans="4:7">
      <c r="D983" s="46"/>
      <c r="E983" s="46"/>
      <c r="F983" s="46"/>
      <c r="G983" s="46"/>
    </row>
    <row r="984" spans="4:7">
      <c r="D984" s="46"/>
      <c r="E984" s="46"/>
      <c r="F984" s="46"/>
      <c r="G984" s="46"/>
    </row>
    <row r="985" spans="4:7">
      <c r="D985" s="46"/>
      <c r="E985" s="46"/>
      <c r="F985" s="46"/>
      <c r="G985" s="46"/>
    </row>
    <row r="986" spans="4:7">
      <c r="D986" s="46"/>
      <c r="E986" s="46"/>
      <c r="F986" s="46"/>
      <c r="G986" s="46"/>
    </row>
    <row r="987" spans="4:7">
      <c r="D987" s="46"/>
      <c r="E987" s="46"/>
      <c r="F987" s="46"/>
      <c r="G987" s="46"/>
    </row>
    <row r="988" spans="4:7">
      <c r="D988" s="46"/>
      <c r="E988" s="46"/>
      <c r="F988" s="46"/>
      <c r="G988" s="46"/>
    </row>
    <row r="989" spans="4:7">
      <c r="D989" s="46"/>
      <c r="E989" s="46"/>
      <c r="F989" s="46"/>
      <c r="G989" s="46"/>
    </row>
    <row r="990" spans="4:7">
      <c r="D990" s="46"/>
      <c r="E990" s="46"/>
      <c r="F990" s="46"/>
      <c r="G990" s="46"/>
    </row>
    <row r="991" spans="4:7">
      <c r="D991" s="46"/>
      <c r="E991" s="46"/>
      <c r="F991" s="46"/>
      <c r="G991" s="46"/>
    </row>
    <row r="992" spans="4:7">
      <c r="D992" s="46"/>
      <c r="E992" s="46"/>
      <c r="F992" s="46"/>
      <c r="G992" s="46"/>
    </row>
    <row r="993" spans="4:7">
      <c r="D993" s="46"/>
      <c r="E993" s="46"/>
      <c r="F993" s="46"/>
      <c r="G993" s="46"/>
    </row>
    <row r="994" spans="4:7">
      <c r="D994" s="46"/>
      <c r="E994" s="46"/>
      <c r="F994" s="46"/>
      <c r="G994" s="46"/>
    </row>
    <row r="995" spans="4:7">
      <c r="D995" s="46"/>
      <c r="E995" s="46"/>
      <c r="F995" s="46"/>
      <c r="G995" s="46"/>
    </row>
    <row r="996" spans="4:7">
      <c r="D996" s="46"/>
      <c r="E996" s="46"/>
      <c r="F996" s="46"/>
      <c r="G996" s="46"/>
    </row>
    <row r="997" spans="4:7">
      <c r="D997" s="46"/>
      <c r="E997" s="46"/>
      <c r="F997" s="46"/>
      <c r="G997" s="46"/>
    </row>
    <row r="998" spans="4:7">
      <c r="D998" s="46"/>
      <c r="E998" s="46"/>
      <c r="F998" s="46"/>
      <c r="G998" s="46"/>
    </row>
    <row r="999" spans="4:7">
      <c r="D999" s="46"/>
      <c r="E999" s="46"/>
      <c r="F999" s="46"/>
      <c r="G999" s="46"/>
    </row>
    <row r="1000" spans="4:7">
      <c r="D1000" s="46"/>
      <c r="E1000" s="46"/>
      <c r="F1000" s="46"/>
      <c r="G1000" s="46"/>
    </row>
    <row r="1001" spans="4:7">
      <c r="D1001" s="46"/>
      <c r="E1001" s="46"/>
      <c r="F1001" s="46"/>
      <c r="G1001" s="46"/>
    </row>
    <row r="1002" spans="4:7">
      <c r="D1002" s="46"/>
      <c r="E1002" s="46"/>
      <c r="F1002" s="46"/>
      <c r="G1002" s="46"/>
    </row>
    <row r="1003" spans="4:7">
      <c r="D1003" s="46"/>
      <c r="E1003" s="46"/>
      <c r="F1003" s="46"/>
      <c r="G1003" s="46"/>
    </row>
    <row r="1004" spans="4:7">
      <c r="D1004" s="46"/>
      <c r="E1004" s="46"/>
      <c r="F1004" s="46"/>
      <c r="G1004" s="46"/>
    </row>
    <row r="1005" spans="4:7">
      <c r="D1005" s="46"/>
      <c r="E1005" s="46"/>
      <c r="F1005" s="46"/>
      <c r="G1005" s="46"/>
    </row>
    <row r="1006" spans="4:7">
      <c r="D1006" s="46"/>
      <c r="E1006" s="46"/>
      <c r="F1006" s="46"/>
      <c r="G1006" s="46"/>
    </row>
    <row r="1007" spans="4:7">
      <c r="D1007" s="46"/>
      <c r="E1007" s="46"/>
      <c r="F1007" s="46"/>
      <c r="G1007" s="46"/>
    </row>
    <row r="1008" spans="4:7">
      <c r="D1008" s="46"/>
      <c r="E1008" s="46"/>
      <c r="F1008" s="46"/>
      <c r="G1008" s="46"/>
    </row>
    <row r="1009" spans="4:7">
      <c r="D1009" s="46"/>
      <c r="E1009" s="46"/>
      <c r="F1009" s="46"/>
      <c r="G1009" s="46"/>
    </row>
    <row r="1010" spans="4:7">
      <c r="D1010" s="46"/>
      <c r="E1010" s="46"/>
      <c r="F1010" s="46"/>
      <c r="G1010" s="46"/>
    </row>
    <row r="1011" spans="4:7">
      <c r="D1011" s="46"/>
      <c r="E1011" s="46"/>
      <c r="F1011" s="46"/>
      <c r="G1011" s="46"/>
    </row>
    <row r="1012" spans="4:7">
      <c r="D1012" s="46"/>
      <c r="E1012" s="46"/>
      <c r="F1012" s="46"/>
      <c r="G1012" s="46"/>
    </row>
    <row r="1013" spans="4:7">
      <c r="D1013" s="46"/>
      <c r="E1013" s="46"/>
      <c r="F1013" s="46"/>
      <c r="G1013" s="46"/>
    </row>
    <row r="1014" spans="4:7">
      <c r="D1014" s="46"/>
      <c r="E1014" s="46"/>
      <c r="F1014" s="46"/>
      <c r="G1014" s="46"/>
    </row>
    <row r="1015" spans="4:7">
      <c r="D1015" s="46"/>
      <c r="E1015" s="46"/>
      <c r="F1015" s="46"/>
      <c r="G1015" s="46"/>
    </row>
    <row r="1016" spans="4:7">
      <c r="D1016" s="46"/>
      <c r="E1016" s="46"/>
      <c r="F1016" s="46"/>
      <c r="G1016" s="46"/>
    </row>
    <row r="1017" spans="4:7">
      <c r="D1017" s="46"/>
      <c r="E1017" s="46"/>
      <c r="F1017" s="46"/>
      <c r="G1017" s="46"/>
    </row>
    <row r="1018" spans="4:7">
      <c r="D1018" s="46"/>
      <c r="E1018" s="46"/>
      <c r="F1018" s="46"/>
      <c r="G1018" s="46"/>
    </row>
    <row r="1019" spans="4:7">
      <c r="D1019" s="46"/>
      <c r="E1019" s="46"/>
      <c r="F1019" s="46"/>
      <c r="G1019" s="46"/>
    </row>
    <row r="1020" spans="4:7">
      <c r="D1020" s="46"/>
      <c r="E1020" s="46"/>
      <c r="F1020" s="46"/>
      <c r="G1020" s="46"/>
    </row>
    <row r="1021" spans="4:7">
      <c r="D1021" s="46"/>
      <c r="E1021" s="46"/>
      <c r="F1021" s="46"/>
      <c r="G1021" s="46"/>
    </row>
    <row r="1022" spans="4:7">
      <c r="D1022" s="46"/>
      <c r="E1022" s="46"/>
      <c r="F1022" s="46"/>
      <c r="G1022" s="46"/>
    </row>
    <row r="1023" spans="4:7">
      <c r="D1023" s="46"/>
      <c r="E1023" s="46"/>
      <c r="F1023" s="46"/>
      <c r="G1023" s="46"/>
    </row>
    <row r="1024" spans="4:7">
      <c r="D1024" s="46"/>
      <c r="E1024" s="46"/>
      <c r="F1024" s="46"/>
      <c r="G1024" s="46"/>
    </row>
    <row r="1025" spans="4:7">
      <c r="D1025" s="46"/>
      <c r="E1025" s="46"/>
      <c r="F1025" s="46"/>
      <c r="G1025" s="46"/>
    </row>
    <row r="1026" spans="4:7">
      <c r="D1026" s="46"/>
      <c r="E1026" s="46"/>
      <c r="F1026" s="46"/>
      <c r="G1026" s="46"/>
    </row>
    <row r="1027" spans="4:7">
      <c r="D1027" s="46"/>
      <c r="E1027" s="46"/>
      <c r="F1027" s="46"/>
      <c r="G1027" s="46"/>
    </row>
    <row r="1028" spans="4:7">
      <c r="D1028" s="46"/>
      <c r="E1028" s="46"/>
      <c r="F1028" s="46"/>
      <c r="G1028" s="46"/>
    </row>
    <row r="1029" spans="4:7">
      <c r="D1029" s="46"/>
      <c r="E1029" s="46"/>
      <c r="F1029" s="46"/>
      <c r="G1029" s="46"/>
    </row>
    <row r="1030" spans="4:7">
      <c r="D1030" s="46"/>
      <c r="E1030" s="46"/>
      <c r="F1030" s="46"/>
      <c r="G1030" s="46"/>
    </row>
    <row r="1031" spans="4:7">
      <c r="D1031" s="46"/>
      <c r="E1031" s="46"/>
      <c r="F1031" s="46"/>
      <c r="G1031" s="46"/>
    </row>
    <row r="1032" spans="4:7">
      <c r="D1032" s="46"/>
      <c r="E1032" s="46"/>
      <c r="F1032" s="46"/>
      <c r="G1032" s="46"/>
    </row>
    <row r="1033" spans="4:7">
      <c r="D1033" s="46"/>
      <c r="E1033" s="46"/>
      <c r="F1033" s="46"/>
      <c r="G1033" s="46"/>
    </row>
    <row r="1034" spans="4:7">
      <c r="D1034" s="46"/>
      <c r="E1034" s="46"/>
      <c r="F1034" s="46"/>
      <c r="G1034" s="46"/>
    </row>
    <row r="1035" spans="4:7">
      <c r="D1035" s="46"/>
      <c r="E1035" s="46"/>
      <c r="F1035" s="46"/>
      <c r="G1035" s="46"/>
    </row>
    <row r="1036" spans="4:7">
      <c r="D1036" s="46"/>
      <c r="E1036" s="46"/>
      <c r="F1036" s="46"/>
      <c r="G1036" s="46"/>
    </row>
    <row r="1037" spans="4:7">
      <c r="D1037" s="46"/>
      <c r="E1037" s="46"/>
      <c r="F1037" s="46"/>
      <c r="G1037" s="46"/>
    </row>
    <row r="1038" spans="4:7">
      <c r="D1038" s="46"/>
      <c r="E1038" s="46"/>
      <c r="F1038" s="46"/>
      <c r="G1038" s="46"/>
    </row>
    <row r="1039" spans="4:7">
      <c r="D1039" s="46"/>
      <c r="E1039" s="46"/>
      <c r="F1039" s="46"/>
      <c r="G1039" s="46"/>
    </row>
    <row r="1040" spans="4:7">
      <c r="D1040" s="46"/>
      <c r="E1040" s="46"/>
      <c r="F1040" s="46"/>
      <c r="G1040" s="46"/>
    </row>
    <row r="1041" spans="4:7">
      <c r="D1041" s="46"/>
      <c r="E1041" s="46"/>
      <c r="F1041" s="46"/>
      <c r="G1041" s="46"/>
    </row>
    <row r="1042" spans="4:7">
      <c r="D1042" s="46"/>
      <c r="E1042" s="46"/>
      <c r="F1042" s="46"/>
      <c r="G1042" s="46"/>
    </row>
    <row r="1043" spans="4:7">
      <c r="D1043" s="46"/>
      <c r="E1043" s="46"/>
      <c r="F1043" s="46"/>
      <c r="G1043" s="46"/>
    </row>
    <row r="1044" spans="4:7">
      <c r="D1044" s="46"/>
      <c r="E1044" s="46"/>
      <c r="F1044" s="46"/>
      <c r="G1044" s="46"/>
    </row>
    <row r="1045" spans="4:7">
      <c r="D1045" s="46"/>
      <c r="E1045" s="46"/>
      <c r="F1045" s="46"/>
      <c r="G1045" s="46"/>
    </row>
    <row r="1046" spans="4:7">
      <c r="D1046" s="46"/>
      <c r="E1046" s="46"/>
      <c r="F1046" s="46"/>
      <c r="G1046" s="46"/>
    </row>
    <row r="1047" spans="4:7">
      <c r="D1047" s="46"/>
      <c r="E1047" s="46"/>
      <c r="F1047" s="46"/>
      <c r="G1047" s="46"/>
    </row>
    <row r="1048" spans="4:7">
      <c r="D1048" s="46"/>
      <c r="E1048" s="46"/>
      <c r="F1048" s="46"/>
      <c r="G1048" s="46"/>
    </row>
    <row r="1049" spans="4:7">
      <c r="D1049" s="46"/>
      <c r="E1049" s="46"/>
      <c r="F1049" s="46"/>
      <c r="G1049" s="46"/>
    </row>
    <row r="1050" spans="4:7">
      <c r="D1050" s="46"/>
      <c r="E1050" s="46"/>
      <c r="F1050" s="46"/>
      <c r="G1050" s="46"/>
    </row>
    <row r="1051" spans="4:7">
      <c r="D1051" s="46"/>
      <c r="E1051" s="46"/>
      <c r="F1051" s="46"/>
      <c r="G1051" s="46"/>
    </row>
    <row r="1052" spans="4:7">
      <c r="D1052" s="46"/>
      <c r="E1052" s="46"/>
      <c r="F1052" s="46"/>
      <c r="G1052" s="46"/>
    </row>
    <row r="1053" spans="4:7">
      <c r="D1053" s="46"/>
      <c r="E1053" s="46"/>
      <c r="F1053" s="46"/>
      <c r="G1053" s="46"/>
    </row>
    <row r="1054" spans="4:7">
      <c r="D1054" s="46"/>
      <c r="E1054" s="46"/>
      <c r="F1054" s="46"/>
      <c r="G1054" s="46"/>
    </row>
    <row r="1055" spans="4:7">
      <c r="D1055" s="46"/>
      <c r="E1055" s="46"/>
      <c r="F1055" s="46"/>
      <c r="G1055" s="46"/>
    </row>
    <row r="1056" spans="4:7">
      <c r="D1056" s="46"/>
      <c r="E1056" s="46"/>
      <c r="F1056" s="46"/>
      <c r="G1056" s="46"/>
    </row>
    <row r="1057" spans="4:7">
      <c r="D1057" s="46"/>
      <c r="E1057" s="46"/>
      <c r="F1057" s="46"/>
      <c r="G1057" s="46"/>
    </row>
    <row r="1058" spans="4:7">
      <c r="D1058" s="46"/>
      <c r="E1058" s="46"/>
      <c r="F1058" s="46"/>
      <c r="G1058" s="46"/>
    </row>
    <row r="1059" spans="4:7">
      <c r="D1059" s="46"/>
      <c r="E1059" s="46"/>
      <c r="F1059" s="46"/>
      <c r="G1059" s="46"/>
    </row>
    <row r="1060" spans="4:7">
      <c r="D1060" s="46"/>
      <c r="E1060" s="46"/>
      <c r="F1060" s="46"/>
      <c r="G1060" s="46"/>
    </row>
    <row r="1061" spans="4:7">
      <c r="D1061" s="46"/>
      <c r="E1061" s="46"/>
      <c r="F1061" s="46"/>
      <c r="G1061" s="46"/>
    </row>
    <row r="1062" spans="4:7">
      <c r="D1062" s="46"/>
      <c r="E1062" s="46"/>
      <c r="F1062" s="46"/>
      <c r="G1062" s="46"/>
    </row>
    <row r="1063" spans="4:7">
      <c r="D1063" s="46"/>
      <c r="E1063" s="46"/>
      <c r="F1063" s="46"/>
      <c r="G1063" s="46"/>
    </row>
    <row r="1064" spans="4:7">
      <c r="D1064" s="46"/>
      <c r="E1064" s="46"/>
      <c r="F1064" s="46"/>
      <c r="G1064" s="46"/>
    </row>
    <row r="1065" spans="4:7">
      <c r="D1065" s="46"/>
      <c r="E1065" s="46"/>
      <c r="F1065" s="46"/>
      <c r="G1065" s="46"/>
    </row>
    <row r="1066" spans="4:7">
      <c r="D1066" s="46"/>
      <c r="E1066" s="46"/>
      <c r="F1066" s="46"/>
      <c r="G1066" s="46"/>
    </row>
    <row r="1067" spans="4:7">
      <c r="D1067" s="46"/>
      <c r="E1067" s="46"/>
      <c r="F1067" s="46"/>
      <c r="G1067" s="46"/>
    </row>
    <row r="1068" spans="4:7">
      <c r="D1068" s="46"/>
      <c r="E1068" s="46"/>
      <c r="F1068" s="46"/>
      <c r="G1068" s="46"/>
    </row>
    <row r="1069" spans="4:7">
      <c r="D1069" s="46"/>
      <c r="E1069" s="46"/>
      <c r="F1069" s="46"/>
      <c r="G1069" s="46"/>
    </row>
    <row r="1070" spans="4:7">
      <c r="D1070" s="46"/>
      <c r="E1070" s="46"/>
      <c r="F1070" s="46"/>
      <c r="G1070" s="46"/>
    </row>
    <row r="1071" spans="4:7">
      <c r="D1071" s="46"/>
      <c r="E1071" s="46"/>
      <c r="F1071" s="46"/>
      <c r="G1071" s="46"/>
    </row>
    <row r="1072" spans="4:7">
      <c r="D1072" s="46"/>
      <c r="E1072" s="46"/>
      <c r="F1072" s="46"/>
      <c r="G1072" s="46"/>
    </row>
    <row r="1073" spans="4:7">
      <c r="D1073" s="46"/>
      <c r="E1073" s="46"/>
      <c r="F1073" s="46"/>
      <c r="G1073" s="46"/>
    </row>
    <row r="1074" spans="4:7">
      <c r="D1074" s="46"/>
      <c r="E1074" s="46"/>
      <c r="F1074" s="46"/>
      <c r="G1074" s="46"/>
    </row>
    <row r="1075" spans="4:7">
      <c r="D1075" s="46"/>
      <c r="E1075" s="46"/>
      <c r="F1075" s="46"/>
      <c r="G1075" s="46"/>
    </row>
    <row r="1076" spans="4:7">
      <c r="D1076" s="46"/>
      <c r="E1076" s="46"/>
      <c r="F1076" s="46"/>
      <c r="G1076" s="46"/>
    </row>
    <row r="1077" spans="4:7">
      <c r="D1077" s="46"/>
      <c r="E1077" s="46"/>
      <c r="F1077" s="46"/>
      <c r="G1077" s="46"/>
    </row>
    <row r="1078" spans="4:7">
      <c r="D1078" s="46"/>
      <c r="E1078" s="46"/>
      <c r="F1078" s="46"/>
      <c r="G1078" s="46"/>
    </row>
    <row r="1079" spans="4:7">
      <c r="D1079" s="46"/>
      <c r="E1079" s="46"/>
      <c r="F1079" s="46"/>
      <c r="G1079" s="46"/>
    </row>
    <row r="1080" spans="4:7">
      <c r="D1080" s="46"/>
      <c r="E1080" s="46"/>
      <c r="F1080" s="46"/>
      <c r="G1080" s="46"/>
    </row>
    <row r="1081" spans="4:7">
      <c r="D1081" s="46"/>
      <c r="E1081" s="46"/>
      <c r="F1081" s="46"/>
      <c r="G1081" s="46"/>
    </row>
    <row r="1082" spans="4:7">
      <c r="D1082" s="46"/>
      <c r="E1082" s="46"/>
      <c r="F1082" s="46"/>
      <c r="G1082" s="46"/>
    </row>
    <row r="1083" spans="4:7">
      <c r="D1083" s="46"/>
      <c r="E1083" s="46"/>
      <c r="F1083" s="46"/>
      <c r="G1083" s="46"/>
    </row>
    <row r="1084" spans="4:7">
      <c r="D1084" s="46"/>
      <c r="E1084" s="46"/>
      <c r="F1084" s="46"/>
      <c r="G1084" s="46"/>
    </row>
    <row r="1085" spans="4:7">
      <c r="D1085" s="46"/>
      <c r="E1085" s="46"/>
      <c r="F1085" s="46"/>
      <c r="G1085" s="46"/>
    </row>
    <row r="1086" spans="4:7">
      <c r="D1086" s="46"/>
      <c r="E1086" s="46"/>
      <c r="F1086" s="46"/>
      <c r="G1086" s="46"/>
    </row>
    <row r="1087" spans="4:7">
      <c r="D1087" s="46"/>
      <c r="E1087" s="46"/>
      <c r="F1087" s="46"/>
      <c r="G1087" s="46"/>
    </row>
    <row r="1088" spans="4:7">
      <c r="D1088" s="46"/>
      <c r="E1088" s="46"/>
      <c r="F1088" s="46"/>
      <c r="G1088" s="46"/>
    </row>
    <row r="1089" spans="4:7">
      <c r="D1089" s="46"/>
      <c r="E1089" s="46"/>
      <c r="F1089" s="46"/>
      <c r="G1089" s="46"/>
    </row>
    <row r="1090" spans="4:7">
      <c r="D1090" s="46"/>
      <c r="E1090" s="46"/>
      <c r="F1090" s="46"/>
      <c r="G1090" s="46"/>
    </row>
    <row r="1091" spans="4:7">
      <c r="D1091" s="46"/>
      <c r="E1091" s="46"/>
      <c r="F1091" s="46"/>
      <c r="G1091" s="46"/>
    </row>
    <row r="1092" spans="4:7">
      <c r="D1092" s="46"/>
      <c r="E1092" s="46"/>
      <c r="F1092" s="46"/>
      <c r="G1092" s="46"/>
    </row>
    <row r="1093" spans="4:7">
      <c r="D1093" s="46"/>
      <c r="E1093" s="46"/>
      <c r="F1093" s="46"/>
      <c r="G1093" s="46"/>
    </row>
    <row r="1094" spans="4:7">
      <c r="D1094" s="46"/>
      <c r="E1094" s="46"/>
      <c r="F1094" s="46"/>
      <c r="G1094" s="46"/>
    </row>
    <row r="1095" spans="4:7">
      <c r="D1095" s="46"/>
      <c r="E1095" s="46"/>
      <c r="F1095" s="46"/>
      <c r="G1095" s="46"/>
    </row>
    <row r="1096" spans="4:7">
      <c r="D1096" s="46"/>
      <c r="E1096" s="46"/>
      <c r="F1096" s="46"/>
      <c r="G1096" s="46"/>
    </row>
    <row r="1097" spans="4:7">
      <c r="D1097" s="46"/>
      <c r="E1097" s="46"/>
      <c r="F1097" s="46"/>
      <c r="G1097" s="46"/>
    </row>
    <row r="1098" spans="4:7">
      <c r="D1098" s="46"/>
      <c r="E1098" s="46"/>
      <c r="F1098" s="46"/>
      <c r="G1098" s="46"/>
    </row>
    <row r="1099" spans="4:7">
      <c r="D1099" s="46"/>
      <c r="E1099" s="46"/>
      <c r="F1099" s="46"/>
      <c r="G1099" s="46"/>
    </row>
    <row r="1100" spans="4:7">
      <c r="D1100" s="46"/>
      <c r="E1100" s="46"/>
      <c r="F1100" s="46"/>
      <c r="G1100" s="46"/>
    </row>
    <row r="1101" spans="4:7">
      <c r="D1101" s="46"/>
      <c r="E1101" s="46"/>
      <c r="F1101" s="46"/>
      <c r="G1101" s="46"/>
    </row>
    <row r="1102" spans="4:7">
      <c r="D1102" s="46"/>
      <c r="E1102" s="46"/>
      <c r="F1102" s="46"/>
      <c r="G1102" s="46"/>
    </row>
    <row r="1103" spans="4:7">
      <c r="D1103" s="46"/>
      <c r="E1103" s="46"/>
      <c r="F1103" s="46"/>
      <c r="G1103" s="46"/>
    </row>
    <row r="1104" spans="4:7">
      <c r="D1104" s="46"/>
      <c r="E1104" s="46"/>
      <c r="F1104" s="46"/>
      <c r="G1104" s="46"/>
    </row>
    <row r="1105" spans="4:7">
      <c r="D1105" s="46"/>
      <c r="E1105" s="46"/>
      <c r="F1105" s="46"/>
      <c r="G1105" s="46"/>
    </row>
    <row r="1106" spans="4:7">
      <c r="D1106" s="46"/>
      <c r="E1106" s="46"/>
      <c r="F1106" s="46"/>
      <c r="G1106" s="46"/>
    </row>
    <row r="1107" spans="4:7">
      <c r="D1107" s="46"/>
      <c r="E1107" s="46"/>
      <c r="F1107" s="46"/>
      <c r="G1107" s="46"/>
    </row>
    <row r="1108" spans="4:7">
      <c r="D1108" s="46"/>
      <c r="E1108" s="46"/>
      <c r="F1108" s="46"/>
      <c r="G1108" s="46"/>
    </row>
    <row r="1109" spans="4:7">
      <c r="D1109" s="46"/>
      <c r="E1109" s="46"/>
      <c r="F1109" s="46"/>
      <c r="G1109" s="46"/>
    </row>
    <row r="1110" spans="4:7">
      <c r="D1110" s="46"/>
      <c r="E1110" s="46"/>
      <c r="F1110" s="46"/>
      <c r="G1110" s="46"/>
    </row>
    <row r="1111" spans="4:7">
      <c r="D1111" s="46"/>
      <c r="E1111" s="46"/>
      <c r="F1111" s="46"/>
      <c r="G1111" s="46"/>
    </row>
    <row r="1112" spans="4:7">
      <c r="D1112" s="46"/>
      <c r="E1112" s="46"/>
      <c r="F1112" s="46"/>
      <c r="G1112" s="46"/>
    </row>
    <row r="1113" spans="4:7">
      <c r="D1113" s="46"/>
      <c r="E1113" s="46"/>
      <c r="F1113" s="46"/>
      <c r="G1113" s="46"/>
    </row>
    <row r="1114" spans="4:7">
      <c r="D1114" s="46"/>
      <c r="E1114" s="46"/>
      <c r="F1114" s="46"/>
      <c r="G1114" s="46"/>
    </row>
    <row r="1115" spans="4:7">
      <c r="D1115" s="46"/>
      <c r="E1115" s="46"/>
      <c r="F1115" s="46"/>
      <c r="G1115" s="46"/>
    </row>
    <row r="1116" spans="4:7">
      <c r="D1116" s="46"/>
      <c r="E1116" s="46"/>
      <c r="F1116" s="46"/>
      <c r="G1116" s="46"/>
    </row>
    <row r="1117" spans="4:7">
      <c r="D1117" s="46"/>
      <c r="E1117" s="46"/>
      <c r="F1117" s="46"/>
      <c r="G1117" s="46"/>
    </row>
    <row r="1118" spans="4:7">
      <c r="D1118" s="46"/>
      <c r="E1118" s="46"/>
      <c r="F1118" s="46"/>
      <c r="G1118" s="46"/>
    </row>
    <row r="1119" spans="4:7">
      <c r="D1119" s="46"/>
      <c r="E1119" s="46"/>
      <c r="F1119" s="46"/>
      <c r="G1119" s="46"/>
    </row>
    <row r="1120" spans="4:7">
      <c r="D1120" s="46"/>
      <c r="E1120" s="46"/>
      <c r="F1120" s="46"/>
      <c r="G1120" s="46"/>
    </row>
    <row r="1121" spans="4:7">
      <c r="D1121" s="46"/>
      <c r="E1121" s="46"/>
      <c r="F1121" s="46"/>
      <c r="G1121" s="46"/>
    </row>
    <row r="1122" spans="4:7">
      <c r="D1122" s="46"/>
      <c r="E1122" s="46"/>
      <c r="F1122" s="46"/>
      <c r="G1122" s="46"/>
    </row>
    <row r="1123" spans="4:7">
      <c r="D1123" s="46"/>
      <c r="E1123" s="46"/>
      <c r="F1123" s="46"/>
      <c r="G1123" s="46"/>
    </row>
    <row r="1124" spans="4:7">
      <c r="D1124" s="46"/>
      <c r="E1124" s="46"/>
      <c r="F1124" s="46"/>
      <c r="G1124" s="46"/>
    </row>
    <row r="1125" spans="4:7">
      <c r="D1125" s="46"/>
      <c r="E1125" s="46"/>
      <c r="F1125" s="46"/>
      <c r="G1125" s="46"/>
    </row>
    <row r="1126" spans="4:7">
      <c r="D1126" s="46"/>
      <c r="E1126" s="46"/>
      <c r="F1126" s="46"/>
      <c r="G1126" s="46"/>
    </row>
    <row r="1127" spans="4:7">
      <c r="D1127" s="46"/>
      <c r="E1127" s="46"/>
      <c r="F1127" s="46"/>
      <c r="G1127" s="46"/>
    </row>
    <row r="1128" spans="4:7">
      <c r="D1128" s="46"/>
      <c r="E1128" s="46"/>
      <c r="F1128" s="46"/>
      <c r="G1128" s="46"/>
    </row>
    <row r="1129" spans="4:7">
      <c r="D1129" s="46"/>
      <c r="E1129" s="46"/>
      <c r="F1129" s="46"/>
      <c r="G1129" s="46"/>
    </row>
    <row r="1130" spans="4:7">
      <c r="D1130" s="46"/>
      <c r="E1130" s="46"/>
      <c r="F1130" s="46"/>
      <c r="G1130" s="46"/>
    </row>
    <row r="1131" spans="4:7">
      <c r="D1131" s="46"/>
      <c r="E1131" s="46"/>
      <c r="F1131" s="46"/>
      <c r="G1131" s="46"/>
    </row>
    <row r="1132" spans="4:7">
      <c r="D1132" s="46"/>
      <c r="E1132" s="46"/>
      <c r="F1132" s="46"/>
      <c r="G1132" s="46"/>
    </row>
    <row r="1133" spans="4:7">
      <c r="D1133" s="46"/>
      <c r="E1133" s="46"/>
      <c r="F1133" s="46"/>
      <c r="G1133" s="46"/>
    </row>
    <row r="1134" spans="4:7">
      <c r="D1134" s="46"/>
      <c r="E1134" s="46"/>
      <c r="F1134" s="46"/>
      <c r="G1134" s="46"/>
    </row>
    <row r="1135" spans="4:7">
      <c r="D1135" s="46"/>
      <c r="E1135" s="46"/>
      <c r="F1135" s="46"/>
      <c r="G1135" s="46"/>
    </row>
    <row r="1136" spans="4:7">
      <c r="D1136" s="46"/>
      <c r="E1136" s="46"/>
      <c r="F1136" s="46"/>
      <c r="G1136" s="46"/>
    </row>
    <row r="1137" spans="4:7">
      <c r="D1137" s="46"/>
      <c r="E1137" s="46"/>
      <c r="F1137" s="46"/>
      <c r="G1137" s="46"/>
    </row>
    <row r="1138" spans="4:7">
      <c r="D1138" s="46"/>
      <c r="E1138" s="46"/>
      <c r="F1138" s="46"/>
      <c r="G1138" s="46"/>
    </row>
    <row r="1139" spans="4:7">
      <c r="D1139" s="46"/>
      <c r="E1139" s="46"/>
      <c r="F1139" s="46"/>
      <c r="G1139" s="46"/>
    </row>
    <row r="1140" spans="4:7">
      <c r="D1140" s="46"/>
      <c r="E1140" s="46"/>
      <c r="F1140" s="46"/>
      <c r="G1140" s="46"/>
    </row>
    <row r="1141" spans="4:7">
      <c r="D1141" s="46"/>
      <c r="E1141" s="46"/>
      <c r="F1141" s="46"/>
      <c r="G1141" s="46"/>
    </row>
    <row r="1142" spans="4:7">
      <c r="D1142" s="46"/>
      <c r="E1142" s="46"/>
      <c r="F1142" s="46"/>
      <c r="G1142" s="46"/>
    </row>
    <row r="1143" spans="4:7">
      <c r="D1143" s="46"/>
      <c r="E1143" s="46"/>
      <c r="F1143" s="46"/>
      <c r="G1143" s="46"/>
    </row>
    <row r="1144" spans="4:7">
      <c r="D1144" s="46"/>
      <c r="E1144" s="46"/>
      <c r="F1144" s="46"/>
      <c r="G1144" s="46"/>
    </row>
    <row r="1145" spans="4:7">
      <c r="D1145" s="46"/>
      <c r="E1145" s="46"/>
      <c r="F1145" s="46"/>
      <c r="G1145" s="46"/>
    </row>
    <row r="1146" spans="4:7">
      <c r="D1146" s="46"/>
      <c r="E1146" s="46"/>
      <c r="F1146" s="46"/>
      <c r="G1146" s="46"/>
    </row>
    <row r="1147" spans="4:7">
      <c r="D1147" s="46"/>
      <c r="E1147" s="46"/>
      <c r="F1147" s="46"/>
      <c r="G1147" s="46"/>
    </row>
    <row r="1148" spans="4:7">
      <c r="D1148" s="46"/>
      <c r="E1148" s="46"/>
      <c r="F1148" s="46"/>
      <c r="G1148" s="46"/>
    </row>
    <row r="1149" spans="4:7">
      <c r="D1149" s="46"/>
      <c r="E1149" s="46"/>
      <c r="F1149" s="46"/>
      <c r="G1149" s="46"/>
    </row>
    <row r="1150" spans="4:7">
      <c r="D1150" s="46"/>
      <c r="E1150" s="46"/>
      <c r="F1150" s="46"/>
      <c r="G1150" s="46"/>
    </row>
    <row r="1151" spans="4:7">
      <c r="D1151" s="46"/>
      <c r="E1151" s="46"/>
      <c r="F1151" s="46"/>
      <c r="G1151" s="46"/>
    </row>
    <row r="1152" spans="4:7">
      <c r="D1152" s="46"/>
      <c r="E1152" s="46"/>
      <c r="F1152" s="46"/>
      <c r="G1152" s="46"/>
    </row>
    <row r="1153" spans="4:7">
      <c r="D1153" s="46"/>
      <c r="E1153" s="46"/>
      <c r="F1153" s="46"/>
      <c r="G1153" s="46"/>
    </row>
    <row r="1154" spans="4:7">
      <c r="D1154" s="46"/>
      <c r="E1154" s="46"/>
      <c r="F1154" s="46"/>
      <c r="G1154" s="46"/>
    </row>
    <row r="1155" spans="4:7">
      <c r="D1155" s="46"/>
      <c r="E1155" s="46"/>
      <c r="F1155" s="46"/>
      <c r="G1155" s="46"/>
    </row>
    <row r="1156" spans="4:7">
      <c r="D1156" s="46"/>
      <c r="E1156" s="46"/>
      <c r="F1156" s="46"/>
      <c r="G1156" s="46"/>
    </row>
    <row r="1157" spans="4:7">
      <c r="D1157" s="46"/>
      <c r="E1157" s="46"/>
      <c r="F1157" s="46"/>
      <c r="G1157" s="46"/>
    </row>
    <row r="1158" spans="4:7">
      <c r="D1158" s="46"/>
      <c r="E1158" s="46"/>
      <c r="F1158" s="46"/>
      <c r="G1158" s="46"/>
    </row>
    <row r="1159" spans="4:7">
      <c r="D1159" s="46"/>
      <c r="E1159" s="46"/>
      <c r="F1159" s="46"/>
      <c r="G1159" s="46"/>
    </row>
    <row r="1160" spans="4:7">
      <c r="D1160" s="46"/>
      <c r="E1160" s="46"/>
      <c r="F1160" s="46"/>
      <c r="G1160" s="46"/>
    </row>
    <row r="1161" spans="4:7">
      <c r="D1161" s="46"/>
      <c r="E1161" s="46"/>
      <c r="F1161" s="46"/>
      <c r="G1161" s="46"/>
    </row>
    <row r="1162" spans="4:7">
      <c r="D1162" s="46"/>
      <c r="E1162" s="46"/>
      <c r="F1162" s="46"/>
      <c r="G1162" s="46"/>
    </row>
    <row r="1163" spans="4:7">
      <c r="D1163" s="46"/>
      <c r="E1163" s="46"/>
      <c r="F1163" s="46"/>
      <c r="G1163" s="46"/>
    </row>
    <row r="1164" spans="4:7">
      <c r="D1164" s="46"/>
      <c r="E1164" s="46"/>
      <c r="F1164" s="46"/>
      <c r="G1164" s="46"/>
    </row>
    <row r="1165" spans="4:7">
      <c r="D1165" s="46"/>
      <c r="E1165" s="46"/>
      <c r="F1165" s="46"/>
      <c r="G1165" s="46"/>
    </row>
    <row r="1166" spans="4:7">
      <c r="D1166" s="46"/>
      <c r="E1166" s="46"/>
      <c r="F1166" s="46"/>
      <c r="G1166" s="46"/>
    </row>
    <row r="1167" spans="4:7">
      <c r="D1167" s="46"/>
      <c r="E1167" s="46"/>
      <c r="F1167" s="46"/>
      <c r="G1167" s="46"/>
    </row>
    <row r="1168" spans="4:7">
      <c r="D1168" s="46"/>
      <c r="E1168" s="46"/>
      <c r="F1168" s="46"/>
      <c r="G1168" s="46"/>
    </row>
    <row r="1169" spans="4:7">
      <c r="D1169" s="46"/>
      <c r="E1169" s="46"/>
      <c r="F1169" s="46"/>
      <c r="G1169" s="46"/>
    </row>
    <row r="1170" spans="4:7">
      <c r="D1170" s="46"/>
      <c r="E1170" s="46"/>
      <c r="F1170" s="46"/>
      <c r="G1170" s="46"/>
    </row>
    <row r="1171" spans="4:7">
      <c r="D1171" s="46"/>
      <c r="E1171" s="46"/>
      <c r="F1171" s="46"/>
      <c r="G1171" s="46"/>
    </row>
    <row r="1172" spans="4:7">
      <c r="D1172" s="46"/>
      <c r="E1172" s="46"/>
      <c r="F1172" s="46"/>
      <c r="G1172" s="46"/>
    </row>
    <row r="1173" spans="4:7">
      <c r="D1173" s="46"/>
      <c r="E1173" s="46"/>
      <c r="F1173" s="46"/>
      <c r="G1173" s="46"/>
    </row>
    <row r="1174" spans="4:7">
      <c r="D1174" s="46"/>
      <c r="E1174" s="46"/>
      <c r="F1174" s="46"/>
      <c r="G1174" s="46"/>
    </row>
    <row r="1175" spans="4:7">
      <c r="D1175" s="46"/>
      <c r="E1175" s="46"/>
      <c r="F1175" s="46"/>
      <c r="G1175" s="46"/>
    </row>
    <row r="1176" spans="4:7">
      <c r="D1176" s="46"/>
      <c r="E1176" s="46"/>
      <c r="F1176" s="46"/>
      <c r="G1176" s="46"/>
    </row>
    <row r="1177" spans="4:7">
      <c r="D1177" s="46"/>
      <c r="E1177" s="46"/>
      <c r="F1177" s="46"/>
      <c r="G1177" s="46"/>
    </row>
    <row r="1178" spans="4:7">
      <c r="D1178" s="46"/>
      <c r="E1178" s="46"/>
      <c r="F1178" s="46"/>
      <c r="G1178" s="46"/>
    </row>
    <row r="1179" spans="4:7">
      <c r="D1179" s="46"/>
      <c r="E1179" s="46"/>
      <c r="F1179" s="46"/>
      <c r="G1179" s="46"/>
    </row>
    <row r="1180" spans="4:7">
      <c r="D1180" s="46"/>
      <c r="E1180" s="46"/>
      <c r="F1180" s="46"/>
      <c r="G1180" s="46"/>
    </row>
    <row r="1181" spans="4:7">
      <c r="D1181" s="46"/>
      <c r="E1181" s="46"/>
      <c r="F1181" s="46"/>
      <c r="G1181" s="46"/>
    </row>
    <row r="1182" spans="4:7">
      <c r="D1182" s="46"/>
      <c r="E1182" s="46"/>
      <c r="F1182" s="46"/>
      <c r="G1182" s="46"/>
    </row>
    <row r="1183" spans="4:7">
      <c r="D1183" s="46"/>
      <c r="E1183" s="46"/>
      <c r="F1183" s="46"/>
      <c r="G1183" s="46"/>
    </row>
    <row r="1184" spans="4:7">
      <c r="D1184" s="46"/>
      <c r="E1184" s="46"/>
      <c r="F1184" s="46"/>
      <c r="G1184" s="46"/>
    </row>
    <row r="1185" spans="4:7">
      <c r="D1185" s="46"/>
      <c r="E1185" s="46"/>
      <c r="F1185" s="46"/>
      <c r="G1185" s="46"/>
    </row>
    <row r="1186" spans="4:7">
      <c r="D1186" s="46"/>
      <c r="E1186" s="46"/>
      <c r="F1186" s="46"/>
      <c r="G1186" s="46"/>
    </row>
    <row r="1187" spans="4:7">
      <c r="D1187" s="46"/>
      <c r="E1187" s="46"/>
      <c r="F1187" s="46"/>
      <c r="G1187" s="46"/>
    </row>
    <row r="1188" spans="4:7">
      <c r="D1188" s="46"/>
      <c r="E1188" s="46"/>
      <c r="F1188" s="46"/>
      <c r="G1188" s="46"/>
    </row>
    <row r="1189" spans="4:7">
      <c r="D1189" s="46"/>
      <c r="E1189" s="46"/>
      <c r="F1189" s="46"/>
      <c r="G1189" s="46"/>
    </row>
    <row r="1190" spans="4:7">
      <c r="D1190" s="46"/>
      <c r="E1190" s="46"/>
      <c r="F1190" s="46"/>
      <c r="G1190" s="46"/>
    </row>
    <row r="1191" spans="4:7">
      <c r="D1191" s="46"/>
      <c r="E1191" s="46"/>
      <c r="F1191" s="46"/>
      <c r="G1191" s="46"/>
    </row>
    <row r="1192" spans="4:7">
      <c r="D1192" s="46"/>
      <c r="E1192" s="46"/>
      <c r="F1192" s="46"/>
      <c r="G1192" s="46"/>
    </row>
    <row r="1193" spans="4:7">
      <c r="D1193" s="46"/>
      <c r="E1193" s="46"/>
      <c r="F1193" s="46"/>
      <c r="G1193" s="46"/>
    </row>
    <row r="1194" spans="4:7">
      <c r="D1194" s="46"/>
      <c r="E1194" s="46"/>
      <c r="F1194" s="46"/>
      <c r="G1194" s="46"/>
    </row>
    <row r="1195" spans="4:7">
      <c r="D1195" s="46"/>
      <c r="E1195" s="46"/>
      <c r="F1195" s="46"/>
      <c r="G1195" s="46"/>
    </row>
    <row r="1196" spans="4:7">
      <c r="D1196" s="46"/>
      <c r="E1196" s="46"/>
      <c r="F1196" s="46"/>
      <c r="G1196" s="46"/>
    </row>
    <row r="1197" spans="4:7">
      <c r="D1197" s="46"/>
      <c r="E1197" s="46"/>
      <c r="F1197" s="46"/>
      <c r="G1197" s="46"/>
    </row>
    <row r="1198" spans="4:7">
      <c r="D1198" s="46"/>
      <c r="E1198" s="46"/>
      <c r="F1198" s="46"/>
      <c r="G1198" s="46"/>
    </row>
    <row r="1199" spans="4:7">
      <c r="D1199" s="46"/>
      <c r="E1199" s="46"/>
      <c r="F1199" s="46"/>
      <c r="G1199" s="46"/>
    </row>
    <row r="1200" spans="4:7">
      <c r="D1200" s="46"/>
      <c r="E1200" s="46"/>
      <c r="F1200" s="46"/>
      <c r="G1200" s="46"/>
    </row>
    <row r="1201" spans="4:7">
      <c r="D1201" s="46"/>
      <c r="E1201" s="46"/>
      <c r="F1201" s="46"/>
      <c r="G1201" s="46"/>
    </row>
    <row r="1202" spans="4:7">
      <c r="D1202" s="46"/>
      <c r="E1202" s="46"/>
      <c r="F1202" s="46"/>
      <c r="G1202" s="46"/>
    </row>
    <row r="1203" spans="4:7">
      <c r="D1203" s="46"/>
      <c r="E1203" s="46"/>
      <c r="F1203" s="46"/>
      <c r="G1203" s="46"/>
    </row>
    <row r="1204" spans="4:7">
      <c r="D1204" s="46"/>
      <c r="E1204" s="46"/>
      <c r="F1204" s="46"/>
      <c r="G1204" s="46"/>
    </row>
    <row r="1205" spans="4:7">
      <c r="D1205" s="46"/>
      <c r="E1205" s="46"/>
      <c r="F1205" s="46"/>
      <c r="G1205" s="46"/>
    </row>
    <row r="1206" spans="4:7">
      <c r="D1206" s="46"/>
      <c r="E1206" s="46"/>
      <c r="F1206" s="46"/>
      <c r="G1206" s="46"/>
    </row>
    <row r="1207" spans="4:7">
      <c r="D1207" s="46"/>
      <c r="E1207" s="46"/>
      <c r="F1207" s="46"/>
      <c r="G1207" s="46"/>
    </row>
    <row r="1208" spans="4:7">
      <c r="D1208" s="46"/>
      <c r="E1208" s="46"/>
      <c r="F1208" s="46"/>
      <c r="G1208" s="46"/>
    </row>
    <row r="1209" spans="4:7">
      <c r="D1209" s="46"/>
      <c r="E1209" s="46"/>
      <c r="F1209" s="46"/>
      <c r="G1209" s="46"/>
    </row>
    <row r="1210" spans="4:7">
      <c r="D1210" s="46"/>
      <c r="E1210" s="46"/>
      <c r="F1210" s="46"/>
      <c r="G1210" s="46"/>
    </row>
    <row r="1211" spans="4:7">
      <c r="D1211" s="46"/>
      <c r="E1211" s="46"/>
      <c r="F1211" s="46"/>
      <c r="G1211" s="46"/>
    </row>
    <row r="1212" spans="4:7">
      <c r="D1212" s="46"/>
      <c r="E1212" s="46"/>
      <c r="F1212" s="46"/>
      <c r="G1212" s="46"/>
    </row>
    <row r="1213" spans="4:7">
      <c r="D1213" s="46"/>
      <c r="E1213" s="46"/>
      <c r="F1213" s="46"/>
      <c r="G1213" s="46"/>
    </row>
    <row r="1214" spans="4:7">
      <c r="D1214" s="46"/>
      <c r="E1214" s="46"/>
      <c r="F1214" s="46"/>
      <c r="G1214" s="46"/>
    </row>
    <row r="1215" spans="4:7">
      <c r="D1215" s="46"/>
      <c r="E1215" s="46"/>
      <c r="F1215" s="46"/>
      <c r="G1215" s="46"/>
    </row>
    <row r="1216" spans="4:7">
      <c r="D1216" s="46"/>
      <c r="E1216" s="46"/>
      <c r="F1216" s="46"/>
      <c r="G1216" s="46"/>
    </row>
    <row r="1217" spans="4:7">
      <c r="D1217" s="46"/>
      <c r="E1217" s="46"/>
      <c r="F1217" s="46"/>
      <c r="G1217" s="46"/>
    </row>
    <row r="1218" spans="4:7">
      <c r="D1218" s="46"/>
      <c r="E1218" s="46"/>
      <c r="F1218" s="46"/>
      <c r="G1218" s="46"/>
    </row>
    <row r="1219" spans="4:7">
      <c r="D1219" s="46"/>
      <c r="E1219" s="46"/>
      <c r="F1219" s="46"/>
      <c r="G1219" s="46"/>
    </row>
    <row r="1220" spans="4:7">
      <c r="D1220" s="46"/>
      <c r="E1220" s="46"/>
      <c r="F1220" s="46"/>
      <c r="G1220" s="46"/>
    </row>
    <row r="1221" spans="4:7">
      <c r="D1221" s="46"/>
      <c r="E1221" s="46"/>
      <c r="F1221" s="46"/>
      <c r="G1221" s="46"/>
    </row>
    <row r="1222" spans="4:7">
      <c r="D1222" s="46"/>
      <c r="E1222" s="46"/>
      <c r="F1222" s="46"/>
      <c r="G1222" s="46"/>
    </row>
    <row r="1223" spans="4:7">
      <c r="D1223" s="46"/>
      <c r="E1223" s="46"/>
      <c r="F1223" s="46"/>
      <c r="G1223" s="46"/>
    </row>
    <row r="1224" spans="4:7">
      <c r="D1224" s="46"/>
      <c r="E1224" s="46"/>
      <c r="F1224" s="46"/>
      <c r="G1224" s="46"/>
    </row>
    <row r="1225" spans="4:7">
      <c r="D1225" s="46"/>
      <c r="E1225" s="46"/>
      <c r="F1225" s="46"/>
      <c r="G1225" s="46"/>
    </row>
    <row r="1226" spans="4:7">
      <c r="D1226" s="46"/>
      <c r="E1226" s="46"/>
      <c r="F1226" s="46"/>
      <c r="G1226" s="46"/>
    </row>
    <row r="1227" spans="4:7">
      <c r="D1227" s="46"/>
      <c r="E1227" s="46"/>
      <c r="F1227" s="46"/>
      <c r="G1227" s="46"/>
    </row>
    <row r="1228" spans="4:7">
      <c r="D1228" s="46"/>
      <c r="E1228" s="46"/>
      <c r="F1228" s="46"/>
      <c r="G1228" s="46"/>
    </row>
    <row r="1229" spans="4:7">
      <c r="D1229" s="46"/>
      <c r="E1229" s="46"/>
      <c r="F1229" s="46"/>
      <c r="G1229" s="46"/>
    </row>
    <row r="1230" spans="4:7">
      <c r="D1230" s="46"/>
      <c r="E1230" s="46"/>
      <c r="F1230" s="46"/>
      <c r="G1230" s="46"/>
    </row>
    <row r="1231" spans="4:7">
      <c r="D1231" s="46"/>
      <c r="E1231" s="46"/>
      <c r="F1231" s="46"/>
      <c r="G1231" s="46"/>
    </row>
    <row r="1232" spans="4:7">
      <c r="D1232" s="46"/>
      <c r="E1232" s="46"/>
      <c r="F1232" s="46"/>
      <c r="G1232" s="46"/>
    </row>
    <row r="1233" spans="4:7">
      <c r="D1233" s="46"/>
      <c r="E1233" s="46"/>
      <c r="F1233" s="46"/>
      <c r="G1233" s="46"/>
    </row>
    <row r="1234" spans="4:7">
      <c r="D1234" s="46"/>
      <c r="E1234" s="46"/>
      <c r="F1234" s="46"/>
      <c r="G1234" s="46"/>
    </row>
    <row r="1235" spans="4:7">
      <c r="D1235" s="46"/>
      <c r="E1235" s="46"/>
      <c r="F1235" s="46"/>
      <c r="G1235" s="46"/>
    </row>
    <row r="1236" spans="4:7">
      <c r="D1236" s="46"/>
      <c r="E1236" s="46"/>
      <c r="F1236" s="46"/>
      <c r="G1236" s="46"/>
    </row>
    <row r="1237" spans="4:7">
      <c r="D1237" s="46"/>
      <c r="E1237" s="46"/>
      <c r="F1237" s="46"/>
      <c r="G1237" s="46"/>
    </row>
    <row r="1238" spans="4:7">
      <c r="D1238" s="46"/>
      <c r="E1238" s="46"/>
      <c r="F1238" s="46"/>
      <c r="G1238" s="46"/>
    </row>
    <row r="1239" spans="4:7">
      <c r="D1239" s="46"/>
      <c r="E1239" s="46"/>
      <c r="F1239" s="46"/>
      <c r="G1239" s="46"/>
    </row>
    <row r="1240" spans="4:7">
      <c r="D1240" s="46"/>
      <c r="E1240" s="46"/>
      <c r="F1240" s="46"/>
      <c r="G1240" s="46"/>
    </row>
    <row r="1241" spans="4:7">
      <c r="D1241" s="46"/>
      <c r="E1241" s="46"/>
      <c r="F1241" s="46"/>
      <c r="G1241" s="46"/>
    </row>
    <row r="1242" spans="4:7">
      <c r="D1242" s="46"/>
      <c r="E1242" s="46"/>
      <c r="F1242" s="46"/>
      <c r="G1242" s="46"/>
    </row>
    <row r="1243" spans="4:7">
      <c r="D1243" s="46"/>
      <c r="E1243" s="46"/>
      <c r="F1243" s="46"/>
      <c r="G1243" s="46"/>
    </row>
    <row r="1244" spans="4:7">
      <c r="D1244" s="46"/>
      <c r="E1244" s="46"/>
      <c r="F1244" s="46"/>
      <c r="G1244" s="46"/>
    </row>
    <row r="1245" spans="4:7">
      <c r="D1245" s="46"/>
      <c r="E1245" s="46"/>
      <c r="F1245" s="46"/>
      <c r="G1245" s="46"/>
    </row>
    <row r="1246" spans="4:7">
      <c r="D1246" s="46"/>
      <c r="E1246" s="46"/>
      <c r="F1246" s="46"/>
      <c r="G1246" s="46"/>
    </row>
    <row r="1247" spans="4:7">
      <c r="D1247" s="46"/>
      <c r="E1247" s="46"/>
      <c r="F1247" s="46"/>
      <c r="G1247" s="46"/>
    </row>
    <row r="1248" spans="4:7">
      <c r="D1248" s="46"/>
      <c r="E1248" s="46"/>
      <c r="F1248" s="46"/>
      <c r="G1248" s="46"/>
    </row>
    <row r="1249" spans="4:7">
      <c r="D1249" s="46"/>
      <c r="E1249" s="46"/>
      <c r="F1249" s="46"/>
      <c r="G1249" s="46"/>
    </row>
    <row r="1250" spans="4:7">
      <c r="D1250" s="46"/>
      <c r="E1250" s="46"/>
      <c r="F1250" s="46"/>
      <c r="G1250" s="46"/>
    </row>
    <row r="1251" spans="4:7">
      <c r="D1251" s="46"/>
      <c r="E1251" s="46"/>
      <c r="F1251" s="46"/>
      <c r="G1251" s="46"/>
    </row>
    <row r="1252" spans="4:7">
      <c r="D1252" s="46"/>
      <c r="E1252" s="46"/>
      <c r="F1252" s="46"/>
      <c r="G1252" s="46"/>
    </row>
    <row r="1253" spans="4:7">
      <c r="D1253" s="46"/>
      <c r="E1253" s="46"/>
      <c r="F1253" s="46"/>
      <c r="G1253" s="46"/>
    </row>
    <row r="1254" spans="4:7">
      <c r="D1254" s="46"/>
      <c r="E1254" s="46"/>
      <c r="F1254" s="46"/>
      <c r="G1254" s="46"/>
    </row>
    <row r="1255" spans="4:7">
      <c r="D1255" s="46"/>
      <c r="E1255" s="46"/>
      <c r="F1255" s="46"/>
      <c r="G1255" s="46"/>
    </row>
    <row r="1256" spans="4:7">
      <c r="D1256" s="46"/>
      <c r="E1256" s="46"/>
      <c r="F1256" s="46"/>
      <c r="G1256" s="46"/>
    </row>
    <row r="1257" spans="4:7">
      <c r="D1257" s="46"/>
      <c r="E1257" s="46"/>
      <c r="F1257" s="46"/>
      <c r="G1257" s="46"/>
    </row>
    <row r="1258" spans="4:7">
      <c r="D1258" s="46"/>
      <c r="E1258" s="46"/>
      <c r="F1258" s="46"/>
      <c r="G1258" s="46"/>
    </row>
    <row r="1259" spans="4:7">
      <c r="D1259" s="46"/>
      <c r="E1259" s="46"/>
      <c r="F1259" s="46"/>
      <c r="G1259" s="46"/>
    </row>
    <row r="1260" spans="4:7">
      <c r="D1260" s="46"/>
      <c r="E1260" s="46"/>
      <c r="F1260" s="46"/>
      <c r="G1260" s="46"/>
    </row>
    <row r="1261" spans="4:7">
      <c r="D1261" s="46"/>
      <c r="E1261" s="46"/>
      <c r="F1261" s="46"/>
      <c r="G1261" s="46"/>
    </row>
    <row r="1262" spans="4:7">
      <c r="D1262" s="46"/>
      <c r="E1262" s="46"/>
      <c r="F1262" s="46"/>
      <c r="G1262" s="46"/>
    </row>
    <row r="1263" spans="4:7">
      <c r="D1263" s="46"/>
      <c r="E1263" s="46"/>
      <c r="F1263" s="46"/>
      <c r="G1263" s="46"/>
    </row>
    <row r="1264" spans="4:7">
      <c r="D1264" s="46"/>
      <c r="E1264" s="46"/>
      <c r="F1264" s="46"/>
      <c r="G1264" s="46"/>
    </row>
    <row r="1265" spans="4:7">
      <c r="D1265" s="46"/>
      <c r="E1265" s="46"/>
      <c r="F1265" s="46"/>
      <c r="G1265" s="46"/>
    </row>
    <row r="1266" spans="4:7">
      <c r="D1266" s="46"/>
      <c r="E1266" s="46"/>
      <c r="F1266" s="46"/>
      <c r="G1266" s="46"/>
    </row>
    <row r="1267" spans="4:7">
      <c r="D1267" s="46"/>
      <c r="E1267" s="46"/>
      <c r="F1267" s="46"/>
      <c r="G1267" s="46"/>
    </row>
    <row r="1268" spans="4:7">
      <c r="D1268" s="46"/>
      <c r="E1268" s="46"/>
      <c r="F1268" s="46"/>
      <c r="G1268" s="46"/>
    </row>
    <row r="1269" spans="4:7">
      <c r="D1269" s="46"/>
      <c r="E1269" s="46"/>
      <c r="F1269" s="46"/>
      <c r="G1269" s="46"/>
    </row>
    <row r="1270" spans="4:7">
      <c r="D1270" s="46"/>
      <c r="E1270" s="46"/>
      <c r="F1270" s="46"/>
      <c r="G1270" s="46"/>
    </row>
    <row r="1271" spans="4:7">
      <c r="D1271" s="46"/>
      <c r="E1271" s="46"/>
      <c r="F1271" s="46"/>
      <c r="G1271" s="46"/>
    </row>
    <row r="1272" spans="4:7">
      <c r="D1272" s="46"/>
      <c r="E1272" s="46"/>
      <c r="F1272" s="46"/>
      <c r="G1272" s="46"/>
    </row>
    <row r="1273" spans="4:7">
      <c r="D1273" s="46"/>
      <c r="E1273" s="46"/>
      <c r="F1273" s="46"/>
      <c r="G1273" s="46"/>
    </row>
    <row r="1274" spans="4:7">
      <c r="D1274" s="46"/>
      <c r="E1274" s="46"/>
      <c r="F1274" s="46"/>
      <c r="G1274" s="46"/>
    </row>
    <row r="1275" spans="4:7">
      <c r="D1275" s="46"/>
      <c r="E1275" s="46"/>
      <c r="F1275" s="46"/>
      <c r="G1275" s="46"/>
    </row>
    <row r="1276" spans="4:7">
      <c r="D1276" s="46"/>
      <c r="E1276" s="46"/>
      <c r="F1276" s="46"/>
      <c r="G1276" s="46"/>
    </row>
    <row r="1277" spans="4:7">
      <c r="D1277" s="46"/>
      <c r="E1277" s="46"/>
      <c r="F1277" s="46"/>
      <c r="G1277" s="46"/>
    </row>
    <row r="1278" spans="4:7">
      <c r="D1278" s="46"/>
      <c r="E1278" s="46"/>
      <c r="F1278" s="46"/>
      <c r="G1278" s="46"/>
    </row>
    <row r="1279" spans="4:7">
      <c r="D1279" s="46"/>
      <c r="E1279" s="46"/>
      <c r="F1279" s="46"/>
      <c r="G1279" s="46"/>
    </row>
    <row r="1280" spans="4:7">
      <c r="D1280" s="46"/>
      <c r="E1280" s="46"/>
      <c r="F1280" s="46"/>
      <c r="G1280" s="46"/>
    </row>
    <row r="1281" spans="4:7">
      <c r="D1281" s="46"/>
      <c r="E1281" s="46"/>
      <c r="F1281" s="46"/>
      <c r="G1281" s="46"/>
    </row>
    <row r="1282" spans="4:7">
      <c r="D1282" s="46"/>
      <c r="E1282" s="46"/>
      <c r="F1282" s="46"/>
      <c r="G1282" s="46"/>
    </row>
    <row r="1283" spans="4:7">
      <c r="D1283" s="46"/>
      <c r="E1283" s="46"/>
      <c r="F1283" s="46"/>
      <c r="G1283" s="46"/>
    </row>
    <row r="1284" spans="4:7">
      <c r="D1284" s="46"/>
      <c r="E1284" s="46"/>
      <c r="F1284" s="46"/>
      <c r="G1284" s="46"/>
    </row>
    <row r="1285" spans="4:7">
      <c r="D1285" s="46"/>
      <c r="E1285" s="46"/>
      <c r="F1285" s="46"/>
      <c r="G1285" s="46"/>
    </row>
    <row r="1286" spans="4:7">
      <c r="D1286" s="46"/>
      <c r="E1286" s="46"/>
      <c r="F1286" s="46"/>
      <c r="G1286" s="46"/>
    </row>
    <row r="1287" spans="4:7">
      <c r="D1287" s="46"/>
      <c r="E1287" s="46"/>
      <c r="F1287" s="46"/>
      <c r="G1287" s="46"/>
    </row>
    <row r="1288" spans="4:7">
      <c r="D1288" s="46"/>
      <c r="E1288" s="46"/>
      <c r="F1288" s="46"/>
      <c r="G1288" s="46"/>
    </row>
    <row r="1289" spans="4:7">
      <c r="D1289" s="46"/>
      <c r="E1289" s="46"/>
      <c r="F1289" s="46"/>
      <c r="G1289" s="46"/>
    </row>
    <row r="1290" spans="4:7">
      <c r="D1290" s="46"/>
      <c r="E1290" s="46"/>
      <c r="F1290" s="46"/>
      <c r="G1290" s="46"/>
    </row>
    <row r="1291" spans="4:7">
      <c r="D1291" s="46"/>
      <c r="E1291" s="46"/>
      <c r="F1291" s="46"/>
      <c r="G1291" s="46"/>
    </row>
    <row r="1292" spans="4:7">
      <c r="D1292" s="46"/>
      <c r="E1292" s="46"/>
      <c r="F1292" s="46"/>
      <c r="G1292" s="46"/>
    </row>
    <row r="1293" spans="4:7">
      <c r="D1293" s="46"/>
      <c r="E1293" s="46"/>
      <c r="F1293" s="46"/>
      <c r="G1293" s="46"/>
    </row>
    <row r="1294" spans="4:7">
      <c r="D1294" s="46"/>
      <c r="E1294" s="46"/>
      <c r="F1294" s="46"/>
      <c r="G1294" s="46"/>
    </row>
    <row r="1295" spans="4:7">
      <c r="D1295" s="46"/>
      <c r="E1295" s="46"/>
      <c r="F1295" s="46"/>
      <c r="G1295" s="46"/>
    </row>
    <row r="1296" spans="4:7">
      <c r="D1296" s="46"/>
      <c r="E1296" s="46"/>
      <c r="F1296" s="46"/>
      <c r="G1296" s="46"/>
    </row>
    <row r="1297" spans="4:7">
      <c r="D1297" s="46"/>
      <c r="E1297" s="46"/>
      <c r="F1297" s="46"/>
      <c r="G1297" s="46"/>
    </row>
    <row r="1298" spans="4:7">
      <c r="D1298" s="46"/>
      <c r="E1298" s="46"/>
      <c r="F1298" s="46"/>
      <c r="G1298" s="46"/>
    </row>
    <row r="1299" spans="4:7">
      <c r="D1299" s="46"/>
      <c r="E1299" s="46"/>
      <c r="F1299" s="46"/>
      <c r="G1299" s="46"/>
    </row>
    <row r="1300" spans="4:7">
      <c r="D1300" s="46"/>
      <c r="E1300" s="46"/>
      <c r="F1300" s="46"/>
      <c r="G1300" s="46"/>
    </row>
    <row r="1301" spans="4:7">
      <c r="D1301" s="46"/>
      <c r="E1301" s="46"/>
      <c r="F1301" s="46"/>
      <c r="G1301" s="46"/>
    </row>
    <row r="1302" spans="4:7">
      <c r="D1302" s="46"/>
      <c r="E1302" s="46"/>
      <c r="F1302" s="46"/>
      <c r="G1302" s="46"/>
    </row>
    <row r="1303" spans="4:7">
      <c r="D1303" s="46"/>
      <c r="E1303" s="46"/>
      <c r="F1303" s="46"/>
      <c r="G1303" s="46"/>
    </row>
    <row r="1304" spans="4:7">
      <c r="D1304" s="46"/>
      <c r="E1304" s="46"/>
      <c r="F1304" s="46"/>
      <c r="G1304" s="46"/>
    </row>
    <row r="1305" spans="4:7">
      <c r="D1305" s="46"/>
      <c r="E1305" s="46"/>
      <c r="F1305" s="46"/>
      <c r="G1305" s="46"/>
    </row>
    <row r="1306" spans="4:7">
      <c r="D1306" s="46"/>
      <c r="E1306" s="46"/>
      <c r="F1306" s="46"/>
      <c r="G1306" s="46"/>
    </row>
    <row r="1307" spans="4:7">
      <c r="D1307" s="46"/>
      <c r="E1307" s="46"/>
      <c r="F1307" s="46"/>
      <c r="G1307" s="46"/>
    </row>
    <row r="1308" spans="4:7">
      <c r="D1308" s="46"/>
      <c r="E1308" s="46"/>
      <c r="F1308" s="46"/>
      <c r="G1308" s="46"/>
    </row>
    <row r="1309" spans="4:7">
      <c r="D1309" s="46"/>
      <c r="E1309" s="46"/>
      <c r="F1309" s="46"/>
      <c r="G1309" s="46"/>
    </row>
    <row r="1310" spans="4:7">
      <c r="D1310" s="46"/>
      <c r="E1310" s="46"/>
      <c r="F1310" s="46"/>
      <c r="G1310" s="46"/>
    </row>
    <row r="1311" spans="4:7">
      <c r="D1311" s="46"/>
      <c r="E1311" s="46"/>
      <c r="F1311" s="46"/>
      <c r="G1311" s="46"/>
    </row>
    <row r="1312" spans="4:7">
      <c r="D1312" s="46"/>
      <c r="E1312" s="46"/>
      <c r="F1312" s="46"/>
      <c r="G1312" s="46"/>
    </row>
    <row r="1313" spans="4:7">
      <c r="D1313" s="46"/>
      <c r="E1313" s="46"/>
      <c r="F1313" s="46"/>
      <c r="G1313" s="46"/>
    </row>
    <row r="1314" spans="4:7">
      <c r="D1314" s="46"/>
      <c r="E1314" s="46"/>
      <c r="F1314" s="46"/>
      <c r="G1314" s="46"/>
    </row>
    <row r="1315" spans="4:7">
      <c r="D1315" s="46"/>
      <c r="E1315" s="46"/>
      <c r="F1315" s="46"/>
      <c r="G1315" s="46"/>
    </row>
    <row r="1316" spans="4:7">
      <c r="D1316" s="46"/>
      <c r="E1316" s="46"/>
      <c r="F1316" s="46"/>
      <c r="G1316" s="46"/>
    </row>
    <row r="1317" spans="4:7">
      <c r="D1317" s="46"/>
      <c r="E1317" s="46"/>
      <c r="F1317" s="46"/>
      <c r="G1317" s="46"/>
    </row>
    <row r="1318" spans="4:7">
      <c r="D1318" s="46"/>
      <c r="E1318" s="46"/>
      <c r="F1318" s="46"/>
      <c r="G1318" s="46"/>
    </row>
    <row r="1319" spans="4:7">
      <c r="D1319" s="46"/>
      <c r="E1319" s="46"/>
      <c r="F1319" s="46"/>
      <c r="G1319" s="46"/>
    </row>
    <row r="1320" spans="4:7">
      <c r="D1320" s="46"/>
      <c r="E1320" s="46"/>
      <c r="F1320" s="46"/>
      <c r="G1320" s="46"/>
    </row>
    <row r="1321" spans="4:7">
      <c r="D1321" s="46"/>
      <c r="E1321" s="46"/>
      <c r="F1321" s="46"/>
      <c r="G1321" s="46"/>
    </row>
    <row r="1322" spans="4:7">
      <c r="D1322" s="46"/>
      <c r="E1322" s="46"/>
      <c r="F1322" s="46"/>
      <c r="G1322" s="46"/>
    </row>
    <row r="1323" spans="4:7">
      <c r="D1323" s="46"/>
      <c r="E1323" s="46"/>
      <c r="F1323" s="46"/>
      <c r="G1323" s="46"/>
    </row>
    <row r="1324" spans="4:7">
      <c r="D1324" s="46"/>
      <c r="E1324" s="46"/>
      <c r="F1324" s="46"/>
      <c r="G1324" s="46"/>
    </row>
    <row r="1325" spans="4:7">
      <c r="D1325" s="46"/>
      <c r="E1325" s="46"/>
      <c r="F1325" s="46"/>
      <c r="G1325" s="46"/>
    </row>
    <row r="1326" spans="4:7">
      <c r="D1326" s="46"/>
      <c r="E1326" s="46"/>
      <c r="F1326" s="46"/>
      <c r="G1326" s="46"/>
    </row>
    <row r="1327" spans="4:7">
      <c r="D1327" s="46"/>
      <c r="E1327" s="46"/>
      <c r="F1327" s="46"/>
      <c r="G1327" s="46"/>
    </row>
    <row r="1328" spans="4:7">
      <c r="D1328" s="46"/>
      <c r="E1328" s="46"/>
      <c r="F1328" s="46"/>
      <c r="G1328" s="46"/>
    </row>
    <row r="1329" spans="4:7">
      <c r="D1329" s="46"/>
      <c r="E1329" s="46"/>
      <c r="F1329" s="46"/>
      <c r="G1329" s="46"/>
    </row>
    <row r="1330" spans="4:7">
      <c r="D1330" s="46"/>
      <c r="E1330" s="46"/>
      <c r="F1330" s="46"/>
      <c r="G1330" s="46"/>
    </row>
    <row r="1331" spans="4:7">
      <c r="D1331" s="46"/>
      <c r="E1331" s="46"/>
      <c r="F1331" s="46"/>
      <c r="G1331" s="46"/>
    </row>
    <row r="1332" spans="4:7">
      <c r="D1332" s="46"/>
      <c r="E1332" s="46"/>
      <c r="F1332" s="46"/>
      <c r="G1332" s="46"/>
    </row>
    <row r="1333" spans="4:7">
      <c r="D1333" s="46"/>
      <c r="E1333" s="46"/>
      <c r="F1333" s="46"/>
      <c r="G1333" s="46"/>
    </row>
    <row r="1334" spans="4:7">
      <c r="D1334" s="46"/>
      <c r="E1334" s="46"/>
      <c r="F1334" s="46"/>
      <c r="G1334" s="46"/>
    </row>
    <row r="1335" spans="4:7">
      <c r="D1335" s="46"/>
      <c r="E1335" s="46"/>
      <c r="F1335" s="46"/>
      <c r="G1335" s="46"/>
    </row>
    <row r="1336" spans="4:7">
      <c r="D1336" s="46"/>
      <c r="E1336" s="46"/>
      <c r="F1336" s="46"/>
      <c r="G1336" s="46"/>
    </row>
    <row r="1337" spans="4:7">
      <c r="D1337" s="46"/>
      <c r="E1337" s="46"/>
      <c r="F1337" s="46"/>
      <c r="G1337" s="46"/>
    </row>
    <row r="1338" spans="4:7">
      <c r="D1338" s="46"/>
      <c r="E1338" s="46"/>
      <c r="F1338" s="46"/>
      <c r="G1338" s="46"/>
    </row>
    <row r="1339" spans="4:7">
      <c r="D1339" s="46"/>
      <c r="E1339" s="46"/>
      <c r="F1339" s="46"/>
      <c r="G1339" s="46"/>
    </row>
    <row r="1340" spans="4:7">
      <c r="D1340" s="46"/>
      <c r="E1340" s="46"/>
      <c r="F1340" s="46"/>
      <c r="G1340" s="46"/>
    </row>
    <row r="1341" spans="4:7">
      <c r="D1341" s="46"/>
      <c r="E1341" s="46"/>
      <c r="F1341" s="46"/>
      <c r="G1341" s="46"/>
    </row>
    <row r="1342" spans="4:7">
      <c r="D1342" s="46"/>
      <c r="E1342" s="46"/>
      <c r="F1342" s="46"/>
      <c r="G1342" s="46"/>
    </row>
    <row r="1343" spans="4:7">
      <c r="D1343" s="46"/>
      <c r="E1343" s="46"/>
      <c r="F1343" s="46"/>
      <c r="G1343" s="46"/>
    </row>
    <row r="1344" spans="4:7">
      <c r="D1344" s="46"/>
      <c r="E1344" s="46"/>
      <c r="F1344" s="46"/>
      <c r="G1344" s="46"/>
    </row>
    <row r="1345" spans="4:7">
      <c r="D1345" s="46"/>
      <c r="E1345" s="46"/>
      <c r="F1345" s="46"/>
      <c r="G1345" s="46"/>
    </row>
    <row r="1346" spans="4:7">
      <c r="D1346" s="46"/>
      <c r="E1346" s="46"/>
      <c r="F1346" s="46"/>
      <c r="G1346" s="46"/>
    </row>
    <row r="1347" spans="4:7">
      <c r="D1347" s="46"/>
      <c r="E1347" s="46"/>
      <c r="F1347" s="46"/>
      <c r="G1347" s="46"/>
    </row>
    <row r="1348" spans="4:7">
      <c r="D1348" s="46"/>
      <c r="E1348" s="46"/>
      <c r="F1348" s="46"/>
      <c r="G1348" s="46"/>
    </row>
    <row r="1349" spans="4:7">
      <c r="D1349" s="46"/>
      <c r="E1349" s="46"/>
      <c r="F1349" s="46"/>
      <c r="G1349" s="46"/>
    </row>
    <row r="1350" spans="4:7">
      <c r="D1350" s="46"/>
      <c r="E1350" s="46"/>
      <c r="F1350" s="46"/>
      <c r="G1350" s="46"/>
    </row>
    <row r="1351" spans="4:7">
      <c r="D1351" s="46"/>
      <c r="E1351" s="46"/>
      <c r="F1351" s="46"/>
      <c r="G1351" s="46"/>
    </row>
    <row r="1352" spans="4:7">
      <c r="D1352" s="46"/>
      <c r="E1352" s="46"/>
      <c r="F1352" s="46"/>
      <c r="G1352" s="46"/>
    </row>
    <row r="1353" spans="4:7">
      <c r="D1353" s="46"/>
      <c r="E1353" s="46"/>
      <c r="F1353" s="46"/>
      <c r="G1353" s="46"/>
    </row>
    <row r="1354" spans="4:7">
      <c r="D1354" s="46"/>
      <c r="E1354" s="46"/>
      <c r="F1354" s="46"/>
      <c r="G1354" s="46"/>
    </row>
    <row r="1355" spans="4:7">
      <c r="D1355" s="46"/>
      <c r="E1355" s="46"/>
      <c r="F1355" s="46"/>
      <c r="G1355" s="46"/>
    </row>
    <row r="1356" spans="4:7">
      <c r="D1356" s="46"/>
      <c r="E1356" s="46"/>
      <c r="F1356" s="46"/>
      <c r="G1356" s="46"/>
    </row>
    <row r="1357" spans="4:7">
      <c r="D1357" s="46"/>
      <c r="E1357" s="46"/>
      <c r="F1357" s="46"/>
      <c r="G1357" s="46"/>
    </row>
    <row r="1358" spans="4:7">
      <c r="D1358" s="46"/>
      <c r="E1358" s="46"/>
      <c r="F1358" s="46"/>
      <c r="G1358" s="46"/>
    </row>
    <row r="1359" spans="4:7">
      <c r="D1359" s="46"/>
      <c r="E1359" s="46"/>
      <c r="F1359" s="46"/>
      <c r="G1359" s="46"/>
    </row>
    <row r="1360" spans="4:7">
      <c r="D1360" s="46"/>
      <c r="E1360" s="46"/>
      <c r="F1360" s="46"/>
      <c r="G1360" s="46"/>
    </row>
    <row r="1361" spans="4:7">
      <c r="D1361" s="46"/>
      <c r="E1361" s="46"/>
      <c r="F1361" s="46"/>
      <c r="G1361" s="46"/>
    </row>
    <row r="1362" spans="4:7">
      <c r="D1362" s="46"/>
      <c r="E1362" s="46"/>
      <c r="F1362" s="46"/>
      <c r="G1362" s="46"/>
    </row>
    <row r="1363" spans="4:7">
      <c r="D1363" s="46"/>
      <c r="E1363" s="46"/>
      <c r="F1363" s="46"/>
      <c r="G1363" s="46"/>
    </row>
    <row r="1364" spans="4:7">
      <c r="D1364" s="46"/>
      <c r="E1364" s="46"/>
      <c r="F1364" s="46"/>
      <c r="G1364" s="46"/>
    </row>
    <row r="1365" spans="4:7">
      <c r="D1365" s="46"/>
      <c r="E1365" s="46"/>
      <c r="F1365" s="46"/>
      <c r="G1365" s="46"/>
    </row>
    <row r="1366" spans="4:7">
      <c r="D1366" s="46"/>
      <c r="E1366" s="46"/>
      <c r="F1366" s="46"/>
      <c r="G1366" s="46"/>
    </row>
    <row r="1367" spans="4:7">
      <c r="D1367" s="46"/>
      <c r="E1367" s="46"/>
      <c r="F1367" s="46"/>
      <c r="G1367" s="46"/>
    </row>
    <row r="1368" spans="4:7">
      <c r="D1368" s="46"/>
      <c r="E1368" s="46"/>
      <c r="F1368" s="46"/>
      <c r="G1368" s="46"/>
    </row>
    <row r="1369" spans="4:7">
      <c r="D1369" s="46"/>
      <c r="E1369" s="46"/>
      <c r="F1369" s="46"/>
      <c r="G1369" s="46"/>
    </row>
    <row r="1370" spans="4:7">
      <c r="D1370" s="46"/>
      <c r="E1370" s="46"/>
      <c r="F1370" s="46"/>
      <c r="G1370" s="46"/>
    </row>
    <row r="1371" spans="4:7">
      <c r="D1371" s="46"/>
      <c r="E1371" s="46"/>
      <c r="F1371" s="46"/>
      <c r="G1371" s="46"/>
    </row>
    <row r="1372" spans="4:7">
      <c r="D1372" s="46"/>
      <c r="E1372" s="46"/>
      <c r="F1372" s="46"/>
      <c r="G1372" s="46"/>
    </row>
    <row r="1373" spans="4:7">
      <c r="D1373" s="46"/>
      <c r="E1373" s="46"/>
      <c r="F1373" s="46"/>
      <c r="G1373" s="46"/>
    </row>
    <row r="1374" spans="4:7">
      <c r="D1374" s="46"/>
      <c r="E1374" s="46"/>
      <c r="F1374" s="46"/>
      <c r="G1374" s="46"/>
    </row>
    <row r="1375" spans="4:7">
      <c r="D1375" s="46"/>
      <c r="E1375" s="46"/>
      <c r="F1375" s="46"/>
      <c r="G1375" s="46"/>
    </row>
    <row r="1376" spans="4:7">
      <c r="D1376" s="46"/>
      <c r="E1376" s="46"/>
      <c r="F1376" s="46"/>
      <c r="G1376" s="46"/>
    </row>
    <row r="1377" spans="4:7">
      <c r="D1377" s="46"/>
      <c r="E1377" s="46"/>
      <c r="F1377" s="46"/>
      <c r="G1377" s="46"/>
    </row>
    <row r="1378" spans="4:7">
      <c r="D1378" s="46"/>
      <c r="E1378" s="46"/>
      <c r="F1378" s="46"/>
      <c r="G1378" s="46"/>
    </row>
    <row r="1379" spans="4:7">
      <c r="D1379" s="46"/>
      <c r="E1379" s="46"/>
      <c r="F1379" s="46"/>
      <c r="G1379" s="46"/>
    </row>
    <row r="1380" spans="4:7">
      <c r="D1380" s="46"/>
      <c r="E1380" s="46"/>
      <c r="F1380" s="46"/>
      <c r="G1380" s="46"/>
    </row>
    <row r="1381" spans="4:7">
      <c r="D1381" s="46"/>
      <c r="E1381" s="46"/>
      <c r="F1381" s="46"/>
      <c r="G1381" s="46"/>
    </row>
    <row r="1382" spans="4:7">
      <c r="D1382" s="46"/>
      <c r="E1382" s="46"/>
      <c r="F1382" s="46"/>
      <c r="G1382" s="46"/>
    </row>
    <row r="1383" spans="4:7">
      <c r="D1383" s="46"/>
      <c r="E1383" s="46"/>
      <c r="F1383" s="46"/>
      <c r="G1383" s="46"/>
    </row>
    <row r="1384" spans="4:7">
      <c r="D1384" s="46"/>
      <c r="E1384" s="46"/>
      <c r="F1384" s="46"/>
      <c r="G1384" s="46"/>
    </row>
    <row r="1385" spans="4:7">
      <c r="D1385" s="46"/>
      <c r="E1385" s="46"/>
      <c r="F1385" s="46"/>
      <c r="G1385" s="46"/>
    </row>
    <row r="1386" spans="4:7">
      <c r="D1386" s="46"/>
      <c r="E1386" s="46"/>
      <c r="F1386" s="46"/>
      <c r="G1386" s="46"/>
    </row>
    <row r="1387" spans="4:7">
      <c r="D1387" s="46"/>
      <c r="E1387" s="46"/>
      <c r="F1387" s="46"/>
      <c r="G1387" s="46"/>
    </row>
    <row r="1388" spans="4:7">
      <c r="D1388" s="46"/>
      <c r="E1388" s="46"/>
      <c r="F1388" s="46"/>
      <c r="G1388" s="46"/>
    </row>
    <row r="1389" spans="4:7">
      <c r="D1389" s="46"/>
      <c r="E1389" s="46"/>
      <c r="F1389" s="46"/>
      <c r="G1389" s="46"/>
    </row>
    <row r="1390" spans="4:7">
      <c r="D1390" s="46"/>
      <c r="E1390" s="46"/>
      <c r="F1390" s="46"/>
      <c r="G1390" s="46"/>
    </row>
    <row r="1391" spans="4:7">
      <c r="D1391" s="46"/>
      <c r="E1391" s="46"/>
      <c r="F1391" s="46"/>
      <c r="G1391" s="46"/>
    </row>
    <row r="1392" spans="4:7">
      <c r="D1392" s="46"/>
      <c r="E1392" s="46"/>
      <c r="F1392" s="46"/>
      <c r="G1392" s="46"/>
    </row>
    <row r="1393" spans="4:7">
      <c r="D1393" s="46"/>
      <c r="E1393" s="46"/>
      <c r="F1393" s="46"/>
      <c r="G1393" s="46"/>
    </row>
    <row r="1394" spans="4:7">
      <c r="D1394" s="46"/>
      <c r="E1394" s="46"/>
      <c r="F1394" s="46"/>
      <c r="G1394" s="46"/>
    </row>
    <row r="1395" spans="4:7">
      <c r="D1395" s="46"/>
      <c r="E1395" s="46"/>
      <c r="F1395" s="46"/>
      <c r="G1395" s="46"/>
    </row>
    <row r="1396" spans="4:7">
      <c r="D1396" s="46"/>
      <c r="E1396" s="46"/>
      <c r="F1396" s="46"/>
      <c r="G1396" s="46"/>
    </row>
    <row r="1397" spans="4:7">
      <c r="D1397" s="46"/>
      <c r="E1397" s="46"/>
      <c r="F1397" s="46"/>
      <c r="G1397" s="46"/>
    </row>
    <row r="1398" spans="4:7">
      <c r="D1398" s="46"/>
      <c r="E1398" s="46"/>
      <c r="F1398" s="46"/>
      <c r="G1398" s="46"/>
    </row>
    <row r="1399" spans="4:7">
      <c r="D1399" s="46"/>
      <c r="E1399" s="46"/>
      <c r="F1399" s="46"/>
      <c r="G1399" s="46"/>
    </row>
    <row r="1400" spans="4:7">
      <c r="D1400" s="46"/>
      <c r="E1400" s="46"/>
      <c r="F1400" s="46"/>
      <c r="G1400" s="46"/>
    </row>
    <row r="1401" spans="4:7">
      <c r="D1401" s="46"/>
      <c r="E1401" s="46"/>
      <c r="F1401" s="46"/>
      <c r="G1401" s="46"/>
    </row>
    <row r="1402" spans="4:7">
      <c r="D1402" s="46"/>
      <c r="E1402" s="46"/>
      <c r="F1402" s="46"/>
      <c r="G1402" s="46"/>
    </row>
    <row r="1403" spans="4:7">
      <c r="D1403" s="46"/>
      <c r="E1403" s="46"/>
      <c r="F1403" s="46"/>
      <c r="G1403" s="46"/>
    </row>
    <row r="1404" spans="4:7">
      <c r="D1404" s="46"/>
      <c r="E1404" s="46"/>
      <c r="F1404" s="46"/>
      <c r="G1404" s="46"/>
    </row>
    <row r="1405" spans="4:7">
      <c r="D1405" s="46"/>
      <c r="E1405" s="46"/>
      <c r="F1405" s="46"/>
      <c r="G1405" s="46"/>
    </row>
    <row r="1406" spans="4:7">
      <c r="D1406" s="46"/>
      <c r="E1406" s="46"/>
      <c r="F1406" s="46"/>
      <c r="G1406" s="46"/>
    </row>
    <row r="1407" spans="4:7">
      <c r="D1407" s="46"/>
      <c r="E1407" s="46"/>
      <c r="F1407" s="46"/>
      <c r="G1407" s="46"/>
    </row>
    <row r="1408" spans="4:7">
      <c r="D1408" s="46"/>
      <c r="E1408" s="46"/>
      <c r="F1408" s="46"/>
      <c r="G1408" s="46"/>
    </row>
    <row r="1409" spans="4:7">
      <c r="D1409" s="46"/>
      <c r="E1409" s="46"/>
      <c r="F1409" s="46"/>
      <c r="G1409" s="46"/>
    </row>
    <row r="1410" spans="4:7">
      <c r="D1410" s="46"/>
      <c r="E1410" s="46"/>
      <c r="F1410" s="46"/>
      <c r="G1410" s="46"/>
    </row>
    <row r="1411" spans="4:7">
      <c r="D1411" s="46"/>
      <c r="E1411" s="46"/>
      <c r="F1411" s="46"/>
      <c r="G1411" s="46"/>
    </row>
    <row r="1412" spans="4:7">
      <c r="D1412" s="46"/>
      <c r="E1412" s="46"/>
      <c r="F1412" s="46"/>
      <c r="G1412" s="46"/>
    </row>
    <row r="1413" spans="4:7">
      <c r="D1413" s="46"/>
      <c r="E1413" s="46"/>
      <c r="F1413" s="46"/>
      <c r="G1413" s="46"/>
    </row>
    <row r="1414" spans="4:7">
      <c r="D1414" s="46"/>
      <c r="E1414" s="46"/>
      <c r="F1414" s="46"/>
      <c r="G1414" s="46"/>
    </row>
    <row r="1415" spans="4:7">
      <c r="D1415" s="46"/>
      <c r="E1415" s="46"/>
      <c r="F1415" s="46"/>
      <c r="G1415" s="46"/>
    </row>
    <row r="1416" spans="4:7">
      <c r="D1416" s="46"/>
      <c r="E1416" s="46"/>
      <c r="F1416" s="46"/>
      <c r="G1416" s="46"/>
    </row>
    <row r="1417" spans="4:7">
      <c r="D1417" s="46"/>
      <c r="E1417" s="46"/>
      <c r="F1417" s="46"/>
      <c r="G1417" s="46"/>
    </row>
    <row r="1418" spans="4:7">
      <c r="D1418" s="46"/>
      <c r="E1418" s="46"/>
      <c r="F1418" s="46"/>
      <c r="G1418" s="46"/>
    </row>
    <row r="1419" spans="4:7">
      <c r="D1419" s="46"/>
      <c r="E1419" s="46"/>
      <c r="F1419" s="46"/>
      <c r="G1419" s="46"/>
    </row>
    <row r="1420" spans="4:7">
      <c r="D1420" s="46"/>
      <c r="E1420" s="46"/>
      <c r="F1420" s="46"/>
      <c r="G1420" s="46"/>
    </row>
    <row r="1421" spans="4:7">
      <c r="D1421" s="46"/>
      <c r="E1421" s="46"/>
      <c r="F1421" s="46"/>
      <c r="G1421" s="46"/>
    </row>
    <row r="1422" spans="4:7">
      <c r="D1422" s="46"/>
      <c r="E1422" s="46"/>
      <c r="F1422" s="46"/>
      <c r="G1422" s="46"/>
    </row>
    <row r="1423" spans="4:7">
      <c r="D1423" s="46"/>
      <c r="E1423" s="46"/>
      <c r="F1423" s="46"/>
      <c r="G1423" s="46"/>
    </row>
    <row r="1424" spans="4:7">
      <c r="D1424" s="46"/>
      <c r="E1424" s="46"/>
      <c r="F1424" s="46"/>
      <c r="G1424" s="46"/>
    </row>
    <row r="1425" spans="4:7">
      <c r="D1425" s="46"/>
      <c r="E1425" s="46"/>
      <c r="F1425" s="46"/>
      <c r="G1425" s="46"/>
    </row>
    <row r="1426" spans="4:7">
      <c r="D1426" s="46"/>
      <c r="E1426" s="46"/>
      <c r="F1426" s="46"/>
      <c r="G1426" s="46"/>
    </row>
    <row r="1427" spans="4:7">
      <c r="D1427" s="46"/>
      <c r="E1427" s="46"/>
      <c r="F1427" s="46"/>
      <c r="G1427" s="46"/>
    </row>
    <row r="1428" spans="4:7">
      <c r="D1428" s="46"/>
      <c r="E1428" s="46"/>
      <c r="F1428" s="46"/>
      <c r="G1428" s="46"/>
    </row>
    <row r="1429" spans="4:7">
      <c r="D1429" s="46"/>
      <c r="E1429" s="46"/>
      <c r="F1429" s="46"/>
      <c r="G1429" s="46"/>
    </row>
    <row r="1430" spans="4:7">
      <c r="D1430" s="46"/>
      <c r="E1430" s="46"/>
      <c r="F1430" s="46"/>
      <c r="G1430" s="46"/>
    </row>
    <row r="1431" spans="4:7">
      <c r="D1431" s="46"/>
      <c r="E1431" s="46"/>
      <c r="F1431" s="46"/>
      <c r="G1431" s="46"/>
    </row>
    <row r="1432" spans="4:7">
      <c r="D1432" s="46"/>
      <c r="E1432" s="46"/>
      <c r="F1432" s="46"/>
      <c r="G1432" s="46"/>
    </row>
    <row r="1433" spans="4:7">
      <c r="D1433" s="46"/>
      <c r="E1433" s="46"/>
      <c r="F1433" s="46"/>
      <c r="G1433" s="46"/>
    </row>
    <row r="1434" spans="4:7">
      <c r="D1434" s="46"/>
      <c r="E1434" s="46"/>
      <c r="F1434" s="46"/>
      <c r="G1434" s="46"/>
    </row>
    <row r="1435" spans="4:7">
      <c r="D1435" s="46"/>
      <c r="E1435" s="46"/>
      <c r="F1435" s="46"/>
      <c r="G1435" s="46"/>
    </row>
    <row r="1436" spans="4:7">
      <c r="D1436" s="46"/>
      <c r="E1436" s="46"/>
      <c r="F1436" s="46"/>
      <c r="G1436" s="46"/>
    </row>
    <row r="1437" spans="4:7">
      <c r="D1437" s="46"/>
      <c r="E1437" s="46"/>
      <c r="F1437" s="46"/>
      <c r="G1437" s="46"/>
    </row>
    <row r="1438" spans="4:7">
      <c r="D1438" s="46"/>
      <c r="E1438" s="46"/>
      <c r="F1438" s="46"/>
      <c r="G1438" s="46"/>
    </row>
    <row r="1439" spans="4:7">
      <c r="D1439" s="46"/>
      <c r="E1439" s="46"/>
      <c r="F1439" s="46"/>
      <c r="G1439" s="46"/>
    </row>
    <row r="1440" spans="4:7">
      <c r="D1440" s="46"/>
      <c r="E1440" s="46"/>
      <c r="F1440" s="46"/>
      <c r="G1440" s="46"/>
    </row>
    <row r="1441" spans="4:7">
      <c r="D1441" s="46"/>
      <c r="E1441" s="46"/>
      <c r="F1441" s="46"/>
      <c r="G1441" s="46"/>
    </row>
    <row r="1442" spans="4:7">
      <c r="D1442" s="46"/>
      <c r="E1442" s="46"/>
      <c r="F1442" s="46"/>
      <c r="G1442" s="46"/>
    </row>
    <row r="1443" spans="4:7">
      <c r="D1443" s="46"/>
      <c r="E1443" s="46"/>
      <c r="F1443" s="46"/>
      <c r="G1443" s="46"/>
    </row>
    <row r="1444" spans="4:7">
      <c r="D1444" s="46"/>
      <c r="E1444" s="46"/>
      <c r="F1444" s="46"/>
      <c r="G1444" s="46"/>
    </row>
    <row r="1445" spans="4:7">
      <c r="D1445" s="46"/>
      <c r="E1445" s="46"/>
      <c r="F1445" s="46"/>
      <c r="G1445" s="46"/>
    </row>
    <row r="1446" spans="4:7">
      <c r="D1446" s="46"/>
      <c r="E1446" s="46"/>
      <c r="F1446" s="46"/>
      <c r="G1446" s="46"/>
    </row>
    <row r="1447" spans="4:7">
      <c r="D1447" s="46"/>
      <c r="E1447" s="46"/>
      <c r="F1447" s="46"/>
      <c r="G1447" s="46"/>
    </row>
    <row r="1448" spans="4:7">
      <c r="D1448" s="46"/>
      <c r="E1448" s="46"/>
      <c r="F1448" s="46"/>
      <c r="G1448" s="46"/>
    </row>
    <row r="1449" spans="4:7">
      <c r="D1449" s="46"/>
      <c r="E1449" s="46"/>
      <c r="F1449" s="46"/>
      <c r="G1449" s="46"/>
    </row>
    <row r="1450" spans="4:7">
      <c r="D1450" s="46"/>
      <c r="E1450" s="46"/>
      <c r="F1450" s="46"/>
      <c r="G1450" s="46"/>
    </row>
    <row r="1451" spans="4:7">
      <c r="D1451" s="46"/>
      <c r="E1451" s="46"/>
      <c r="F1451" s="46"/>
      <c r="G1451" s="46"/>
    </row>
    <row r="1452" spans="4:7">
      <c r="D1452" s="46"/>
      <c r="E1452" s="46"/>
      <c r="F1452" s="46"/>
      <c r="G1452" s="46"/>
    </row>
    <row r="1453" spans="4:7">
      <c r="D1453" s="46"/>
      <c r="E1453" s="46"/>
      <c r="F1453" s="46"/>
      <c r="G1453" s="46"/>
    </row>
    <row r="1454" spans="4:7">
      <c r="D1454" s="46"/>
      <c r="E1454" s="46"/>
      <c r="F1454" s="46"/>
      <c r="G1454" s="46"/>
    </row>
    <row r="1455" spans="4:7">
      <c r="D1455" s="46"/>
      <c r="E1455" s="46"/>
      <c r="F1455" s="46"/>
      <c r="G1455" s="46"/>
    </row>
    <row r="1456" spans="4:7">
      <c r="D1456" s="46"/>
      <c r="E1456" s="46"/>
      <c r="F1456" s="46"/>
      <c r="G1456" s="46"/>
    </row>
    <row r="1457" spans="4:7">
      <c r="D1457" s="46"/>
      <c r="E1457" s="46"/>
      <c r="F1457" s="46"/>
      <c r="G1457" s="46"/>
    </row>
    <row r="1458" spans="4:7">
      <c r="D1458" s="46"/>
      <c r="E1458" s="46"/>
      <c r="F1458" s="46"/>
      <c r="G1458" s="46"/>
    </row>
    <row r="1459" spans="4:7">
      <c r="D1459" s="46"/>
      <c r="E1459" s="46"/>
      <c r="F1459" s="46"/>
      <c r="G1459" s="46"/>
    </row>
    <row r="1460" spans="4:7">
      <c r="D1460" s="46"/>
      <c r="E1460" s="46"/>
      <c r="F1460" s="46"/>
      <c r="G1460" s="46"/>
    </row>
    <row r="1461" spans="4:7">
      <c r="D1461" s="46"/>
      <c r="E1461" s="46"/>
      <c r="F1461" s="46"/>
      <c r="G1461" s="46"/>
    </row>
    <row r="1462" spans="4:7">
      <c r="D1462" s="46"/>
      <c r="E1462" s="46"/>
      <c r="F1462" s="46"/>
      <c r="G1462" s="46"/>
    </row>
    <row r="1463" spans="4:7">
      <c r="D1463" s="46"/>
      <c r="E1463" s="46"/>
      <c r="F1463" s="46"/>
      <c r="G1463" s="46"/>
    </row>
    <row r="1464" spans="4:7">
      <c r="D1464" s="46"/>
      <c r="E1464" s="46"/>
      <c r="F1464" s="46"/>
      <c r="G1464" s="46"/>
    </row>
    <row r="1465" spans="4:7">
      <c r="D1465" s="46"/>
      <c r="E1465" s="46"/>
      <c r="F1465" s="46"/>
      <c r="G1465" s="46"/>
    </row>
    <row r="1466" spans="4:7">
      <c r="D1466" s="46"/>
      <c r="E1466" s="46"/>
      <c r="F1466" s="46"/>
      <c r="G1466" s="46"/>
    </row>
    <row r="1467" spans="4:7">
      <c r="D1467" s="46"/>
      <c r="E1467" s="46"/>
      <c r="F1467" s="46"/>
      <c r="G1467" s="46"/>
    </row>
    <row r="1468" spans="4:7">
      <c r="D1468" s="46"/>
      <c r="E1468" s="46"/>
      <c r="F1468" s="46"/>
      <c r="G1468" s="46"/>
    </row>
    <row r="1469" spans="4:7">
      <c r="D1469" s="46"/>
      <c r="E1469" s="46"/>
      <c r="F1469" s="46"/>
      <c r="G1469" s="46"/>
    </row>
    <row r="1470" spans="4:7">
      <c r="D1470" s="46"/>
      <c r="E1470" s="46"/>
      <c r="F1470" s="46"/>
      <c r="G1470" s="46"/>
    </row>
    <row r="1471" spans="4:7">
      <c r="D1471" s="46"/>
      <c r="E1471" s="46"/>
      <c r="F1471" s="46"/>
      <c r="G1471" s="46"/>
    </row>
    <row r="1472" spans="4:7">
      <c r="D1472" s="46"/>
      <c r="E1472" s="46"/>
      <c r="F1472" s="46"/>
      <c r="G1472" s="46"/>
    </row>
    <row r="1473" spans="4:7">
      <c r="D1473" s="46"/>
      <c r="E1473" s="46"/>
      <c r="F1473" s="46"/>
      <c r="G1473" s="46"/>
    </row>
    <row r="1474" spans="4:7">
      <c r="D1474" s="46"/>
      <c r="E1474" s="46"/>
      <c r="F1474" s="46"/>
      <c r="G1474" s="46"/>
    </row>
    <row r="1475" spans="4:7">
      <c r="D1475" s="46"/>
      <c r="E1475" s="46"/>
      <c r="F1475" s="46"/>
      <c r="G1475" s="46"/>
    </row>
    <row r="1476" spans="4:7">
      <c r="D1476" s="46"/>
      <c r="E1476" s="46"/>
      <c r="F1476" s="46"/>
      <c r="G1476" s="46"/>
    </row>
    <row r="1477" spans="4:7">
      <c r="D1477" s="46"/>
      <c r="E1477" s="46"/>
      <c r="F1477" s="46"/>
      <c r="G1477" s="46"/>
    </row>
    <row r="1478" spans="4:7">
      <c r="D1478" s="46"/>
      <c r="E1478" s="46"/>
      <c r="F1478" s="46"/>
      <c r="G1478" s="46"/>
    </row>
    <row r="1479" spans="4:7">
      <c r="D1479" s="46"/>
      <c r="E1479" s="46"/>
      <c r="F1479" s="46"/>
      <c r="G1479" s="46"/>
    </row>
    <row r="1480" spans="4:7">
      <c r="D1480" s="46"/>
      <c r="E1480" s="46"/>
      <c r="F1480" s="46"/>
      <c r="G1480" s="46"/>
    </row>
    <row r="1481" spans="4:7">
      <c r="D1481" s="46"/>
      <c r="E1481" s="46"/>
      <c r="F1481" s="46"/>
      <c r="G1481" s="46"/>
    </row>
    <row r="1482" spans="4:7">
      <c r="D1482" s="46"/>
      <c r="E1482" s="46"/>
      <c r="F1482" s="46"/>
      <c r="G1482" s="46"/>
    </row>
    <row r="1483" spans="4:7">
      <c r="D1483" s="46"/>
      <c r="E1483" s="46"/>
      <c r="F1483" s="46"/>
      <c r="G1483" s="46"/>
    </row>
    <row r="1484" spans="4:7">
      <c r="D1484" s="46"/>
      <c r="E1484" s="46"/>
      <c r="F1484" s="46"/>
      <c r="G1484" s="46"/>
    </row>
    <row r="1485" spans="4:7">
      <c r="D1485" s="46"/>
      <c r="E1485" s="46"/>
      <c r="F1485" s="46"/>
      <c r="G1485" s="46"/>
    </row>
    <row r="1486" spans="4:7">
      <c r="D1486" s="46"/>
      <c r="E1486" s="46"/>
      <c r="F1486" s="46"/>
      <c r="G1486" s="46"/>
    </row>
    <row r="1487" spans="4:7">
      <c r="D1487" s="46"/>
      <c r="E1487" s="46"/>
      <c r="F1487" s="46"/>
      <c r="G1487" s="46"/>
    </row>
    <row r="1488" spans="4:7">
      <c r="D1488" s="46"/>
      <c r="E1488" s="46"/>
      <c r="F1488" s="46"/>
      <c r="G1488" s="46"/>
    </row>
    <row r="1489" spans="4:7">
      <c r="D1489" s="46"/>
      <c r="E1489" s="46"/>
      <c r="F1489" s="46"/>
      <c r="G1489" s="46"/>
    </row>
    <row r="1490" spans="4:7">
      <c r="D1490" s="46"/>
      <c r="E1490" s="46"/>
      <c r="F1490" s="46"/>
      <c r="G1490" s="46"/>
    </row>
    <row r="1491" spans="4:7">
      <c r="D1491" s="46"/>
      <c r="E1491" s="46"/>
      <c r="F1491" s="46"/>
      <c r="G1491" s="46"/>
    </row>
    <row r="1492" spans="4:7">
      <c r="D1492" s="46"/>
      <c r="E1492" s="46"/>
      <c r="F1492" s="46"/>
      <c r="G1492" s="46"/>
    </row>
    <row r="1493" spans="4:7">
      <c r="D1493" s="46"/>
      <c r="E1493" s="46"/>
      <c r="F1493" s="46"/>
      <c r="G1493" s="46"/>
    </row>
    <row r="1494" spans="4:7">
      <c r="D1494" s="46"/>
      <c r="E1494" s="46"/>
      <c r="F1494" s="46"/>
      <c r="G1494" s="46"/>
    </row>
    <row r="1495" spans="4:7">
      <c r="D1495" s="46"/>
      <c r="E1495" s="46"/>
      <c r="F1495" s="46"/>
      <c r="G1495" s="46"/>
    </row>
    <row r="1496" spans="4:7">
      <c r="D1496" s="46"/>
      <c r="E1496" s="46"/>
      <c r="F1496" s="46"/>
      <c r="G1496" s="46"/>
    </row>
    <row r="1497" spans="4:7">
      <c r="D1497" s="46"/>
      <c r="E1497" s="46"/>
      <c r="F1497" s="46"/>
      <c r="G1497" s="46"/>
    </row>
    <row r="1498" spans="4:7">
      <c r="D1498" s="46"/>
      <c r="E1498" s="46"/>
      <c r="F1498" s="46"/>
      <c r="G1498" s="46"/>
    </row>
    <row r="1499" spans="4:7">
      <c r="D1499" s="46"/>
      <c r="E1499" s="46"/>
      <c r="F1499" s="46"/>
      <c r="G1499" s="46"/>
    </row>
    <row r="1500" spans="4:7">
      <c r="D1500" s="46"/>
      <c r="E1500" s="46"/>
      <c r="F1500" s="46"/>
      <c r="G1500" s="46"/>
    </row>
    <row r="1501" spans="4:7">
      <c r="D1501" s="46"/>
      <c r="E1501" s="46"/>
      <c r="F1501" s="46"/>
      <c r="G1501" s="46"/>
    </row>
    <row r="1502" spans="4:7">
      <c r="D1502" s="46"/>
      <c r="E1502" s="46"/>
      <c r="F1502" s="46"/>
      <c r="G1502" s="46"/>
    </row>
    <row r="1503" spans="4:7">
      <c r="D1503" s="46"/>
      <c r="E1503" s="46"/>
      <c r="F1503" s="46"/>
      <c r="G1503" s="46"/>
    </row>
    <row r="1504" spans="4:7">
      <c r="D1504" s="46"/>
      <c r="E1504" s="46"/>
      <c r="F1504" s="46"/>
      <c r="G1504" s="46"/>
    </row>
    <row r="1505" spans="4:7">
      <c r="D1505" s="46"/>
      <c r="E1505" s="46"/>
      <c r="F1505" s="46"/>
      <c r="G1505" s="46"/>
    </row>
    <row r="1506" spans="4:7">
      <c r="D1506" s="46"/>
      <c r="E1506" s="46"/>
      <c r="F1506" s="46"/>
      <c r="G1506" s="46"/>
    </row>
    <row r="1507" spans="4:7">
      <c r="D1507" s="46"/>
      <c r="E1507" s="46"/>
      <c r="F1507" s="46"/>
      <c r="G1507" s="46"/>
    </row>
    <row r="1508" spans="4:7">
      <c r="D1508" s="46"/>
      <c r="E1508" s="46"/>
      <c r="F1508" s="46"/>
      <c r="G1508" s="46"/>
    </row>
    <row r="1509" spans="4:7">
      <c r="D1509" s="46"/>
      <c r="E1509" s="46"/>
      <c r="F1509" s="46"/>
      <c r="G1509" s="46"/>
    </row>
    <row r="1510" spans="4:7">
      <c r="D1510" s="46"/>
      <c r="E1510" s="46"/>
      <c r="F1510" s="46"/>
      <c r="G1510" s="46"/>
    </row>
    <row r="1511" spans="4:7">
      <c r="D1511" s="46"/>
      <c r="E1511" s="46"/>
      <c r="F1511" s="46"/>
      <c r="G1511" s="46"/>
    </row>
    <row r="1512" spans="4:7">
      <c r="D1512" s="46"/>
      <c r="E1512" s="46"/>
      <c r="F1512" s="46"/>
      <c r="G1512" s="46"/>
    </row>
    <row r="1513" spans="4:7">
      <c r="D1513" s="46"/>
      <c r="E1513" s="46"/>
      <c r="F1513" s="46"/>
      <c r="G1513" s="46"/>
    </row>
    <row r="1514" spans="4:7">
      <c r="D1514" s="46"/>
      <c r="E1514" s="46"/>
      <c r="F1514" s="46"/>
      <c r="G1514" s="46"/>
    </row>
    <row r="1515" spans="4:7">
      <c r="D1515" s="46"/>
      <c r="E1515" s="46"/>
      <c r="F1515" s="46"/>
      <c r="G1515" s="46"/>
    </row>
    <row r="1516" spans="4:7">
      <c r="D1516" s="46"/>
      <c r="E1516" s="46"/>
      <c r="F1516" s="46"/>
      <c r="G1516" s="46"/>
    </row>
    <row r="1517" spans="4:7">
      <c r="D1517" s="46"/>
      <c r="E1517" s="46"/>
      <c r="F1517" s="46"/>
      <c r="G1517" s="46"/>
    </row>
    <row r="1518" spans="4:7">
      <c r="D1518" s="46"/>
      <c r="E1518" s="46"/>
      <c r="F1518" s="46"/>
      <c r="G1518" s="46"/>
    </row>
    <row r="1519" spans="4:7">
      <c r="D1519" s="46"/>
      <c r="E1519" s="46"/>
      <c r="F1519" s="46"/>
      <c r="G1519" s="46"/>
    </row>
    <row r="1520" spans="4:7">
      <c r="D1520" s="46"/>
      <c r="E1520" s="46"/>
      <c r="F1520" s="46"/>
      <c r="G1520" s="46"/>
    </row>
    <row r="1521" spans="4:7">
      <c r="D1521" s="46"/>
      <c r="E1521" s="46"/>
      <c r="F1521" s="46"/>
      <c r="G1521" s="46"/>
    </row>
    <row r="1522" spans="4:7">
      <c r="D1522" s="46"/>
      <c r="E1522" s="46"/>
      <c r="F1522" s="46"/>
      <c r="G1522" s="46"/>
    </row>
    <row r="1523" spans="4:7">
      <c r="D1523" s="46"/>
      <c r="E1523" s="46"/>
      <c r="F1523" s="46"/>
      <c r="G1523" s="46"/>
    </row>
    <row r="1524" spans="4:7">
      <c r="D1524" s="46"/>
      <c r="E1524" s="46"/>
      <c r="F1524" s="46"/>
      <c r="G1524" s="46"/>
    </row>
    <row r="1525" spans="4:7">
      <c r="D1525" s="46"/>
      <c r="E1525" s="46"/>
      <c r="F1525" s="46"/>
      <c r="G1525" s="46"/>
    </row>
    <row r="1526" spans="4:7">
      <c r="D1526" s="46"/>
      <c r="E1526" s="46"/>
      <c r="F1526" s="46"/>
      <c r="G1526" s="46"/>
    </row>
    <row r="1527" spans="4:7">
      <c r="D1527" s="46"/>
      <c r="E1527" s="46"/>
      <c r="F1527" s="46"/>
      <c r="G1527" s="46"/>
    </row>
    <row r="1528" spans="4:7">
      <c r="D1528" s="46"/>
      <c r="E1528" s="46"/>
      <c r="F1528" s="46"/>
      <c r="G1528" s="46"/>
    </row>
    <row r="1529" spans="4:7">
      <c r="D1529" s="46"/>
      <c r="E1529" s="46"/>
      <c r="F1529" s="46"/>
      <c r="G1529" s="46"/>
    </row>
    <row r="1530" spans="4:7">
      <c r="D1530" s="46"/>
      <c r="E1530" s="46"/>
      <c r="F1530" s="46"/>
      <c r="G1530" s="46"/>
    </row>
    <row r="1531" spans="4:7">
      <c r="D1531" s="46"/>
      <c r="E1531" s="46"/>
      <c r="F1531" s="46"/>
      <c r="G1531" s="46"/>
    </row>
    <row r="1532" spans="4:7">
      <c r="D1532" s="46"/>
      <c r="E1532" s="46"/>
      <c r="F1532" s="46"/>
      <c r="G1532" s="46"/>
    </row>
    <row r="1533" spans="4:7">
      <c r="D1533" s="46"/>
      <c r="E1533" s="46"/>
      <c r="F1533" s="46"/>
      <c r="G1533" s="46"/>
    </row>
    <row r="1534" spans="4:7">
      <c r="D1534" s="46"/>
      <c r="E1534" s="46"/>
      <c r="F1534" s="46"/>
      <c r="G1534" s="46"/>
    </row>
    <row r="1535" spans="4:7">
      <c r="D1535" s="46"/>
      <c r="E1535" s="46"/>
      <c r="F1535" s="46"/>
      <c r="G1535" s="46"/>
    </row>
    <row r="1536" spans="4:7">
      <c r="D1536" s="46"/>
      <c r="E1536" s="46"/>
      <c r="F1536" s="46"/>
      <c r="G1536" s="46"/>
    </row>
    <row r="1537" spans="4:7">
      <c r="D1537" s="46"/>
      <c r="E1537" s="46"/>
      <c r="F1537" s="46"/>
      <c r="G1537" s="46"/>
    </row>
    <row r="1538" spans="4:7">
      <c r="D1538" s="46"/>
      <c r="E1538" s="46"/>
      <c r="F1538" s="46"/>
      <c r="G1538" s="46"/>
    </row>
    <row r="1539" spans="4:7">
      <c r="D1539" s="46"/>
      <c r="E1539" s="46"/>
      <c r="F1539" s="46"/>
      <c r="G1539" s="46"/>
    </row>
    <row r="1540" spans="4:7">
      <c r="D1540" s="46"/>
      <c r="E1540" s="46"/>
      <c r="F1540" s="46"/>
      <c r="G1540" s="46"/>
    </row>
    <row r="1541" spans="4:7">
      <c r="D1541" s="46"/>
      <c r="E1541" s="46"/>
      <c r="F1541" s="46"/>
      <c r="G1541" s="46"/>
    </row>
    <row r="1542" spans="4:7">
      <c r="D1542" s="46"/>
      <c r="E1542" s="46"/>
      <c r="F1542" s="46"/>
      <c r="G1542" s="46"/>
    </row>
    <row r="1543" spans="4:7">
      <c r="D1543" s="46"/>
      <c r="E1543" s="46"/>
      <c r="F1543" s="46"/>
      <c r="G1543" s="46"/>
    </row>
    <row r="1544" spans="4:7">
      <c r="D1544" s="46"/>
      <c r="E1544" s="46"/>
      <c r="F1544" s="46"/>
      <c r="G1544" s="46"/>
    </row>
    <row r="1545" spans="4:7">
      <c r="D1545" s="46"/>
      <c r="E1545" s="46"/>
      <c r="F1545" s="46"/>
      <c r="G1545" s="46"/>
    </row>
    <row r="1546" spans="4:7">
      <c r="D1546" s="46"/>
      <c r="E1546" s="46"/>
      <c r="F1546" s="46"/>
      <c r="G1546" s="46"/>
    </row>
    <row r="1547" spans="4:7">
      <c r="D1547" s="46"/>
      <c r="E1547" s="46"/>
      <c r="F1547" s="46"/>
      <c r="G1547" s="46"/>
    </row>
    <row r="1548" spans="4:7">
      <c r="D1548" s="46"/>
      <c r="E1548" s="46"/>
      <c r="F1548" s="46"/>
      <c r="G1548" s="46"/>
    </row>
    <row r="1549" spans="4:7">
      <c r="D1549" s="46"/>
      <c r="E1549" s="46"/>
      <c r="F1549" s="46"/>
      <c r="G1549" s="46"/>
    </row>
    <row r="1550" spans="4:7">
      <c r="D1550" s="46"/>
      <c r="E1550" s="46"/>
      <c r="F1550" s="46"/>
      <c r="G1550" s="46"/>
    </row>
    <row r="1551" spans="4:7">
      <c r="D1551" s="46"/>
      <c r="E1551" s="46"/>
      <c r="F1551" s="46"/>
      <c r="G1551" s="46"/>
    </row>
    <row r="1552" spans="4:7">
      <c r="D1552" s="46"/>
      <c r="E1552" s="46"/>
      <c r="F1552" s="46"/>
      <c r="G1552" s="46"/>
    </row>
    <row r="1553" spans="4:7">
      <c r="D1553" s="46"/>
      <c r="E1553" s="46"/>
      <c r="F1553" s="46"/>
      <c r="G1553" s="46"/>
    </row>
    <row r="1554" spans="4:7">
      <c r="D1554" s="46"/>
      <c r="E1554" s="46"/>
      <c r="F1554" s="46"/>
      <c r="G1554" s="46"/>
    </row>
    <row r="1555" spans="4:7">
      <c r="D1555" s="46"/>
      <c r="E1555" s="46"/>
      <c r="F1555" s="46"/>
      <c r="G1555" s="46"/>
    </row>
    <row r="1556" spans="4:7">
      <c r="D1556" s="46"/>
      <c r="E1556" s="46"/>
      <c r="F1556" s="46"/>
      <c r="G1556" s="46"/>
    </row>
    <row r="1557" spans="4:7">
      <c r="D1557" s="46"/>
      <c r="E1557" s="46"/>
      <c r="F1557" s="46"/>
      <c r="G1557" s="46"/>
    </row>
    <row r="1558" spans="4:7">
      <c r="D1558" s="46"/>
      <c r="E1558" s="46"/>
      <c r="F1558" s="46"/>
      <c r="G1558" s="46"/>
    </row>
    <row r="1559" spans="4:7">
      <c r="D1559" s="46"/>
      <c r="E1559" s="46"/>
      <c r="F1559" s="46"/>
      <c r="G1559" s="46"/>
    </row>
    <row r="1560" spans="4:7">
      <c r="D1560" s="46"/>
      <c r="E1560" s="46"/>
      <c r="F1560" s="46"/>
      <c r="G1560" s="46"/>
    </row>
    <row r="1561" spans="4:7">
      <c r="D1561" s="46"/>
      <c r="E1561" s="46"/>
      <c r="F1561" s="46"/>
      <c r="G1561" s="46"/>
    </row>
    <row r="1562" spans="4:7">
      <c r="D1562" s="46"/>
      <c r="E1562" s="46"/>
      <c r="F1562" s="46"/>
      <c r="G1562" s="46"/>
    </row>
    <row r="1563" spans="4:7">
      <c r="D1563" s="46"/>
      <c r="E1563" s="46"/>
      <c r="F1563" s="46"/>
      <c r="G1563" s="46"/>
    </row>
    <row r="1564" spans="4:7">
      <c r="D1564" s="46"/>
      <c r="E1564" s="46"/>
      <c r="F1564" s="46"/>
      <c r="G1564" s="46"/>
    </row>
    <row r="1565" spans="4:7">
      <c r="D1565" s="46"/>
      <c r="E1565" s="46"/>
      <c r="F1565" s="46"/>
      <c r="G1565" s="46"/>
    </row>
    <row r="1566" spans="4:7">
      <c r="D1566" s="46"/>
      <c r="E1566" s="46"/>
      <c r="F1566" s="46"/>
      <c r="G1566" s="46"/>
    </row>
    <row r="1567" spans="4:7">
      <c r="D1567" s="46"/>
      <c r="E1567" s="46"/>
      <c r="F1567" s="46"/>
      <c r="G1567" s="46"/>
    </row>
    <row r="1568" spans="4:7">
      <c r="D1568" s="46"/>
      <c r="E1568" s="46"/>
      <c r="F1568" s="46"/>
      <c r="G1568" s="46"/>
    </row>
    <row r="1569" spans="4:7">
      <c r="D1569" s="46"/>
      <c r="E1569" s="46"/>
      <c r="F1569" s="46"/>
      <c r="G1569" s="46"/>
    </row>
    <row r="1570" spans="4:7">
      <c r="D1570" s="46"/>
      <c r="E1570" s="46"/>
      <c r="F1570" s="46"/>
      <c r="G1570" s="46"/>
    </row>
    <row r="1571" spans="4:7">
      <c r="D1571" s="46"/>
      <c r="E1571" s="46"/>
      <c r="F1571" s="46"/>
      <c r="G1571" s="46"/>
    </row>
    <row r="1572" spans="4:7">
      <c r="D1572" s="46"/>
      <c r="E1572" s="46"/>
      <c r="F1572" s="46"/>
      <c r="G1572" s="46"/>
    </row>
    <row r="1573" spans="4:7">
      <c r="D1573" s="46"/>
      <c r="E1573" s="46"/>
      <c r="F1573" s="46"/>
      <c r="G1573" s="46"/>
    </row>
    <row r="1574" spans="4:7">
      <c r="D1574" s="46"/>
      <c r="E1574" s="46"/>
      <c r="F1574" s="46"/>
      <c r="G1574" s="46"/>
    </row>
    <row r="1575" spans="4:7">
      <c r="D1575" s="46"/>
      <c r="E1575" s="46"/>
      <c r="F1575" s="46"/>
      <c r="G1575" s="46"/>
    </row>
    <row r="1576" spans="4:7">
      <c r="D1576" s="46"/>
      <c r="E1576" s="46"/>
      <c r="F1576" s="46"/>
      <c r="G1576" s="46"/>
    </row>
    <row r="1577" spans="4:7">
      <c r="D1577" s="46"/>
      <c r="E1577" s="46"/>
      <c r="F1577" s="46"/>
      <c r="G1577" s="46"/>
    </row>
    <row r="1578" spans="4:7">
      <c r="D1578" s="46"/>
      <c r="E1578" s="46"/>
      <c r="F1578" s="46"/>
      <c r="G1578" s="46"/>
    </row>
    <row r="1579" spans="4:7">
      <c r="D1579" s="46"/>
      <c r="E1579" s="46"/>
      <c r="F1579" s="46"/>
      <c r="G1579" s="46"/>
    </row>
    <row r="1580" spans="4:7">
      <c r="D1580" s="46"/>
      <c r="E1580" s="46"/>
      <c r="F1580" s="46"/>
      <c r="G1580" s="46"/>
    </row>
    <row r="1581" spans="4:7">
      <c r="D1581" s="46"/>
      <c r="E1581" s="46"/>
      <c r="F1581" s="46"/>
      <c r="G1581" s="46"/>
    </row>
    <row r="1582" spans="4:7">
      <c r="D1582" s="46"/>
      <c r="E1582" s="46"/>
      <c r="F1582" s="46"/>
      <c r="G1582" s="46"/>
    </row>
    <row r="1583" spans="4:7">
      <c r="D1583" s="46"/>
      <c r="E1583" s="46"/>
      <c r="F1583" s="46"/>
      <c r="G1583" s="46"/>
    </row>
    <row r="1584" spans="4:7">
      <c r="D1584" s="46"/>
      <c r="E1584" s="46"/>
      <c r="F1584" s="46"/>
      <c r="G1584" s="46"/>
    </row>
    <row r="1585" spans="4:7">
      <c r="D1585" s="46"/>
      <c r="E1585" s="46"/>
      <c r="F1585" s="46"/>
      <c r="G1585" s="46"/>
    </row>
    <row r="1586" spans="4:7">
      <c r="D1586" s="46"/>
      <c r="E1586" s="46"/>
      <c r="F1586" s="46"/>
      <c r="G1586" s="46"/>
    </row>
    <row r="1587" spans="4:7">
      <c r="D1587" s="46"/>
      <c r="E1587" s="46"/>
      <c r="F1587" s="46"/>
      <c r="G1587" s="46"/>
    </row>
    <row r="1588" spans="4:7">
      <c r="D1588" s="46"/>
      <c r="E1588" s="46"/>
      <c r="F1588" s="46"/>
      <c r="G1588" s="46"/>
    </row>
    <row r="1589" spans="4:7">
      <c r="D1589" s="46"/>
      <c r="E1589" s="46"/>
      <c r="F1589" s="46"/>
      <c r="G1589" s="46"/>
    </row>
    <row r="1590" spans="4:7">
      <c r="D1590" s="46"/>
      <c r="E1590" s="46"/>
      <c r="F1590" s="46"/>
      <c r="G1590" s="46"/>
    </row>
    <row r="1591" spans="4:7">
      <c r="D1591" s="46"/>
      <c r="E1591" s="46"/>
      <c r="F1591" s="46"/>
      <c r="G1591" s="46"/>
    </row>
    <row r="1592" spans="4:7">
      <c r="D1592" s="46"/>
      <c r="E1592" s="46"/>
      <c r="F1592" s="46"/>
      <c r="G1592" s="46"/>
    </row>
    <row r="1593" spans="4:7">
      <c r="D1593" s="46"/>
      <c r="E1593" s="46"/>
      <c r="F1593" s="46"/>
      <c r="G1593" s="46"/>
    </row>
    <row r="1594" spans="4:7">
      <c r="D1594" s="46"/>
      <c r="E1594" s="46"/>
      <c r="F1594" s="46"/>
      <c r="G1594" s="46"/>
    </row>
    <row r="1595" spans="4:7">
      <c r="D1595" s="46"/>
      <c r="E1595" s="46"/>
      <c r="F1595" s="46"/>
      <c r="G1595" s="46"/>
    </row>
    <row r="1596" spans="4:7">
      <c r="D1596" s="46"/>
      <c r="E1596" s="46"/>
      <c r="F1596" s="46"/>
      <c r="G1596" s="46"/>
    </row>
    <row r="1597" spans="4:7">
      <c r="D1597" s="46"/>
      <c r="E1597" s="46"/>
      <c r="F1597" s="46"/>
      <c r="G1597" s="46"/>
    </row>
    <row r="1598" spans="4:7">
      <c r="D1598" s="46"/>
      <c r="E1598" s="46"/>
      <c r="F1598" s="46"/>
      <c r="G1598" s="46"/>
    </row>
    <row r="1599" spans="4:7">
      <c r="D1599" s="46"/>
      <c r="E1599" s="46"/>
      <c r="F1599" s="46"/>
      <c r="G1599" s="46"/>
    </row>
    <row r="1600" spans="4:7">
      <c r="D1600" s="46"/>
      <c r="E1600" s="46"/>
      <c r="F1600" s="46"/>
      <c r="G1600" s="46"/>
    </row>
    <row r="1601" spans="4:7">
      <c r="D1601" s="46"/>
      <c r="E1601" s="46"/>
      <c r="F1601" s="46"/>
      <c r="G1601" s="46"/>
    </row>
    <row r="1602" spans="4:7">
      <c r="D1602" s="46"/>
      <c r="E1602" s="46"/>
      <c r="F1602" s="46"/>
      <c r="G1602" s="46"/>
    </row>
    <row r="1603" spans="4:7">
      <c r="D1603" s="46"/>
      <c r="E1603" s="46"/>
      <c r="F1603" s="46"/>
      <c r="G1603" s="46"/>
    </row>
    <row r="1604" spans="4:7">
      <c r="D1604" s="46"/>
      <c r="E1604" s="46"/>
      <c r="F1604" s="46"/>
      <c r="G1604" s="46"/>
    </row>
    <row r="1605" spans="4:7">
      <c r="D1605" s="46"/>
      <c r="E1605" s="46"/>
      <c r="F1605" s="46"/>
      <c r="G1605" s="46"/>
    </row>
    <row r="1606" spans="4:7">
      <c r="D1606" s="46"/>
      <c r="E1606" s="46"/>
      <c r="F1606" s="46"/>
      <c r="G1606" s="46"/>
    </row>
    <row r="1607" spans="4:7">
      <c r="D1607" s="46"/>
      <c r="E1607" s="46"/>
      <c r="F1607" s="46"/>
      <c r="G1607" s="46"/>
    </row>
    <row r="1608" spans="4:7">
      <c r="D1608" s="46"/>
      <c r="E1608" s="46"/>
      <c r="F1608" s="46"/>
      <c r="G1608" s="46"/>
    </row>
    <row r="1609" spans="4:7">
      <c r="D1609" s="46"/>
      <c r="E1609" s="46"/>
      <c r="F1609" s="46"/>
      <c r="G1609" s="46"/>
    </row>
    <row r="1610" spans="4:7">
      <c r="D1610" s="46"/>
      <c r="E1610" s="46"/>
      <c r="F1610" s="46"/>
      <c r="G1610" s="46"/>
    </row>
    <row r="1611" spans="4:7">
      <c r="D1611" s="46"/>
      <c r="E1611" s="46"/>
      <c r="F1611" s="46"/>
      <c r="G1611" s="46"/>
    </row>
    <row r="1612" spans="4:7">
      <c r="D1612" s="46"/>
      <c r="E1612" s="46"/>
      <c r="F1612" s="46"/>
      <c r="G1612" s="46"/>
    </row>
    <row r="1613" spans="4:7">
      <c r="D1613" s="46"/>
      <c r="E1613" s="46"/>
      <c r="F1613" s="46"/>
      <c r="G1613" s="46"/>
    </row>
    <row r="1614" spans="4:7">
      <c r="D1614" s="46"/>
      <c r="E1614" s="46"/>
      <c r="F1614" s="46"/>
      <c r="G1614" s="46"/>
    </row>
    <row r="1615" spans="4:7">
      <c r="D1615" s="46"/>
      <c r="E1615" s="46"/>
      <c r="F1615" s="46"/>
      <c r="G1615" s="46"/>
    </row>
    <row r="1616" spans="4:7">
      <c r="D1616" s="46"/>
      <c r="E1616" s="46"/>
      <c r="F1616" s="46"/>
      <c r="G1616" s="46"/>
    </row>
    <row r="1617" spans="4:7">
      <c r="D1617" s="46"/>
      <c r="E1617" s="46"/>
      <c r="F1617" s="46"/>
      <c r="G1617" s="46"/>
    </row>
    <row r="1618" spans="4:7">
      <c r="D1618" s="46"/>
      <c r="E1618" s="46"/>
      <c r="F1618" s="46"/>
      <c r="G1618" s="46"/>
    </row>
    <row r="1619" spans="4:7">
      <c r="D1619" s="46"/>
      <c r="E1619" s="46"/>
      <c r="F1619" s="46"/>
      <c r="G1619" s="46"/>
    </row>
    <row r="1620" spans="4:7">
      <c r="D1620" s="46"/>
      <c r="E1620" s="46"/>
      <c r="F1620" s="46"/>
      <c r="G1620" s="46"/>
    </row>
    <row r="1621" spans="4:7">
      <c r="D1621" s="46"/>
      <c r="E1621" s="46"/>
      <c r="F1621" s="46"/>
      <c r="G1621" s="46"/>
    </row>
    <row r="1622" spans="4:7">
      <c r="D1622" s="46"/>
      <c r="E1622" s="46"/>
      <c r="F1622" s="46"/>
      <c r="G1622" s="46"/>
    </row>
    <row r="1623" spans="4:7">
      <c r="D1623" s="46"/>
      <c r="E1623" s="46"/>
      <c r="F1623" s="46"/>
      <c r="G1623" s="46"/>
    </row>
    <row r="1624" spans="4:7">
      <c r="D1624" s="46"/>
      <c r="E1624" s="46"/>
      <c r="F1624" s="46"/>
      <c r="G1624" s="46"/>
    </row>
    <row r="1625" spans="4:7">
      <c r="D1625" s="46"/>
      <c r="E1625" s="46"/>
      <c r="F1625" s="46"/>
      <c r="G1625" s="46"/>
    </row>
    <row r="1626" spans="4:7">
      <c r="D1626" s="46"/>
      <c r="E1626" s="46"/>
      <c r="F1626" s="46"/>
      <c r="G1626" s="46"/>
    </row>
    <row r="1627" spans="4:7">
      <c r="D1627" s="46"/>
      <c r="E1627" s="46"/>
      <c r="F1627" s="46"/>
      <c r="G1627" s="46"/>
    </row>
    <row r="1628" spans="4:7">
      <c r="D1628" s="46"/>
      <c r="E1628" s="46"/>
      <c r="F1628" s="46"/>
      <c r="G1628" s="46"/>
    </row>
    <row r="1629" spans="4:7">
      <c r="D1629" s="46"/>
      <c r="E1629" s="46"/>
      <c r="F1629" s="46"/>
      <c r="G1629" s="46"/>
    </row>
    <row r="1630" spans="4:7">
      <c r="D1630" s="46"/>
      <c r="E1630" s="46"/>
      <c r="F1630" s="46"/>
      <c r="G1630" s="46"/>
    </row>
    <row r="1631" spans="4:7">
      <c r="D1631" s="46"/>
      <c r="E1631" s="46"/>
      <c r="F1631" s="46"/>
      <c r="G1631" s="46"/>
    </row>
    <row r="1632" spans="4:7">
      <c r="D1632" s="46"/>
      <c r="E1632" s="46"/>
      <c r="F1632" s="46"/>
      <c r="G1632" s="46"/>
    </row>
    <row r="1633" spans="4:7">
      <c r="D1633" s="46"/>
      <c r="E1633" s="46"/>
      <c r="F1633" s="46"/>
      <c r="G1633" s="46"/>
    </row>
    <row r="1634" spans="4:7">
      <c r="D1634" s="46"/>
      <c r="E1634" s="46"/>
      <c r="F1634" s="46"/>
      <c r="G1634" s="46"/>
    </row>
    <row r="1635" spans="4:7">
      <c r="D1635" s="46"/>
      <c r="E1635" s="46"/>
      <c r="F1635" s="46"/>
      <c r="G1635" s="46"/>
    </row>
    <row r="1636" spans="4:7">
      <c r="D1636" s="46"/>
      <c r="E1636" s="46"/>
      <c r="F1636" s="46"/>
      <c r="G1636" s="46"/>
    </row>
    <row r="1637" spans="4:7">
      <c r="D1637" s="46"/>
      <c r="E1637" s="46"/>
      <c r="F1637" s="46"/>
      <c r="G1637" s="46"/>
    </row>
    <row r="1638" spans="4:7">
      <c r="D1638" s="46"/>
      <c r="E1638" s="46"/>
      <c r="F1638" s="46"/>
      <c r="G1638" s="46"/>
    </row>
    <row r="1639" spans="4:7">
      <c r="D1639" s="46"/>
      <c r="E1639" s="46"/>
      <c r="F1639" s="46"/>
      <c r="G1639" s="46"/>
    </row>
    <row r="1640" spans="4:7">
      <c r="D1640" s="46"/>
      <c r="E1640" s="46"/>
      <c r="F1640" s="46"/>
      <c r="G1640" s="46"/>
    </row>
    <row r="1641" spans="4:7">
      <c r="D1641" s="46"/>
      <c r="E1641" s="46"/>
      <c r="F1641" s="46"/>
      <c r="G1641" s="46"/>
    </row>
    <row r="1642" spans="4:7">
      <c r="D1642" s="46"/>
      <c r="E1642" s="46"/>
      <c r="F1642" s="46"/>
      <c r="G1642" s="46"/>
    </row>
    <row r="1643" spans="4:7">
      <c r="D1643" s="46"/>
      <c r="E1643" s="46"/>
      <c r="F1643" s="46"/>
      <c r="G1643" s="46"/>
    </row>
    <row r="1644" spans="4:7">
      <c r="D1644" s="46"/>
      <c r="E1644" s="46"/>
      <c r="F1644" s="46"/>
      <c r="G1644" s="46"/>
    </row>
    <row r="1645" spans="4:7">
      <c r="D1645" s="46"/>
      <c r="E1645" s="46"/>
      <c r="F1645" s="46"/>
      <c r="G1645" s="46"/>
    </row>
    <row r="1646" spans="4:7">
      <c r="D1646" s="46"/>
      <c r="E1646" s="46"/>
      <c r="F1646" s="46"/>
      <c r="G1646" s="46"/>
    </row>
    <row r="1647" spans="4:7">
      <c r="D1647" s="46"/>
      <c r="E1647" s="46"/>
      <c r="F1647" s="46"/>
      <c r="G1647" s="46"/>
    </row>
    <row r="1648" spans="4:7">
      <c r="D1648" s="46"/>
      <c r="E1648" s="46"/>
      <c r="F1648" s="46"/>
      <c r="G1648" s="46"/>
    </row>
    <row r="1649" spans="4:7">
      <c r="D1649" s="46"/>
      <c r="E1649" s="46"/>
      <c r="F1649" s="46"/>
      <c r="G1649" s="46"/>
    </row>
    <row r="1650" spans="4:7">
      <c r="D1650" s="46"/>
      <c r="E1650" s="46"/>
      <c r="F1650" s="46"/>
      <c r="G1650" s="46"/>
    </row>
    <row r="1651" spans="4:7">
      <c r="D1651" s="46"/>
      <c r="E1651" s="46"/>
      <c r="F1651" s="46"/>
      <c r="G1651" s="46"/>
    </row>
    <row r="1652" spans="4:7">
      <c r="D1652" s="46"/>
      <c r="E1652" s="46"/>
      <c r="F1652" s="46"/>
      <c r="G1652" s="46"/>
    </row>
    <row r="1653" spans="4:7">
      <c r="D1653" s="46"/>
      <c r="E1653" s="46"/>
      <c r="F1653" s="46"/>
      <c r="G1653" s="46"/>
    </row>
    <row r="1654" spans="4:7">
      <c r="D1654" s="46"/>
      <c r="E1654" s="46"/>
      <c r="F1654" s="46"/>
      <c r="G1654" s="46"/>
    </row>
    <row r="1655" spans="4:7">
      <c r="D1655" s="46"/>
      <c r="E1655" s="46"/>
      <c r="F1655" s="46"/>
      <c r="G1655" s="46"/>
    </row>
    <row r="1656" spans="4:7">
      <c r="D1656" s="46"/>
      <c r="E1656" s="46"/>
      <c r="F1656" s="46"/>
      <c r="G1656" s="46"/>
    </row>
    <row r="1657" spans="4:7">
      <c r="D1657" s="46"/>
      <c r="E1657" s="46"/>
      <c r="F1657" s="46"/>
      <c r="G1657" s="46"/>
    </row>
    <row r="1658" spans="4:7">
      <c r="D1658" s="46"/>
      <c r="E1658" s="46"/>
      <c r="F1658" s="46"/>
      <c r="G1658" s="46"/>
    </row>
    <row r="1659" spans="4:7">
      <c r="D1659" s="46"/>
      <c r="E1659" s="46"/>
      <c r="F1659" s="46"/>
      <c r="G1659" s="46"/>
    </row>
    <row r="1660" spans="4:7">
      <c r="D1660" s="46"/>
      <c r="E1660" s="46"/>
      <c r="F1660" s="46"/>
      <c r="G1660" s="46"/>
    </row>
    <row r="1661" spans="4:7">
      <c r="D1661" s="46"/>
      <c r="E1661" s="46"/>
      <c r="F1661" s="46"/>
      <c r="G1661" s="46"/>
    </row>
    <row r="1662" spans="4:7">
      <c r="D1662" s="46"/>
      <c r="E1662" s="46"/>
      <c r="F1662" s="46"/>
      <c r="G1662" s="46"/>
    </row>
    <row r="1663" spans="4:7">
      <c r="D1663" s="46"/>
      <c r="E1663" s="46"/>
      <c r="F1663" s="46"/>
      <c r="G1663" s="46"/>
    </row>
    <row r="1664" spans="4:7">
      <c r="D1664" s="46"/>
      <c r="E1664" s="46"/>
      <c r="F1664" s="46"/>
      <c r="G1664" s="46"/>
    </row>
    <row r="1665" spans="4:7">
      <c r="D1665" s="46"/>
      <c r="E1665" s="46"/>
      <c r="F1665" s="46"/>
      <c r="G1665" s="46"/>
    </row>
    <row r="1666" spans="4:7">
      <c r="D1666" s="46"/>
      <c r="E1666" s="46"/>
      <c r="F1666" s="46"/>
      <c r="G1666" s="46"/>
    </row>
    <row r="1667" spans="4:7">
      <c r="D1667" s="46"/>
      <c r="E1667" s="46"/>
      <c r="F1667" s="46"/>
      <c r="G1667" s="46"/>
    </row>
    <row r="1668" spans="4:7">
      <c r="D1668" s="46"/>
      <c r="E1668" s="46"/>
      <c r="F1668" s="46"/>
      <c r="G1668" s="46"/>
    </row>
    <row r="1669" spans="4:7">
      <c r="D1669" s="46"/>
      <c r="E1669" s="46"/>
      <c r="F1669" s="46"/>
      <c r="G1669" s="46"/>
    </row>
    <row r="1670" spans="4:7">
      <c r="D1670" s="46"/>
      <c r="E1670" s="46"/>
      <c r="F1670" s="46"/>
      <c r="G1670" s="46"/>
    </row>
    <row r="1671" spans="4:7">
      <c r="D1671" s="46"/>
      <c r="E1671" s="46"/>
      <c r="F1671" s="46"/>
      <c r="G1671" s="46"/>
    </row>
    <row r="1672" spans="4:7">
      <c r="D1672" s="46"/>
      <c r="E1672" s="46"/>
      <c r="F1672" s="46"/>
      <c r="G1672" s="46"/>
    </row>
    <row r="1673" spans="4:7">
      <c r="D1673" s="46"/>
      <c r="E1673" s="46"/>
      <c r="F1673" s="46"/>
      <c r="G1673" s="46"/>
    </row>
    <row r="1674" spans="4:7">
      <c r="D1674" s="46"/>
      <c r="E1674" s="46"/>
      <c r="F1674" s="46"/>
      <c r="G1674" s="46"/>
    </row>
    <row r="1675" spans="4:7">
      <c r="D1675" s="46"/>
      <c r="E1675" s="46"/>
      <c r="F1675" s="46"/>
      <c r="G1675" s="46"/>
    </row>
    <row r="1676" spans="4:7">
      <c r="D1676" s="46"/>
      <c r="E1676" s="46"/>
      <c r="F1676" s="46"/>
      <c r="G1676" s="46"/>
    </row>
    <row r="1677" spans="4:7">
      <c r="D1677" s="46"/>
      <c r="E1677" s="46"/>
      <c r="F1677" s="46"/>
      <c r="G1677" s="46"/>
    </row>
    <row r="1678" spans="4:7">
      <c r="D1678" s="46"/>
      <c r="E1678" s="46"/>
      <c r="F1678" s="46"/>
      <c r="G1678" s="46"/>
    </row>
    <row r="1679" spans="4:7">
      <c r="D1679" s="46"/>
      <c r="E1679" s="46"/>
      <c r="F1679" s="46"/>
      <c r="G1679" s="46"/>
    </row>
    <row r="1680" spans="4:7">
      <c r="D1680" s="46"/>
      <c r="E1680" s="46"/>
      <c r="F1680" s="46"/>
      <c r="G1680" s="46"/>
    </row>
    <row r="1681" spans="4:7">
      <c r="D1681" s="46"/>
      <c r="E1681" s="46"/>
      <c r="F1681" s="46"/>
      <c r="G1681" s="46"/>
    </row>
    <row r="1682" spans="4:7">
      <c r="D1682" s="46"/>
      <c r="E1682" s="46"/>
      <c r="F1682" s="46"/>
      <c r="G1682" s="46"/>
    </row>
    <row r="1683" spans="4:7">
      <c r="D1683" s="46"/>
      <c r="E1683" s="46"/>
      <c r="F1683" s="46"/>
      <c r="G1683" s="46"/>
    </row>
    <row r="1684" spans="4:7">
      <c r="D1684" s="46"/>
      <c r="E1684" s="46"/>
      <c r="F1684" s="46"/>
      <c r="G1684" s="46"/>
    </row>
    <row r="1685" spans="4:7">
      <c r="D1685" s="46"/>
      <c r="E1685" s="46"/>
      <c r="F1685" s="46"/>
      <c r="G1685" s="46"/>
    </row>
    <row r="1686" spans="4:7">
      <c r="D1686" s="46"/>
      <c r="E1686" s="46"/>
      <c r="F1686" s="46"/>
      <c r="G1686" s="46"/>
    </row>
    <row r="1687" spans="4:7">
      <c r="D1687" s="46"/>
      <c r="E1687" s="46"/>
      <c r="F1687" s="46"/>
      <c r="G1687" s="46"/>
    </row>
    <row r="1688" spans="4:7">
      <c r="D1688" s="46"/>
      <c r="E1688" s="46"/>
      <c r="F1688" s="46"/>
      <c r="G1688" s="46"/>
    </row>
    <row r="1689" spans="4:7">
      <c r="D1689" s="46"/>
      <c r="E1689" s="46"/>
      <c r="F1689" s="46"/>
      <c r="G1689" s="46"/>
    </row>
    <row r="1690" spans="4:7">
      <c r="D1690" s="46"/>
      <c r="E1690" s="46"/>
      <c r="F1690" s="46"/>
      <c r="G1690" s="46"/>
    </row>
    <row r="1691" spans="4:7">
      <c r="D1691" s="46"/>
      <c r="E1691" s="46"/>
      <c r="F1691" s="46"/>
      <c r="G1691" s="46"/>
    </row>
    <row r="1692" spans="4:7">
      <c r="D1692" s="46"/>
      <c r="E1692" s="46"/>
      <c r="F1692" s="46"/>
      <c r="G1692" s="46"/>
    </row>
    <row r="1693" spans="4:7">
      <c r="D1693" s="46"/>
      <c r="E1693" s="46"/>
      <c r="F1693" s="46"/>
      <c r="G1693" s="46"/>
    </row>
    <row r="1694" spans="4:7">
      <c r="D1694" s="46"/>
      <c r="E1694" s="46"/>
      <c r="F1694" s="46"/>
      <c r="G1694" s="46"/>
    </row>
    <row r="1695" spans="4:7">
      <c r="D1695" s="46"/>
      <c r="E1695" s="46"/>
      <c r="F1695" s="46"/>
      <c r="G1695" s="46"/>
    </row>
    <row r="1696" spans="4:7">
      <c r="D1696" s="46"/>
      <c r="E1696" s="46"/>
      <c r="F1696" s="46"/>
      <c r="G1696" s="46"/>
    </row>
    <row r="1697" spans="4:7">
      <c r="D1697" s="46"/>
      <c r="E1697" s="46"/>
      <c r="F1697" s="46"/>
      <c r="G1697" s="46"/>
    </row>
    <row r="1698" spans="4:7">
      <c r="D1698" s="46"/>
      <c r="E1698" s="46"/>
      <c r="F1698" s="46"/>
      <c r="G1698" s="46"/>
    </row>
    <row r="1699" spans="4:7">
      <c r="D1699" s="46"/>
      <c r="E1699" s="46"/>
      <c r="F1699" s="46"/>
      <c r="G1699" s="46"/>
    </row>
    <row r="1700" spans="4:7">
      <c r="D1700" s="46"/>
      <c r="E1700" s="46"/>
      <c r="F1700" s="46"/>
      <c r="G1700" s="46"/>
    </row>
    <row r="1701" spans="4:7">
      <c r="D1701" s="46"/>
      <c r="E1701" s="46"/>
      <c r="F1701" s="46"/>
      <c r="G1701" s="46"/>
    </row>
    <row r="1702" spans="4:7">
      <c r="D1702" s="46"/>
      <c r="E1702" s="46"/>
      <c r="F1702" s="46"/>
      <c r="G1702" s="46"/>
    </row>
    <row r="1703" spans="4:7">
      <c r="D1703" s="46"/>
      <c r="E1703" s="46"/>
      <c r="F1703" s="46"/>
      <c r="G1703" s="46"/>
    </row>
    <row r="1704" spans="4:7">
      <c r="D1704" s="46"/>
      <c r="E1704" s="46"/>
      <c r="F1704" s="46"/>
      <c r="G1704" s="46"/>
    </row>
    <row r="1705" spans="4:7">
      <c r="D1705" s="46"/>
      <c r="E1705" s="46"/>
      <c r="F1705" s="46"/>
      <c r="G1705" s="46"/>
    </row>
    <row r="1706" spans="4:7">
      <c r="D1706" s="46"/>
      <c r="E1706" s="46"/>
      <c r="F1706" s="46"/>
      <c r="G1706" s="46"/>
    </row>
    <row r="1707" spans="4:7">
      <c r="D1707" s="46"/>
      <c r="E1707" s="46"/>
      <c r="F1707" s="46"/>
      <c r="G1707" s="46"/>
    </row>
    <row r="1708" spans="4:7">
      <c r="D1708" s="46"/>
      <c r="E1708" s="46"/>
      <c r="F1708" s="46"/>
      <c r="G1708" s="46"/>
    </row>
    <row r="1709" spans="4:7">
      <c r="D1709" s="46"/>
      <c r="E1709" s="46"/>
      <c r="F1709" s="46"/>
      <c r="G1709" s="46"/>
    </row>
    <row r="1710" spans="4:7">
      <c r="D1710" s="46"/>
      <c r="E1710" s="46"/>
      <c r="F1710" s="46"/>
      <c r="G1710" s="46"/>
    </row>
    <row r="1711" spans="4:7">
      <c r="D1711" s="46"/>
      <c r="E1711" s="46"/>
      <c r="F1711" s="46"/>
      <c r="G1711" s="46"/>
    </row>
    <row r="1712" spans="4:7">
      <c r="D1712" s="46"/>
      <c r="E1712" s="46"/>
      <c r="F1712" s="46"/>
      <c r="G1712" s="46"/>
    </row>
    <row r="1713" spans="4:7">
      <c r="D1713" s="46"/>
      <c r="E1713" s="46"/>
      <c r="F1713" s="46"/>
      <c r="G1713" s="46"/>
    </row>
    <row r="1714" spans="4:7">
      <c r="D1714" s="46"/>
      <c r="E1714" s="46"/>
      <c r="F1714" s="46"/>
      <c r="G1714" s="46"/>
    </row>
    <row r="1715" spans="4:7">
      <c r="D1715" s="46"/>
      <c r="E1715" s="46"/>
      <c r="F1715" s="46"/>
      <c r="G1715" s="46"/>
    </row>
    <row r="1716" spans="4:7">
      <c r="D1716" s="46"/>
      <c r="E1716" s="46"/>
      <c r="F1716" s="46"/>
      <c r="G1716" s="46"/>
    </row>
    <row r="1717" spans="4:7">
      <c r="D1717" s="46"/>
      <c r="E1717" s="46"/>
      <c r="F1717" s="46"/>
      <c r="G1717" s="46"/>
    </row>
    <row r="1718" spans="4:7">
      <c r="D1718" s="46"/>
      <c r="E1718" s="46"/>
      <c r="F1718" s="46"/>
      <c r="G1718" s="46"/>
    </row>
    <row r="1719" spans="4:7">
      <c r="D1719" s="46"/>
      <c r="E1719" s="46"/>
      <c r="F1719" s="46"/>
      <c r="G1719" s="46"/>
    </row>
    <row r="1720" spans="4:7">
      <c r="D1720" s="46"/>
      <c r="E1720" s="46"/>
      <c r="F1720" s="46"/>
      <c r="G1720" s="46"/>
    </row>
    <row r="1721" spans="4:7">
      <c r="D1721" s="46"/>
      <c r="E1721" s="46"/>
      <c r="F1721" s="46"/>
      <c r="G1721" s="46"/>
    </row>
    <row r="1722" spans="4:7">
      <c r="D1722" s="46"/>
      <c r="E1722" s="46"/>
      <c r="F1722" s="46"/>
      <c r="G1722" s="46"/>
    </row>
    <row r="1723" spans="4:7">
      <c r="D1723" s="46"/>
      <c r="E1723" s="46"/>
      <c r="F1723" s="46"/>
      <c r="G1723" s="46"/>
    </row>
    <row r="1724" spans="4:7">
      <c r="D1724" s="46"/>
      <c r="E1724" s="46"/>
      <c r="F1724" s="46"/>
      <c r="G1724" s="46"/>
    </row>
    <row r="1725" spans="4:7">
      <c r="D1725" s="46"/>
      <c r="E1725" s="46"/>
      <c r="F1725" s="46"/>
      <c r="G1725" s="46"/>
    </row>
    <row r="1726" spans="4:7">
      <c r="D1726" s="46"/>
      <c r="E1726" s="46"/>
      <c r="F1726" s="46"/>
      <c r="G1726" s="46"/>
    </row>
    <row r="1727" spans="4:7">
      <c r="D1727" s="46"/>
      <c r="E1727" s="46"/>
      <c r="F1727" s="46"/>
      <c r="G1727" s="46"/>
    </row>
    <row r="1728" spans="4:7">
      <c r="D1728" s="46"/>
      <c r="E1728" s="46"/>
      <c r="F1728" s="46"/>
      <c r="G1728" s="46"/>
    </row>
    <row r="1729" spans="4:7">
      <c r="D1729" s="46"/>
      <c r="E1729" s="46"/>
      <c r="F1729" s="46"/>
      <c r="G1729" s="46"/>
    </row>
    <row r="1730" spans="4:7">
      <c r="D1730" s="46"/>
      <c r="E1730" s="46"/>
      <c r="F1730" s="46"/>
      <c r="G1730" s="46"/>
    </row>
    <row r="1731" spans="4:7">
      <c r="D1731" s="46"/>
      <c r="E1731" s="46"/>
      <c r="F1731" s="46"/>
      <c r="G1731" s="46"/>
    </row>
    <row r="1732" spans="4:7">
      <c r="D1732" s="46"/>
      <c r="E1732" s="46"/>
      <c r="F1732" s="46"/>
      <c r="G1732" s="46"/>
    </row>
    <row r="1733" spans="4:7">
      <c r="D1733" s="46"/>
      <c r="E1733" s="46"/>
      <c r="F1733" s="46"/>
      <c r="G1733" s="46"/>
    </row>
    <row r="1734" spans="4:7">
      <c r="D1734" s="46"/>
      <c r="E1734" s="46"/>
      <c r="F1734" s="46"/>
      <c r="G1734" s="46"/>
    </row>
    <row r="1735" spans="4:7">
      <c r="D1735" s="46"/>
      <c r="E1735" s="46"/>
      <c r="F1735" s="46"/>
      <c r="G1735" s="46"/>
    </row>
    <row r="1736" spans="4:7">
      <c r="D1736" s="46"/>
      <c r="E1736" s="46"/>
      <c r="F1736" s="46"/>
      <c r="G1736" s="46"/>
    </row>
    <row r="1737" spans="4:7">
      <c r="D1737" s="46"/>
      <c r="E1737" s="46"/>
      <c r="F1737" s="46"/>
      <c r="G1737" s="46"/>
    </row>
    <row r="1738" spans="4:7">
      <c r="D1738" s="46"/>
      <c r="E1738" s="46"/>
      <c r="F1738" s="46"/>
      <c r="G1738" s="46"/>
    </row>
    <row r="1739" spans="4:7">
      <c r="D1739" s="46"/>
      <c r="E1739" s="46"/>
      <c r="F1739" s="46"/>
      <c r="G1739" s="46"/>
    </row>
    <row r="1740" spans="4:7">
      <c r="D1740" s="46"/>
      <c r="E1740" s="46"/>
      <c r="F1740" s="46"/>
      <c r="G1740" s="46"/>
    </row>
    <row r="1741" spans="4:7">
      <c r="D1741" s="46"/>
      <c r="E1741" s="46"/>
      <c r="F1741" s="46"/>
      <c r="G1741" s="46"/>
    </row>
    <row r="1742" spans="4:7">
      <c r="D1742" s="46"/>
      <c r="E1742" s="46"/>
      <c r="F1742" s="46"/>
      <c r="G1742" s="46"/>
    </row>
    <row r="1743" spans="4:7">
      <c r="D1743" s="46"/>
      <c r="E1743" s="46"/>
      <c r="F1743" s="46"/>
      <c r="G1743" s="46"/>
    </row>
    <row r="1744" spans="4:7">
      <c r="D1744" s="46"/>
      <c r="E1744" s="46"/>
      <c r="F1744" s="46"/>
      <c r="G1744" s="46"/>
    </row>
    <row r="1745" spans="4:7">
      <c r="D1745" s="46"/>
      <c r="E1745" s="46"/>
      <c r="F1745" s="46"/>
      <c r="G1745" s="46"/>
    </row>
    <row r="1746" spans="4:7">
      <c r="D1746" s="46"/>
      <c r="E1746" s="46"/>
      <c r="F1746" s="46"/>
      <c r="G1746" s="46"/>
    </row>
    <row r="1747" spans="4:7">
      <c r="D1747" s="46"/>
      <c r="E1747" s="46"/>
      <c r="F1747" s="46"/>
      <c r="G1747" s="46"/>
    </row>
    <row r="1748" spans="4:7">
      <c r="D1748" s="46"/>
      <c r="E1748" s="46"/>
      <c r="F1748" s="46"/>
      <c r="G1748" s="46"/>
    </row>
    <row r="1749" spans="4:7">
      <c r="D1749" s="46"/>
      <c r="E1749" s="46"/>
      <c r="F1749" s="46"/>
      <c r="G1749" s="46"/>
    </row>
    <row r="1750" spans="4:7">
      <c r="D1750" s="46"/>
      <c r="E1750" s="46"/>
      <c r="F1750" s="46"/>
      <c r="G1750" s="46"/>
    </row>
    <row r="1751" spans="4:7">
      <c r="D1751" s="46"/>
      <c r="E1751" s="46"/>
      <c r="F1751" s="46"/>
      <c r="G1751" s="46"/>
    </row>
    <row r="1752" spans="4:7">
      <c r="D1752" s="46"/>
      <c r="E1752" s="46"/>
      <c r="F1752" s="46"/>
      <c r="G1752" s="46"/>
    </row>
    <row r="1753" spans="4:7">
      <c r="D1753" s="46"/>
      <c r="E1753" s="46"/>
      <c r="F1753" s="46"/>
      <c r="G1753" s="46"/>
    </row>
    <row r="1754" spans="4:7">
      <c r="D1754" s="46"/>
      <c r="E1754" s="46"/>
      <c r="F1754" s="46"/>
      <c r="G1754" s="46"/>
    </row>
    <row r="1755" spans="4:7">
      <c r="D1755" s="46"/>
      <c r="E1755" s="46"/>
      <c r="F1755" s="46"/>
      <c r="G1755" s="46"/>
    </row>
    <row r="1756" spans="4:7">
      <c r="D1756" s="46"/>
      <c r="E1756" s="46"/>
      <c r="F1756" s="46"/>
      <c r="G1756" s="46"/>
    </row>
    <row r="1757" spans="4:7">
      <c r="D1757" s="46"/>
      <c r="E1757" s="46"/>
      <c r="F1757" s="46"/>
      <c r="G1757" s="46"/>
    </row>
    <row r="1758" spans="4:7">
      <c r="D1758" s="46"/>
      <c r="E1758" s="46"/>
      <c r="F1758" s="46"/>
      <c r="G1758" s="46"/>
    </row>
    <row r="1759" spans="4:7">
      <c r="D1759" s="46"/>
      <c r="E1759" s="46"/>
      <c r="F1759" s="46"/>
      <c r="G1759" s="46"/>
    </row>
    <row r="1760" spans="4:7">
      <c r="D1760" s="46"/>
      <c r="E1760" s="46"/>
      <c r="F1760" s="46"/>
      <c r="G1760" s="46"/>
    </row>
    <row r="1761" spans="4:7">
      <c r="D1761" s="46"/>
      <c r="E1761" s="46"/>
      <c r="F1761" s="46"/>
      <c r="G1761" s="46"/>
    </row>
    <row r="1762" spans="4:7">
      <c r="D1762" s="46"/>
      <c r="E1762" s="46"/>
      <c r="F1762" s="46"/>
      <c r="G1762" s="46"/>
    </row>
    <row r="1763" spans="4:7">
      <c r="D1763" s="46"/>
      <c r="E1763" s="46"/>
      <c r="F1763" s="46"/>
      <c r="G1763" s="46"/>
    </row>
    <row r="1764" spans="4:7">
      <c r="D1764" s="46"/>
      <c r="E1764" s="46"/>
      <c r="F1764" s="46"/>
      <c r="G1764" s="46"/>
    </row>
    <row r="1765" spans="4:7">
      <c r="D1765" s="46"/>
      <c r="E1765" s="46"/>
      <c r="F1765" s="46"/>
      <c r="G1765" s="46"/>
    </row>
    <row r="1766" spans="4:7">
      <c r="D1766" s="46"/>
      <c r="E1766" s="46"/>
      <c r="F1766" s="46"/>
      <c r="G1766" s="46"/>
    </row>
    <row r="1767" spans="4:7">
      <c r="D1767" s="46"/>
      <c r="E1767" s="46"/>
      <c r="F1767" s="46"/>
      <c r="G1767" s="46"/>
    </row>
    <row r="1768" spans="4:7">
      <c r="D1768" s="46"/>
      <c r="E1768" s="46"/>
      <c r="F1768" s="46"/>
      <c r="G1768" s="46"/>
    </row>
    <row r="1769" spans="4:7">
      <c r="D1769" s="46"/>
      <c r="E1769" s="46"/>
      <c r="F1769" s="46"/>
      <c r="G1769" s="46"/>
    </row>
    <row r="1770" spans="4:7">
      <c r="D1770" s="46"/>
      <c r="E1770" s="46"/>
      <c r="F1770" s="46"/>
      <c r="G1770" s="46"/>
    </row>
    <row r="1771" spans="4:7">
      <c r="D1771" s="46"/>
      <c r="E1771" s="46"/>
      <c r="F1771" s="46"/>
      <c r="G1771" s="46"/>
    </row>
    <row r="1772" spans="4:7">
      <c r="D1772" s="46"/>
      <c r="E1772" s="46"/>
      <c r="F1772" s="46"/>
      <c r="G1772" s="46"/>
    </row>
    <row r="1773" spans="4:7">
      <c r="D1773" s="46"/>
      <c r="E1773" s="46"/>
      <c r="F1773" s="46"/>
      <c r="G1773" s="46"/>
    </row>
    <row r="1774" spans="4:7">
      <c r="D1774" s="46"/>
      <c r="E1774" s="46"/>
      <c r="F1774" s="46"/>
      <c r="G1774" s="46"/>
    </row>
    <row r="1775" spans="4:7">
      <c r="D1775" s="46"/>
      <c r="E1775" s="46"/>
      <c r="F1775" s="46"/>
      <c r="G1775" s="46"/>
    </row>
    <row r="1776" spans="4:7">
      <c r="D1776" s="46"/>
      <c r="E1776" s="46"/>
      <c r="F1776" s="46"/>
      <c r="G1776" s="46"/>
    </row>
    <row r="1777" spans="4:7">
      <c r="D1777" s="46"/>
      <c r="E1777" s="46"/>
      <c r="F1777" s="46"/>
      <c r="G1777" s="46"/>
    </row>
    <row r="1778" spans="4:7">
      <c r="D1778" s="46"/>
      <c r="E1778" s="46"/>
      <c r="F1778" s="46"/>
      <c r="G1778" s="46"/>
    </row>
    <row r="1779" spans="4:7">
      <c r="D1779" s="46"/>
      <c r="E1779" s="46"/>
      <c r="F1779" s="46"/>
      <c r="G1779" s="46"/>
    </row>
    <row r="1780" spans="4:7">
      <c r="D1780" s="46"/>
      <c r="E1780" s="46"/>
      <c r="F1780" s="46"/>
      <c r="G1780" s="46"/>
    </row>
    <row r="1781" spans="4:7">
      <c r="D1781" s="46"/>
      <c r="E1781" s="46"/>
      <c r="F1781" s="46"/>
      <c r="G1781" s="46"/>
    </row>
    <row r="1782" spans="4:7">
      <c r="D1782" s="46"/>
      <c r="E1782" s="46"/>
      <c r="F1782" s="46"/>
      <c r="G1782" s="46"/>
    </row>
    <row r="1783" spans="4:7">
      <c r="D1783" s="46"/>
      <c r="E1783" s="46"/>
      <c r="F1783" s="46"/>
      <c r="G1783" s="46"/>
    </row>
    <row r="1784" spans="4:7">
      <c r="D1784" s="46"/>
      <c r="E1784" s="46"/>
      <c r="F1784" s="46"/>
      <c r="G1784" s="46"/>
    </row>
    <row r="1785" spans="4:7">
      <c r="D1785" s="46"/>
      <c r="E1785" s="46"/>
      <c r="F1785" s="46"/>
      <c r="G1785" s="46"/>
    </row>
    <row r="1786" spans="4:7">
      <c r="D1786" s="46"/>
      <c r="E1786" s="46"/>
      <c r="F1786" s="46"/>
      <c r="G1786" s="46"/>
    </row>
    <row r="1787" spans="4:7">
      <c r="D1787" s="46"/>
      <c r="E1787" s="46"/>
      <c r="F1787" s="46"/>
      <c r="G1787" s="46"/>
    </row>
    <row r="1788" spans="4:7">
      <c r="D1788" s="46"/>
      <c r="E1788" s="46"/>
      <c r="F1788" s="46"/>
      <c r="G1788" s="46"/>
    </row>
    <row r="1789" spans="4:7">
      <c r="D1789" s="46"/>
      <c r="E1789" s="46"/>
      <c r="F1789" s="46"/>
      <c r="G1789" s="46"/>
    </row>
    <row r="1790" spans="4:7">
      <c r="D1790" s="46"/>
      <c r="E1790" s="46"/>
      <c r="F1790" s="46"/>
      <c r="G1790" s="46"/>
    </row>
    <row r="1791" spans="4:7">
      <c r="D1791" s="46"/>
      <c r="E1791" s="46"/>
      <c r="F1791" s="46"/>
      <c r="G1791" s="46"/>
    </row>
    <row r="1792" spans="4:7">
      <c r="D1792" s="46"/>
      <c r="E1792" s="46"/>
      <c r="F1792" s="46"/>
      <c r="G1792" s="46"/>
    </row>
    <row r="1793" spans="4:7">
      <c r="D1793" s="46"/>
      <c r="E1793" s="46"/>
      <c r="F1793" s="46"/>
      <c r="G1793" s="46"/>
    </row>
    <row r="1794" spans="4:7">
      <c r="D1794" s="46"/>
      <c r="E1794" s="46"/>
      <c r="F1794" s="46"/>
      <c r="G1794" s="46"/>
    </row>
    <row r="1795" spans="4:7">
      <c r="D1795" s="46"/>
      <c r="E1795" s="46"/>
      <c r="F1795" s="46"/>
      <c r="G1795" s="46"/>
    </row>
    <row r="1796" spans="4:7">
      <c r="D1796" s="46"/>
      <c r="E1796" s="46"/>
      <c r="F1796" s="46"/>
      <c r="G1796" s="46"/>
    </row>
    <row r="1797" spans="4:7">
      <c r="D1797" s="46"/>
      <c r="E1797" s="46"/>
      <c r="F1797" s="46"/>
      <c r="G1797" s="46"/>
    </row>
    <row r="1798" spans="4:7">
      <c r="D1798" s="46"/>
      <c r="E1798" s="46"/>
      <c r="F1798" s="46"/>
      <c r="G1798" s="46"/>
    </row>
    <row r="1799" spans="4:7">
      <c r="D1799" s="46"/>
      <c r="E1799" s="46"/>
      <c r="F1799" s="46"/>
      <c r="G1799" s="46"/>
    </row>
    <row r="1800" spans="4:7">
      <c r="D1800" s="46"/>
      <c r="E1800" s="46"/>
      <c r="F1800" s="46"/>
      <c r="G1800" s="46"/>
    </row>
    <row r="1801" spans="4:7">
      <c r="D1801" s="46"/>
      <c r="E1801" s="46"/>
      <c r="F1801" s="46"/>
      <c r="G1801" s="46"/>
    </row>
    <row r="1802" spans="4:7">
      <c r="D1802" s="46"/>
      <c r="E1802" s="46"/>
      <c r="F1802" s="46"/>
      <c r="G1802" s="46"/>
    </row>
    <row r="1803" spans="4:7">
      <c r="D1803" s="46"/>
      <c r="E1803" s="46"/>
      <c r="F1803" s="46"/>
      <c r="G1803" s="46"/>
    </row>
    <row r="1804" spans="4:7">
      <c r="D1804" s="46"/>
      <c r="E1804" s="46"/>
      <c r="F1804" s="46"/>
      <c r="G1804" s="46"/>
    </row>
    <row r="1805" spans="4:7">
      <c r="D1805" s="46"/>
      <c r="E1805" s="46"/>
      <c r="F1805" s="46"/>
      <c r="G1805" s="46"/>
    </row>
    <row r="1806" spans="4:7">
      <c r="D1806" s="46"/>
      <c r="E1806" s="46"/>
      <c r="F1806" s="46"/>
      <c r="G1806" s="46"/>
    </row>
    <row r="1807" spans="4:7">
      <c r="D1807" s="46"/>
      <c r="E1807" s="46"/>
      <c r="F1807" s="46"/>
      <c r="G1807" s="46"/>
    </row>
    <row r="1808" spans="4:7">
      <c r="D1808" s="46"/>
      <c r="E1808" s="46"/>
      <c r="F1808" s="46"/>
      <c r="G1808" s="46"/>
    </row>
    <row r="1809" spans="4:7">
      <c r="D1809" s="46"/>
      <c r="E1809" s="46"/>
      <c r="F1809" s="46"/>
      <c r="G1809" s="46"/>
    </row>
    <row r="1810" spans="4:7">
      <c r="D1810" s="46"/>
      <c r="E1810" s="46"/>
      <c r="F1810" s="46"/>
      <c r="G1810" s="46"/>
    </row>
    <row r="1811" spans="4:7">
      <c r="D1811" s="46"/>
      <c r="E1811" s="46"/>
      <c r="F1811" s="46"/>
      <c r="G1811" s="46"/>
    </row>
    <row r="1812" spans="4:7">
      <c r="D1812" s="46"/>
      <c r="E1812" s="46"/>
      <c r="F1812" s="46"/>
      <c r="G1812" s="46"/>
    </row>
    <row r="1813" spans="4:7">
      <c r="D1813" s="46"/>
      <c r="E1813" s="46"/>
      <c r="F1813" s="46"/>
      <c r="G1813" s="46"/>
    </row>
    <row r="1814" spans="4:7">
      <c r="D1814" s="46"/>
      <c r="E1814" s="46"/>
      <c r="F1814" s="46"/>
      <c r="G1814" s="46"/>
    </row>
    <row r="1815" spans="4:7">
      <c r="D1815" s="46"/>
      <c r="E1815" s="46"/>
      <c r="F1815" s="46"/>
      <c r="G1815" s="46"/>
    </row>
    <row r="1816" spans="4:7">
      <c r="D1816" s="46"/>
      <c r="E1816" s="46"/>
      <c r="F1816" s="46"/>
      <c r="G1816" s="46"/>
    </row>
    <row r="1817" spans="4:7">
      <c r="D1817" s="46"/>
      <c r="E1817" s="46"/>
      <c r="F1817" s="46"/>
      <c r="G1817" s="46"/>
    </row>
    <row r="1818" spans="4:7">
      <c r="D1818" s="46"/>
      <c r="E1818" s="46"/>
      <c r="F1818" s="46"/>
      <c r="G1818" s="46"/>
    </row>
    <row r="1819" spans="4:7">
      <c r="D1819" s="46"/>
      <c r="E1819" s="46"/>
      <c r="F1819" s="46"/>
      <c r="G1819" s="46"/>
    </row>
    <row r="1820" spans="4:7">
      <c r="D1820" s="46"/>
      <c r="E1820" s="46"/>
      <c r="F1820" s="46"/>
      <c r="G1820" s="46"/>
    </row>
    <row r="1821" spans="4:7">
      <c r="D1821" s="46"/>
      <c r="E1821" s="46"/>
      <c r="F1821" s="46"/>
      <c r="G1821" s="46"/>
    </row>
    <row r="1822" spans="4:7">
      <c r="D1822" s="46"/>
      <c r="E1822" s="46"/>
      <c r="F1822" s="46"/>
      <c r="G1822" s="46"/>
    </row>
    <row r="1823" spans="4:7">
      <c r="D1823" s="46"/>
      <c r="E1823" s="46"/>
      <c r="F1823" s="46"/>
      <c r="G1823" s="46"/>
    </row>
    <row r="1824" spans="4:7">
      <c r="D1824" s="46"/>
      <c r="E1824" s="46"/>
      <c r="F1824" s="46"/>
      <c r="G1824" s="46"/>
    </row>
    <row r="1825" spans="4:7">
      <c r="D1825" s="46"/>
      <c r="E1825" s="46"/>
      <c r="F1825" s="46"/>
      <c r="G1825" s="46"/>
    </row>
    <row r="1826" spans="4:7">
      <c r="D1826" s="46"/>
      <c r="E1826" s="46"/>
      <c r="F1826" s="46"/>
      <c r="G1826" s="46"/>
    </row>
    <row r="1827" spans="4:7">
      <c r="D1827" s="46"/>
      <c r="E1827" s="46"/>
      <c r="F1827" s="46"/>
      <c r="G1827" s="46"/>
    </row>
    <row r="1828" spans="4:7">
      <c r="D1828" s="46"/>
      <c r="E1828" s="46"/>
      <c r="F1828" s="46"/>
      <c r="G1828" s="46"/>
    </row>
    <row r="1829" spans="4:7">
      <c r="D1829" s="46"/>
      <c r="E1829" s="46"/>
      <c r="F1829" s="46"/>
      <c r="G1829" s="46"/>
    </row>
    <row r="1830" spans="4:7">
      <c r="D1830" s="46"/>
      <c r="E1830" s="46"/>
      <c r="F1830" s="46"/>
      <c r="G1830" s="46"/>
    </row>
    <row r="1831" spans="4:7">
      <c r="D1831" s="46"/>
      <c r="E1831" s="46"/>
      <c r="F1831" s="46"/>
      <c r="G1831" s="46"/>
    </row>
    <row r="1832" spans="4:7">
      <c r="D1832" s="46"/>
      <c r="E1832" s="46"/>
      <c r="F1832" s="46"/>
      <c r="G1832" s="46"/>
    </row>
    <row r="1833" spans="4:7">
      <c r="D1833" s="46"/>
      <c r="E1833" s="46"/>
      <c r="F1833" s="46"/>
      <c r="G1833" s="46"/>
    </row>
    <row r="1834" spans="4:7">
      <c r="D1834" s="46"/>
      <c r="E1834" s="46"/>
      <c r="F1834" s="46"/>
      <c r="G1834" s="46"/>
    </row>
    <row r="1835" spans="4:7">
      <c r="D1835" s="46"/>
      <c r="E1835" s="46"/>
      <c r="F1835" s="46"/>
      <c r="G1835" s="46"/>
    </row>
    <row r="1836" spans="4:7">
      <c r="D1836" s="46"/>
      <c r="E1836" s="46"/>
      <c r="F1836" s="46"/>
      <c r="G1836" s="46"/>
    </row>
    <row r="1837" spans="4:7">
      <c r="D1837" s="46"/>
      <c r="E1837" s="46"/>
      <c r="F1837" s="46"/>
      <c r="G1837" s="46"/>
    </row>
    <row r="1838" spans="4:7">
      <c r="D1838" s="46"/>
      <c r="E1838" s="46"/>
      <c r="F1838" s="46"/>
      <c r="G1838" s="46"/>
    </row>
    <row r="1839" spans="4:7">
      <c r="D1839" s="46"/>
      <c r="E1839" s="46"/>
      <c r="F1839" s="46"/>
      <c r="G1839" s="46"/>
    </row>
    <row r="1840" spans="4:7">
      <c r="D1840" s="46"/>
      <c r="E1840" s="46"/>
      <c r="F1840" s="46"/>
      <c r="G1840" s="46"/>
    </row>
    <row r="1841" spans="4:7">
      <c r="D1841" s="46"/>
      <c r="E1841" s="46"/>
      <c r="F1841" s="46"/>
      <c r="G1841" s="46"/>
    </row>
    <row r="1842" spans="4:7">
      <c r="D1842" s="46"/>
      <c r="E1842" s="46"/>
      <c r="F1842" s="46"/>
      <c r="G1842" s="46"/>
    </row>
    <row r="1843" spans="4:7">
      <c r="D1843" s="46"/>
      <c r="E1843" s="46"/>
      <c r="F1843" s="46"/>
      <c r="G1843" s="46"/>
    </row>
    <row r="1844" spans="4:7">
      <c r="D1844" s="46"/>
      <c r="E1844" s="46"/>
      <c r="F1844" s="46"/>
      <c r="G1844" s="46"/>
    </row>
    <row r="1845" spans="4:7">
      <c r="D1845" s="46"/>
      <c r="E1845" s="46"/>
      <c r="F1845" s="46"/>
      <c r="G1845" s="46"/>
    </row>
    <row r="1846" spans="4:7">
      <c r="D1846" s="46"/>
      <c r="E1846" s="46"/>
      <c r="F1846" s="46"/>
      <c r="G1846" s="46"/>
    </row>
    <row r="1847" spans="4:7">
      <c r="D1847" s="46"/>
      <c r="E1847" s="46"/>
      <c r="F1847" s="46"/>
      <c r="G1847" s="46"/>
    </row>
    <row r="1848" spans="4:7">
      <c r="D1848" s="46"/>
      <c r="E1848" s="46"/>
      <c r="F1848" s="46"/>
      <c r="G1848" s="46"/>
    </row>
    <row r="1849" spans="4:7">
      <c r="D1849" s="46"/>
      <c r="E1849" s="46"/>
      <c r="F1849" s="46"/>
      <c r="G1849" s="46"/>
    </row>
    <row r="1850" spans="4:7">
      <c r="D1850" s="46"/>
      <c r="E1850" s="46"/>
      <c r="F1850" s="46"/>
      <c r="G1850" s="46"/>
    </row>
    <row r="1851" spans="4:7">
      <c r="D1851" s="46"/>
      <c r="E1851" s="46"/>
      <c r="F1851" s="46"/>
      <c r="G1851" s="46"/>
    </row>
    <row r="1852" spans="4:7">
      <c r="D1852" s="46"/>
      <c r="E1852" s="46"/>
      <c r="F1852" s="46"/>
      <c r="G1852" s="46"/>
    </row>
    <row r="1853" spans="4:7">
      <c r="D1853" s="46"/>
      <c r="E1853" s="46"/>
      <c r="F1853" s="46"/>
      <c r="G1853" s="46"/>
    </row>
    <row r="1854" spans="4:7">
      <c r="D1854" s="46"/>
      <c r="E1854" s="46"/>
      <c r="F1854" s="46"/>
      <c r="G1854" s="46"/>
    </row>
    <row r="1855" spans="4:7">
      <c r="D1855" s="46"/>
      <c r="E1855" s="46"/>
      <c r="F1855" s="46"/>
      <c r="G1855" s="46"/>
    </row>
    <row r="1856" spans="4:7">
      <c r="D1856" s="46"/>
      <c r="E1856" s="46"/>
      <c r="F1856" s="46"/>
      <c r="G1856" s="46"/>
    </row>
    <row r="1857" spans="4:7">
      <c r="D1857" s="46"/>
      <c r="E1857" s="46"/>
      <c r="F1857" s="46"/>
      <c r="G1857" s="46"/>
    </row>
    <row r="1858" spans="4:7">
      <c r="D1858" s="46"/>
      <c r="E1858" s="46"/>
      <c r="F1858" s="46"/>
      <c r="G1858" s="46"/>
    </row>
    <row r="1859" spans="4:7">
      <c r="D1859" s="46"/>
      <c r="E1859" s="46"/>
      <c r="F1859" s="46"/>
      <c r="G1859" s="46"/>
    </row>
    <row r="1860" spans="4:7">
      <c r="D1860" s="46"/>
      <c r="E1860" s="46"/>
      <c r="F1860" s="46"/>
      <c r="G1860" s="46"/>
    </row>
    <row r="1861" spans="4:7">
      <c r="D1861" s="46"/>
      <c r="E1861" s="46"/>
      <c r="F1861" s="46"/>
      <c r="G1861" s="46"/>
    </row>
    <row r="1862" spans="4:7">
      <c r="D1862" s="46"/>
      <c r="E1862" s="46"/>
      <c r="F1862" s="46"/>
      <c r="G1862" s="46"/>
    </row>
    <row r="1863" spans="4:7">
      <c r="D1863" s="46"/>
      <c r="E1863" s="46"/>
      <c r="F1863" s="46"/>
      <c r="G1863" s="46"/>
    </row>
    <row r="1864" spans="4:7">
      <c r="D1864" s="46"/>
      <c r="E1864" s="46"/>
      <c r="F1864" s="46"/>
      <c r="G1864" s="46"/>
    </row>
    <row r="1865" spans="4:7">
      <c r="D1865" s="46"/>
      <c r="E1865" s="46"/>
      <c r="F1865" s="46"/>
      <c r="G1865" s="46"/>
    </row>
    <row r="1866" spans="4:7">
      <c r="D1866" s="46"/>
      <c r="E1866" s="46"/>
      <c r="F1866" s="46"/>
      <c r="G1866" s="46"/>
    </row>
    <row r="1867" spans="4:7">
      <c r="D1867" s="46"/>
      <c r="E1867" s="46"/>
      <c r="F1867" s="46"/>
      <c r="G1867" s="46"/>
    </row>
    <row r="1868" spans="4:7">
      <c r="D1868" s="46"/>
      <c r="E1868" s="46"/>
      <c r="F1868" s="46"/>
      <c r="G1868" s="46"/>
    </row>
    <row r="1869" spans="4:7">
      <c r="D1869" s="46"/>
      <c r="E1869" s="46"/>
      <c r="F1869" s="46"/>
      <c r="G1869" s="46"/>
    </row>
    <row r="1870" spans="4:7">
      <c r="D1870" s="46"/>
      <c r="E1870" s="46"/>
      <c r="F1870" s="46"/>
      <c r="G1870" s="46"/>
    </row>
    <row r="1871" spans="4:7">
      <c r="D1871" s="46"/>
      <c r="E1871" s="46"/>
      <c r="F1871" s="46"/>
      <c r="G1871" s="46"/>
    </row>
    <row r="1872" spans="4:7">
      <c r="D1872" s="46"/>
      <c r="E1872" s="46"/>
      <c r="F1872" s="46"/>
      <c r="G1872" s="46"/>
    </row>
    <row r="1873" spans="4:7">
      <c r="D1873" s="46"/>
      <c r="E1873" s="46"/>
      <c r="F1873" s="46"/>
      <c r="G1873" s="46"/>
    </row>
    <row r="1874" spans="4:7">
      <c r="D1874" s="46"/>
      <c r="E1874" s="46"/>
      <c r="F1874" s="46"/>
      <c r="G1874" s="46"/>
    </row>
    <row r="1875" spans="4:7">
      <c r="D1875" s="46"/>
      <c r="E1875" s="46"/>
      <c r="F1875" s="46"/>
      <c r="G1875" s="46"/>
    </row>
    <row r="1876" spans="4:7">
      <c r="D1876" s="46"/>
      <c r="E1876" s="46"/>
      <c r="F1876" s="46"/>
      <c r="G1876" s="46"/>
    </row>
    <row r="1877" spans="4:7">
      <c r="D1877" s="46"/>
      <c r="E1877" s="46"/>
      <c r="F1877" s="46"/>
      <c r="G1877" s="46"/>
    </row>
    <row r="1878" spans="4:7">
      <c r="D1878" s="46"/>
      <c r="E1878" s="46"/>
      <c r="F1878" s="46"/>
      <c r="G1878" s="46"/>
    </row>
    <row r="1879" spans="4:7">
      <c r="D1879" s="46"/>
      <c r="E1879" s="46"/>
      <c r="F1879" s="46"/>
      <c r="G1879" s="46"/>
    </row>
    <row r="1880" spans="4:7">
      <c r="D1880" s="46"/>
      <c r="E1880" s="46"/>
      <c r="F1880" s="46"/>
      <c r="G1880" s="46"/>
    </row>
    <row r="1881" spans="4:7">
      <c r="D1881" s="46"/>
      <c r="E1881" s="46"/>
      <c r="F1881" s="46"/>
      <c r="G1881" s="46"/>
    </row>
    <row r="1882" spans="4:7">
      <c r="D1882" s="46"/>
      <c r="E1882" s="46"/>
      <c r="F1882" s="46"/>
      <c r="G1882" s="46"/>
    </row>
    <row r="1883" spans="4:7">
      <c r="D1883" s="46"/>
      <c r="E1883" s="46"/>
      <c r="F1883" s="46"/>
      <c r="G1883" s="46"/>
    </row>
    <row r="1884" spans="4:7">
      <c r="D1884" s="46"/>
      <c r="E1884" s="46"/>
      <c r="F1884" s="46"/>
      <c r="G1884" s="46"/>
    </row>
    <row r="1885" spans="4:7">
      <c r="D1885" s="46"/>
      <c r="E1885" s="46"/>
      <c r="F1885" s="46"/>
      <c r="G1885" s="46"/>
    </row>
    <row r="1886" spans="4:7">
      <c r="D1886" s="46"/>
      <c r="E1886" s="46"/>
      <c r="F1886" s="46"/>
      <c r="G1886" s="46"/>
    </row>
    <row r="1887" spans="4:7">
      <c r="D1887" s="46"/>
      <c r="E1887" s="46"/>
      <c r="F1887" s="46"/>
      <c r="G1887" s="46"/>
    </row>
    <row r="1888" spans="4:7">
      <c r="D1888" s="46"/>
      <c r="E1888" s="46"/>
      <c r="F1888" s="46"/>
      <c r="G1888" s="46"/>
    </row>
    <row r="1889" spans="4:7">
      <c r="D1889" s="46"/>
      <c r="E1889" s="46"/>
      <c r="F1889" s="46"/>
      <c r="G1889" s="46"/>
    </row>
    <row r="1890" spans="4:7">
      <c r="D1890" s="46"/>
      <c r="E1890" s="46"/>
      <c r="F1890" s="46"/>
      <c r="G1890" s="46"/>
    </row>
    <row r="1891" spans="4:7">
      <c r="D1891" s="46"/>
      <c r="E1891" s="46"/>
      <c r="F1891" s="46"/>
      <c r="G1891" s="46"/>
    </row>
    <row r="1892" spans="4:7">
      <c r="D1892" s="46"/>
      <c r="E1892" s="46"/>
      <c r="F1892" s="46"/>
      <c r="G1892" s="46"/>
    </row>
    <row r="1893" spans="4:7">
      <c r="D1893" s="46"/>
      <c r="E1893" s="46"/>
      <c r="F1893" s="46"/>
      <c r="G1893" s="46"/>
    </row>
    <row r="1894" spans="4:7">
      <c r="D1894" s="46"/>
      <c r="E1894" s="46"/>
      <c r="F1894" s="46"/>
      <c r="G1894" s="46"/>
    </row>
    <row r="1895" spans="4:7">
      <c r="D1895" s="46"/>
      <c r="E1895" s="46"/>
      <c r="F1895" s="46"/>
      <c r="G1895" s="46"/>
    </row>
    <row r="1896" spans="4:7">
      <c r="D1896" s="46"/>
      <c r="E1896" s="46"/>
      <c r="F1896" s="46"/>
      <c r="G1896" s="46"/>
    </row>
    <row r="1897" spans="4:7">
      <c r="D1897" s="46"/>
      <c r="E1897" s="46"/>
      <c r="F1897" s="46"/>
      <c r="G1897" s="46"/>
    </row>
    <row r="1898" spans="4:7">
      <c r="D1898" s="46"/>
      <c r="E1898" s="46"/>
      <c r="F1898" s="46"/>
      <c r="G1898" s="46"/>
    </row>
    <row r="1899" spans="4:7">
      <c r="D1899" s="46"/>
      <c r="E1899" s="46"/>
      <c r="F1899" s="46"/>
      <c r="G1899" s="46"/>
    </row>
    <row r="1900" spans="4:7">
      <c r="D1900" s="46"/>
      <c r="E1900" s="46"/>
      <c r="F1900" s="46"/>
      <c r="G1900" s="46"/>
    </row>
    <row r="1901" spans="4:7">
      <c r="D1901" s="46"/>
      <c r="E1901" s="46"/>
      <c r="F1901" s="46"/>
      <c r="G1901" s="46"/>
    </row>
    <row r="1902" spans="4:7">
      <c r="D1902" s="46"/>
      <c r="E1902" s="46"/>
      <c r="F1902" s="46"/>
      <c r="G1902" s="46"/>
    </row>
    <row r="1903" spans="4:7">
      <c r="D1903" s="46"/>
      <c r="E1903" s="46"/>
      <c r="F1903" s="46"/>
      <c r="G1903" s="46"/>
    </row>
    <row r="1904" spans="4:7">
      <c r="D1904" s="46"/>
      <c r="E1904" s="46"/>
      <c r="F1904" s="46"/>
      <c r="G1904" s="46"/>
    </row>
    <row r="1905" spans="4:7">
      <c r="D1905" s="46"/>
      <c r="E1905" s="46"/>
      <c r="F1905" s="46"/>
      <c r="G1905" s="46"/>
    </row>
    <row r="1906" spans="4:7">
      <c r="D1906" s="46"/>
      <c r="E1906" s="46"/>
      <c r="F1906" s="46"/>
      <c r="G1906" s="46"/>
    </row>
    <row r="1907" spans="4:7">
      <c r="D1907" s="46"/>
      <c r="E1907" s="46"/>
      <c r="F1907" s="46"/>
      <c r="G1907" s="46"/>
    </row>
    <row r="1908" spans="4:7">
      <c r="D1908" s="46"/>
      <c r="E1908" s="46"/>
      <c r="F1908" s="46"/>
      <c r="G1908" s="46"/>
    </row>
    <row r="1909" spans="4:7">
      <c r="D1909" s="46"/>
      <c r="E1909" s="46"/>
      <c r="F1909" s="46"/>
      <c r="G1909" s="46"/>
    </row>
    <row r="1910" spans="4:7">
      <c r="D1910" s="46"/>
      <c r="E1910" s="46"/>
      <c r="F1910" s="46"/>
      <c r="G1910" s="46"/>
    </row>
    <row r="1911" spans="4:7">
      <c r="D1911" s="46"/>
      <c r="E1911" s="46"/>
      <c r="F1911" s="46"/>
      <c r="G1911" s="46"/>
    </row>
    <row r="1912" spans="4:7">
      <c r="D1912" s="46"/>
      <c r="E1912" s="46"/>
      <c r="F1912" s="46"/>
      <c r="G1912" s="46"/>
    </row>
    <row r="1913" spans="4:7">
      <c r="D1913" s="46"/>
      <c r="E1913" s="46"/>
      <c r="F1913" s="46"/>
      <c r="G1913" s="46"/>
    </row>
    <row r="1914" spans="4:7">
      <c r="D1914" s="46"/>
      <c r="E1914" s="46"/>
      <c r="F1914" s="46"/>
      <c r="G1914" s="46"/>
    </row>
    <row r="1915" spans="4:7">
      <c r="D1915" s="46"/>
      <c r="E1915" s="46"/>
      <c r="F1915" s="46"/>
      <c r="G1915" s="46"/>
    </row>
    <row r="1916" spans="4:7">
      <c r="D1916" s="46"/>
      <c r="E1916" s="46"/>
      <c r="F1916" s="46"/>
      <c r="G1916" s="46"/>
    </row>
    <row r="1917" spans="4:7">
      <c r="D1917" s="46"/>
      <c r="E1917" s="46"/>
      <c r="F1917" s="46"/>
      <c r="G1917" s="46"/>
    </row>
    <row r="1918" spans="4:7">
      <c r="D1918" s="46"/>
      <c r="E1918" s="46"/>
      <c r="F1918" s="46"/>
      <c r="G1918" s="46"/>
    </row>
    <row r="1919" spans="4:7">
      <c r="D1919" s="46"/>
      <c r="E1919" s="46"/>
      <c r="F1919" s="46"/>
      <c r="G1919" s="46"/>
    </row>
    <row r="1920" spans="4:7">
      <c r="D1920" s="46"/>
      <c r="E1920" s="46"/>
      <c r="F1920" s="46"/>
      <c r="G1920" s="46"/>
    </row>
    <row r="1921" spans="4:7">
      <c r="D1921" s="46"/>
      <c r="E1921" s="46"/>
      <c r="F1921" s="46"/>
      <c r="G1921" s="46"/>
    </row>
    <row r="1922" spans="4:7">
      <c r="D1922" s="46"/>
      <c r="E1922" s="46"/>
      <c r="F1922" s="46"/>
      <c r="G1922" s="46"/>
    </row>
    <row r="1923" spans="4:7">
      <c r="D1923" s="46"/>
      <c r="E1923" s="46"/>
      <c r="F1923" s="46"/>
      <c r="G1923" s="46"/>
    </row>
    <row r="1924" spans="4:7">
      <c r="D1924" s="46"/>
      <c r="E1924" s="46"/>
      <c r="F1924" s="46"/>
      <c r="G1924" s="46"/>
    </row>
    <row r="1925" spans="4:7">
      <c r="D1925" s="46"/>
      <c r="E1925" s="46"/>
      <c r="F1925" s="46"/>
      <c r="G1925" s="46"/>
    </row>
    <row r="1926" spans="4:7">
      <c r="D1926" s="46"/>
      <c r="E1926" s="46"/>
      <c r="F1926" s="46"/>
      <c r="G1926" s="46"/>
    </row>
    <row r="1927" spans="4:7">
      <c r="D1927" s="46"/>
      <c r="E1927" s="46"/>
      <c r="F1927" s="46"/>
      <c r="G1927" s="46"/>
    </row>
    <row r="1928" spans="4:7">
      <c r="D1928" s="46"/>
      <c r="E1928" s="46"/>
      <c r="F1928" s="46"/>
      <c r="G1928" s="46"/>
    </row>
    <row r="1929" spans="4:7">
      <c r="D1929" s="46"/>
      <c r="E1929" s="46"/>
      <c r="F1929" s="46"/>
      <c r="G1929" s="46"/>
    </row>
    <row r="1930" spans="4:7">
      <c r="D1930" s="46"/>
      <c r="E1930" s="46"/>
      <c r="F1930" s="46"/>
      <c r="G1930" s="46"/>
    </row>
    <row r="1931" spans="4:7">
      <c r="D1931" s="46"/>
      <c r="E1931" s="46"/>
      <c r="F1931" s="46"/>
      <c r="G1931" s="46"/>
    </row>
    <row r="1932" spans="4:7">
      <c r="D1932" s="46"/>
      <c r="E1932" s="46"/>
      <c r="F1932" s="46"/>
      <c r="G1932" s="46"/>
    </row>
    <row r="1933" spans="4:7">
      <c r="D1933" s="46"/>
      <c r="E1933" s="46"/>
      <c r="F1933" s="46"/>
      <c r="G1933" s="46"/>
    </row>
    <row r="1934" spans="4:7">
      <c r="D1934" s="46"/>
      <c r="E1934" s="46"/>
      <c r="F1934" s="46"/>
      <c r="G1934" s="46"/>
    </row>
    <row r="1935" spans="4:7">
      <c r="D1935" s="46"/>
      <c r="E1935" s="46"/>
      <c r="F1935" s="46"/>
      <c r="G1935" s="46"/>
    </row>
    <row r="1936" spans="4:7">
      <c r="D1936" s="46"/>
      <c r="E1936" s="46"/>
      <c r="F1936" s="46"/>
      <c r="G1936" s="46"/>
    </row>
    <row r="1937" spans="4:7">
      <c r="D1937" s="46"/>
      <c r="E1937" s="46"/>
      <c r="F1937" s="46"/>
      <c r="G1937" s="46"/>
    </row>
    <row r="1938" spans="4:7">
      <c r="D1938" s="46"/>
      <c r="E1938" s="46"/>
      <c r="F1938" s="46"/>
      <c r="G1938" s="46"/>
    </row>
    <row r="1939" spans="4:7">
      <c r="D1939" s="46"/>
      <c r="E1939" s="46"/>
      <c r="F1939" s="46"/>
      <c r="G1939" s="46"/>
    </row>
    <row r="1940" spans="4:7">
      <c r="D1940" s="46"/>
      <c r="E1940" s="46"/>
      <c r="F1940" s="46"/>
      <c r="G1940" s="46"/>
    </row>
    <row r="1941" spans="4:7">
      <c r="D1941" s="46"/>
      <c r="E1941" s="46"/>
      <c r="F1941" s="46"/>
      <c r="G1941" s="46"/>
    </row>
    <row r="1942" spans="4:7">
      <c r="D1942" s="46"/>
      <c r="E1942" s="46"/>
      <c r="F1942" s="46"/>
      <c r="G1942" s="46"/>
    </row>
    <row r="1943" spans="4:7">
      <c r="D1943" s="46"/>
      <c r="E1943" s="46"/>
      <c r="F1943" s="46"/>
      <c r="G1943" s="46"/>
    </row>
    <row r="1944" spans="4:7">
      <c r="D1944" s="46"/>
      <c r="E1944" s="46"/>
      <c r="F1944" s="46"/>
      <c r="G1944" s="46"/>
    </row>
    <row r="1945" spans="4:7">
      <c r="D1945" s="46"/>
      <c r="E1945" s="46"/>
      <c r="F1945" s="46"/>
      <c r="G1945" s="46"/>
    </row>
    <row r="1946" spans="4:7">
      <c r="D1946" s="46"/>
      <c r="E1946" s="46"/>
      <c r="F1946" s="46"/>
      <c r="G1946" s="46"/>
    </row>
    <row r="1947" spans="4:7">
      <c r="D1947" s="46"/>
      <c r="E1947" s="46"/>
      <c r="F1947" s="46"/>
      <c r="G1947" s="46"/>
    </row>
    <row r="1948" spans="4:7">
      <c r="D1948" s="46"/>
      <c r="E1948" s="46"/>
      <c r="F1948" s="46"/>
      <c r="G1948" s="46"/>
    </row>
    <row r="1949" spans="4:7">
      <c r="D1949" s="46"/>
      <c r="E1949" s="46"/>
      <c r="F1949" s="46"/>
      <c r="G1949" s="46"/>
    </row>
    <row r="1950" spans="4:7">
      <c r="D1950" s="46"/>
      <c r="E1950" s="46"/>
      <c r="F1950" s="46"/>
      <c r="G1950" s="46"/>
    </row>
    <row r="1951" spans="4:7">
      <c r="D1951" s="46"/>
      <c r="E1951" s="46"/>
      <c r="F1951" s="46"/>
      <c r="G1951" s="46"/>
    </row>
    <row r="1952" spans="4:7">
      <c r="D1952" s="46"/>
      <c r="E1952" s="46"/>
      <c r="F1952" s="46"/>
      <c r="G1952" s="46"/>
    </row>
    <row r="1953" spans="4:7">
      <c r="D1953" s="46"/>
      <c r="E1953" s="46"/>
      <c r="F1953" s="46"/>
      <c r="G1953" s="46"/>
    </row>
    <row r="1954" spans="4:7">
      <c r="D1954" s="46"/>
      <c r="E1954" s="46"/>
      <c r="F1954" s="46"/>
      <c r="G1954" s="46"/>
    </row>
    <row r="1955" spans="4:7">
      <c r="D1955" s="46"/>
      <c r="E1955" s="46"/>
      <c r="F1955" s="46"/>
      <c r="G1955" s="46"/>
    </row>
    <row r="1956" spans="4:7">
      <c r="D1956" s="46"/>
      <c r="E1956" s="46"/>
      <c r="F1956" s="46"/>
      <c r="G1956" s="46"/>
    </row>
    <row r="1957" spans="4:7">
      <c r="D1957" s="46"/>
      <c r="E1957" s="46"/>
      <c r="F1957" s="46"/>
      <c r="G1957" s="46"/>
    </row>
    <row r="1958" spans="4:7">
      <c r="D1958" s="46"/>
      <c r="E1958" s="46"/>
      <c r="F1958" s="46"/>
      <c r="G1958" s="46"/>
    </row>
    <row r="1959" spans="4:7">
      <c r="D1959" s="46"/>
      <c r="E1959" s="46"/>
      <c r="F1959" s="46"/>
      <c r="G1959" s="46"/>
    </row>
    <row r="1960" spans="4:7">
      <c r="D1960" s="46"/>
      <c r="E1960" s="46"/>
      <c r="F1960" s="46"/>
      <c r="G1960" s="46"/>
    </row>
    <row r="1961" spans="4:7">
      <c r="D1961" s="46"/>
      <c r="E1961" s="46"/>
      <c r="F1961" s="46"/>
      <c r="G1961" s="46"/>
    </row>
    <row r="1962" spans="4:7">
      <c r="D1962" s="46"/>
      <c r="E1962" s="46"/>
      <c r="F1962" s="46"/>
      <c r="G1962" s="46"/>
    </row>
    <row r="1963" spans="4:7">
      <c r="D1963" s="46"/>
      <c r="E1963" s="46"/>
      <c r="F1963" s="46"/>
      <c r="G1963" s="46"/>
    </row>
    <row r="1964" spans="4:7">
      <c r="D1964" s="46"/>
      <c r="E1964" s="46"/>
      <c r="F1964" s="46"/>
      <c r="G1964" s="46"/>
    </row>
    <row r="1965" spans="4:7">
      <c r="D1965" s="46"/>
      <c r="E1965" s="46"/>
      <c r="F1965" s="46"/>
      <c r="G1965" s="46"/>
    </row>
    <row r="1966" spans="4:7">
      <c r="D1966" s="46"/>
      <c r="E1966" s="46"/>
      <c r="F1966" s="46"/>
      <c r="G1966" s="46"/>
    </row>
    <row r="1967" spans="4:7">
      <c r="D1967" s="46"/>
      <c r="E1967" s="46"/>
      <c r="F1967" s="46"/>
      <c r="G1967" s="46"/>
    </row>
    <row r="1968" spans="4:7">
      <c r="D1968" s="46"/>
      <c r="E1968" s="46"/>
      <c r="F1968" s="46"/>
      <c r="G1968" s="46"/>
    </row>
    <row r="1969" spans="4:7">
      <c r="D1969" s="46"/>
      <c r="E1969" s="46"/>
      <c r="F1969" s="46"/>
      <c r="G1969" s="46"/>
    </row>
    <row r="1970" spans="4:7">
      <c r="D1970" s="46"/>
      <c r="E1970" s="46"/>
      <c r="F1970" s="46"/>
      <c r="G1970" s="46"/>
    </row>
    <row r="1971" spans="4:7">
      <c r="D1971" s="46"/>
      <c r="E1971" s="46"/>
      <c r="F1971" s="46"/>
      <c r="G1971" s="46"/>
    </row>
    <row r="1972" spans="4:7">
      <c r="D1972" s="46"/>
      <c r="E1972" s="46"/>
      <c r="F1972" s="46"/>
      <c r="G1972" s="46"/>
    </row>
    <row r="1973" spans="4:7">
      <c r="D1973" s="46"/>
      <c r="E1973" s="46"/>
      <c r="F1973" s="46"/>
      <c r="G1973" s="46"/>
    </row>
    <row r="1974" spans="4:7">
      <c r="D1974" s="46"/>
      <c r="E1974" s="46"/>
      <c r="F1974" s="46"/>
      <c r="G1974" s="46"/>
    </row>
    <row r="1975" spans="4:7">
      <c r="D1975" s="46"/>
      <c r="E1975" s="46"/>
      <c r="F1975" s="46"/>
      <c r="G1975" s="46"/>
    </row>
    <row r="1976" spans="4:7">
      <c r="D1976" s="46"/>
      <c r="E1976" s="46"/>
      <c r="F1976" s="46"/>
      <c r="G1976" s="46"/>
    </row>
    <row r="1977" spans="4:7">
      <c r="D1977" s="46"/>
      <c r="E1977" s="46"/>
      <c r="F1977" s="46"/>
      <c r="G1977" s="46"/>
    </row>
    <row r="1978" spans="4:7">
      <c r="D1978" s="46"/>
      <c r="E1978" s="46"/>
      <c r="F1978" s="46"/>
      <c r="G1978" s="46"/>
    </row>
    <row r="1979" spans="4:7">
      <c r="D1979" s="46"/>
      <c r="E1979" s="46"/>
      <c r="F1979" s="46"/>
      <c r="G1979" s="46"/>
    </row>
    <row r="1980" spans="4:7">
      <c r="D1980" s="46"/>
      <c r="E1980" s="46"/>
      <c r="F1980" s="46"/>
      <c r="G1980" s="46"/>
    </row>
    <row r="1981" spans="4:7">
      <c r="D1981" s="46"/>
      <c r="E1981" s="46"/>
      <c r="F1981" s="46"/>
      <c r="G1981" s="46"/>
    </row>
    <row r="1982" spans="4:7">
      <c r="D1982" s="46"/>
      <c r="E1982" s="46"/>
      <c r="F1982" s="46"/>
      <c r="G1982" s="46"/>
    </row>
    <row r="1983" spans="4:7">
      <c r="D1983" s="46"/>
      <c r="E1983" s="46"/>
      <c r="F1983" s="46"/>
      <c r="G1983" s="46"/>
    </row>
    <row r="1984" spans="4:7">
      <c r="D1984" s="46"/>
      <c r="E1984" s="46"/>
      <c r="F1984" s="46"/>
      <c r="G1984" s="46"/>
    </row>
    <row r="1985" spans="4:7">
      <c r="D1985" s="46"/>
      <c r="E1985" s="46"/>
      <c r="F1985" s="46"/>
      <c r="G1985" s="46"/>
    </row>
    <row r="1986" spans="4:7">
      <c r="D1986" s="46"/>
      <c r="E1986" s="46"/>
      <c r="F1986" s="46"/>
      <c r="G1986" s="46"/>
    </row>
    <row r="1987" spans="4:7">
      <c r="D1987" s="46"/>
      <c r="E1987" s="46"/>
      <c r="F1987" s="46"/>
      <c r="G1987" s="46"/>
    </row>
    <row r="1988" spans="4:7">
      <c r="D1988" s="46"/>
      <c r="E1988" s="46"/>
      <c r="F1988" s="46"/>
      <c r="G1988" s="46"/>
    </row>
    <row r="1989" spans="4:7">
      <c r="D1989" s="46"/>
      <c r="E1989" s="46"/>
      <c r="F1989" s="46"/>
      <c r="G1989" s="46"/>
    </row>
    <row r="1990" spans="4:7">
      <c r="D1990" s="46"/>
      <c r="E1990" s="46"/>
      <c r="F1990" s="46"/>
      <c r="G1990" s="46"/>
    </row>
    <row r="1991" spans="4:7">
      <c r="D1991" s="46"/>
      <c r="E1991" s="46"/>
      <c r="F1991" s="46"/>
      <c r="G1991" s="46"/>
    </row>
    <row r="1992" spans="4:7">
      <c r="D1992" s="46"/>
      <c r="E1992" s="46"/>
      <c r="F1992" s="46"/>
      <c r="G1992" s="46"/>
    </row>
    <row r="1993" spans="4:7">
      <c r="D1993" s="46"/>
      <c r="E1993" s="46"/>
      <c r="F1993" s="46"/>
      <c r="G1993" s="46"/>
    </row>
    <row r="1994" spans="4:7">
      <c r="D1994" s="46"/>
      <c r="E1994" s="46"/>
      <c r="F1994" s="46"/>
      <c r="G1994" s="46"/>
    </row>
    <row r="1995" spans="4:7">
      <c r="D1995" s="46"/>
      <c r="E1995" s="46"/>
      <c r="F1995" s="46"/>
      <c r="G1995" s="46"/>
    </row>
    <row r="1996" spans="4:7">
      <c r="D1996" s="46"/>
      <c r="E1996" s="46"/>
      <c r="F1996" s="46"/>
      <c r="G1996" s="46"/>
    </row>
    <row r="1997" spans="4:7">
      <c r="D1997" s="46"/>
      <c r="E1997" s="46"/>
      <c r="F1997" s="46"/>
      <c r="G1997" s="46"/>
    </row>
    <row r="1998" spans="4:7">
      <c r="D1998" s="46"/>
      <c r="E1998" s="46"/>
      <c r="F1998" s="46"/>
      <c r="G1998" s="46"/>
    </row>
    <row r="1999" spans="4:7">
      <c r="D1999" s="46"/>
      <c r="E1999" s="46"/>
      <c r="F1999" s="46"/>
      <c r="G1999" s="46"/>
    </row>
    <row r="2000" spans="4:7">
      <c r="D2000" s="46"/>
      <c r="E2000" s="46"/>
      <c r="F2000" s="46"/>
      <c r="G2000" s="46"/>
    </row>
    <row r="2001" spans="4:7">
      <c r="D2001" s="46"/>
      <c r="E2001" s="46"/>
      <c r="F2001" s="46"/>
      <c r="G2001" s="46"/>
    </row>
    <row r="2002" spans="4:7">
      <c r="D2002" s="46"/>
      <c r="E2002" s="46"/>
      <c r="F2002" s="46"/>
      <c r="G2002" s="46"/>
    </row>
    <row r="2003" spans="4:7">
      <c r="D2003" s="46"/>
      <c r="E2003" s="46"/>
      <c r="F2003" s="46"/>
      <c r="G2003" s="46"/>
    </row>
    <row r="2004" spans="4:7">
      <c r="D2004" s="46"/>
      <c r="E2004" s="46"/>
      <c r="F2004" s="46"/>
      <c r="G2004" s="46"/>
    </row>
    <row r="2005" spans="4:7">
      <c r="D2005" s="46"/>
      <c r="E2005" s="46"/>
      <c r="F2005" s="46"/>
      <c r="G2005" s="46"/>
    </row>
    <row r="2006" spans="4:7">
      <c r="D2006" s="46"/>
      <c r="E2006" s="46"/>
      <c r="F2006" s="46"/>
      <c r="G2006" s="46"/>
    </row>
    <row r="2007" spans="4:7">
      <c r="D2007" s="46"/>
      <c r="E2007" s="46"/>
      <c r="F2007" s="46"/>
      <c r="G2007" s="46"/>
    </row>
    <row r="2008" spans="4:7">
      <c r="D2008" s="46"/>
      <c r="E2008" s="46"/>
      <c r="F2008" s="46"/>
      <c r="G2008" s="46"/>
    </row>
    <row r="2009" spans="4:7">
      <c r="D2009" s="46"/>
      <c r="E2009" s="46"/>
      <c r="F2009" s="46"/>
      <c r="G2009" s="46"/>
    </row>
    <row r="2010" spans="4:7">
      <c r="D2010" s="46"/>
      <c r="E2010" s="46"/>
      <c r="F2010" s="46"/>
      <c r="G2010" s="46"/>
    </row>
    <row r="2011" spans="4:7">
      <c r="D2011" s="46"/>
      <c r="E2011" s="46"/>
      <c r="F2011" s="46"/>
      <c r="G2011" s="46"/>
    </row>
    <row r="2012" spans="4:7">
      <c r="D2012" s="46"/>
      <c r="E2012" s="46"/>
      <c r="F2012" s="46"/>
      <c r="G2012" s="46"/>
    </row>
    <row r="2013" spans="4:7">
      <c r="D2013" s="46"/>
      <c r="E2013" s="46"/>
      <c r="F2013" s="46"/>
      <c r="G2013" s="46"/>
    </row>
    <row r="2014" spans="4:7">
      <c r="D2014" s="46"/>
      <c r="E2014" s="46"/>
      <c r="F2014" s="46"/>
      <c r="G2014" s="46"/>
    </row>
    <row r="2015" spans="4:7">
      <c r="D2015" s="46"/>
      <c r="E2015" s="46"/>
      <c r="F2015" s="46"/>
      <c r="G2015" s="46"/>
    </row>
    <row r="2016" spans="4:7">
      <c r="D2016" s="46"/>
      <c r="E2016" s="46"/>
      <c r="F2016" s="46"/>
      <c r="G2016" s="46"/>
    </row>
    <row r="2017" spans="4:7">
      <c r="D2017" s="46"/>
      <c r="E2017" s="46"/>
      <c r="F2017" s="46"/>
      <c r="G2017" s="46"/>
    </row>
    <row r="2018" spans="4:7">
      <c r="D2018" s="46"/>
      <c r="E2018" s="46"/>
      <c r="F2018" s="46"/>
      <c r="G2018" s="46"/>
    </row>
    <row r="2019" spans="4:7">
      <c r="D2019" s="46"/>
      <c r="E2019" s="46"/>
      <c r="F2019" s="46"/>
      <c r="G2019" s="46"/>
    </row>
    <row r="2020" spans="4:7">
      <c r="D2020" s="46"/>
      <c r="E2020" s="46"/>
      <c r="F2020" s="46"/>
      <c r="G2020" s="46"/>
    </row>
    <row r="2021" spans="4:7">
      <c r="D2021" s="46"/>
      <c r="E2021" s="46"/>
      <c r="F2021" s="46"/>
      <c r="G2021" s="46"/>
    </row>
    <row r="2022" spans="4:7">
      <c r="D2022" s="46"/>
      <c r="E2022" s="46"/>
      <c r="F2022" s="46"/>
      <c r="G2022" s="46"/>
    </row>
    <row r="2023" spans="4:7">
      <c r="D2023" s="46"/>
      <c r="E2023" s="46"/>
      <c r="F2023" s="46"/>
      <c r="G2023" s="46"/>
    </row>
    <row r="2024" spans="4:7">
      <c r="D2024" s="46"/>
      <c r="E2024" s="46"/>
      <c r="F2024" s="46"/>
      <c r="G2024" s="46"/>
    </row>
    <row r="2025" spans="4:7">
      <c r="D2025" s="46"/>
      <c r="E2025" s="46"/>
      <c r="F2025" s="46"/>
      <c r="G2025" s="46"/>
    </row>
    <row r="2026" spans="4:7">
      <c r="D2026" s="46"/>
      <c r="E2026" s="46"/>
      <c r="F2026" s="46"/>
      <c r="G2026" s="46"/>
    </row>
    <row r="2027" spans="4:7">
      <c r="D2027" s="46"/>
      <c r="E2027" s="46"/>
      <c r="F2027" s="46"/>
      <c r="G2027" s="46"/>
    </row>
    <row r="2028" spans="4:7">
      <c r="D2028" s="46"/>
      <c r="E2028" s="46"/>
      <c r="F2028" s="46"/>
      <c r="G2028" s="46"/>
    </row>
    <row r="2029" spans="4:7">
      <c r="D2029" s="46"/>
      <c r="E2029" s="46"/>
      <c r="F2029" s="46"/>
      <c r="G2029" s="46"/>
    </row>
    <row r="2030" spans="4:7">
      <c r="D2030" s="46"/>
      <c r="E2030" s="46"/>
      <c r="F2030" s="46"/>
      <c r="G2030" s="46"/>
    </row>
    <row r="2031" spans="4:7">
      <c r="D2031" s="46"/>
      <c r="E2031" s="46"/>
      <c r="F2031" s="46"/>
      <c r="G2031" s="46"/>
    </row>
    <row r="2032" spans="4:7">
      <c r="D2032" s="46"/>
      <c r="E2032" s="46"/>
      <c r="F2032" s="46"/>
      <c r="G2032" s="46"/>
    </row>
    <row r="2033" spans="4:7">
      <c r="D2033" s="46"/>
      <c r="E2033" s="46"/>
      <c r="F2033" s="46"/>
      <c r="G2033" s="46"/>
    </row>
    <row r="2034" spans="4:7">
      <c r="D2034" s="46"/>
      <c r="E2034" s="46"/>
      <c r="F2034" s="46"/>
      <c r="G2034" s="46"/>
    </row>
    <row r="2035" spans="4:7">
      <c r="D2035" s="46"/>
      <c r="E2035" s="46"/>
      <c r="F2035" s="46"/>
      <c r="G2035" s="46"/>
    </row>
    <row r="2036" spans="4:7">
      <c r="D2036" s="46"/>
      <c r="E2036" s="46"/>
      <c r="F2036" s="46"/>
      <c r="G2036" s="46"/>
    </row>
    <row r="2037" spans="4:7">
      <c r="D2037" s="46"/>
      <c r="E2037" s="46"/>
      <c r="F2037" s="46"/>
      <c r="G2037" s="46"/>
    </row>
    <row r="2038" spans="4:7">
      <c r="D2038" s="46"/>
      <c r="E2038" s="46"/>
      <c r="F2038" s="46"/>
      <c r="G2038" s="46"/>
    </row>
    <row r="2039" spans="4:7">
      <c r="D2039" s="46"/>
      <c r="E2039" s="46"/>
      <c r="F2039" s="46"/>
      <c r="G2039" s="46"/>
    </row>
    <row r="2040" spans="4:7">
      <c r="D2040" s="46"/>
      <c r="E2040" s="46"/>
      <c r="F2040" s="46"/>
      <c r="G2040" s="46"/>
    </row>
    <row r="2041" spans="4:7">
      <c r="D2041" s="46"/>
      <c r="E2041" s="46"/>
      <c r="F2041" s="46"/>
      <c r="G2041" s="46"/>
    </row>
    <row r="2042" spans="4:7">
      <c r="D2042" s="46"/>
      <c r="E2042" s="46"/>
      <c r="F2042" s="46"/>
      <c r="G2042" s="46"/>
    </row>
    <row r="2043" spans="4:7">
      <c r="D2043" s="46"/>
      <c r="E2043" s="46"/>
      <c r="F2043" s="46"/>
      <c r="G2043" s="46"/>
    </row>
    <row r="2044" spans="4:7">
      <c r="D2044" s="46"/>
      <c r="E2044" s="46"/>
      <c r="F2044" s="46"/>
      <c r="G2044" s="46"/>
    </row>
    <row r="2045" spans="4:7">
      <c r="D2045" s="46"/>
      <c r="E2045" s="46"/>
      <c r="F2045" s="46"/>
      <c r="G2045" s="46"/>
    </row>
    <row r="2046" spans="4:7">
      <c r="D2046" s="46"/>
      <c r="E2046" s="46"/>
      <c r="F2046" s="46"/>
      <c r="G2046" s="46"/>
    </row>
    <row r="2047" spans="4:7">
      <c r="D2047" s="46"/>
      <c r="E2047" s="46"/>
      <c r="F2047" s="46"/>
      <c r="G2047" s="46"/>
    </row>
    <row r="2048" spans="4:7">
      <c r="D2048" s="46"/>
      <c r="E2048" s="46"/>
      <c r="F2048" s="46"/>
      <c r="G2048" s="46"/>
    </row>
    <row r="2049" spans="4:7">
      <c r="D2049" s="46"/>
      <c r="E2049" s="46"/>
      <c r="F2049" s="46"/>
      <c r="G2049" s="46"/>
    </row>
    <row r="2050" spans="4:7">
      <c r="D2050" s="46"/>
      <c r="E2050" s="46"/>
      <c r="F2050" s="46"/>
      <c r="G2050" s="46"/>
    </row>
    <row r="2051" spans="4:7">
      <c r="D2051" s="46"/>
      <c r="E2051" s="46"/>
      <c r="F2051" s="46"/>
      <c r="G2051" s="46"/>
    </row>
    <row r="2052" spans="4:7">
      <c r="D2052" s="46"/>
      <c r="E2052" s="46"/>
      <c r="F2052" s="46"/>
      <c r="G2052" s="46"/>
    </row>
    <row r="2053" spans="4:7">
      <c r="D2053" s="46"/>
      <c r="E2053" s="46"/>
      <c r="F2053" s="46"/>
      <c r="G2053" s="46"/>
    </row>
    <row r="2054" spans="4:7">
      <c r="D2054" s="46"/>
      <c r="E2054" s="46"/>
      <c r="F2054" s="46"/>
      <c r="G2054" s="46"/>
    </row>
    <row r="2055" spans="4:7">
      <c r="D2055" s="46"/>
      <c r="E2055" s="46"/>
      <c r="F2055" s="46"/>
      <c r="G2055" s="46"/>
    </row>
    <row r="2056" spans="4:7">
      <c r="D2056" s="46"/>
      <c r="E2056" s="46"/>
      <c r="F2056" s="46"/>
      <c r="G2056" s="46"/>
    </row>
    <row r="2057" spans="4:7">
      <c r="D2057" s="46"/>
      <c r="E2057" s="46"/>
      <c r="F2057" s="46"/>
      <c r="G2057" s="46"/>
    </row>
    <row r="2058" spans="4:7">
      <c r="D2058" s="46"/>
      <c r="E2058" s="46"/>
      <c r="F2058" s="46"/>
      <c r="G2058" s="46"/>
    </row>
    <row r="2059" spans="4:7">
      <c r="D2059" s="46"/>
      <c r="E2059" s="46"/>
      <c r="F2059" s="46"/>
      <c r="G2059" s="46"/>
    </row>
    <row r="2060" spans="4:7">
      <c r="D2060" s="46"/>
      <c r="E2060" s="46"/>
      <c r="F2060" s="46"/>
      <c r="G2060" s="46"/>
    </row>
    <row r="2061" spans="4:7">
      <c r="D2061" s="46"/>
      <c r="E2061" s="46"/>
      <c r="F2061" s="46"/>
      <c r="G2061" s="46"/>
    </row>
    <row r="2062" spans="4:7">
      <c r="D2062" s="46"/>
      <c r="E2062" s="46"/>
      <c r="F2062" s="46"/>
      <c r="G2062" s="46"/>
    </row>
    <row r="2063" spans="4:7">
      <c r="D2063" s="46"/>
      <c r="E2063" s="46"/>
      <c r="F2063" s="46"/>
      <c r="G2063" s="46"/>
    </row>
    <row r="2064" spans="4:7">
      <c r="D2064" s="46"/>
      <c r="E2064" s="46"/>
      <c r="F2064" s="46"/>
      <c r="G2064" s="46"/>
    </row>
    <row r="2065" spans="4:7">
      <c r="D2065" s="46"/>
      <c r="E2065" s="46"/>
      <c r="F2065" s="46"/>
      <c r="G2065" s="46"/>
    </row>
    <row r="2066" spans="4:7">
      <c r="D2066" s="46"/>
      <c r="E2066" s="46"/>
      <c r="F2066" s="46"/>
      <c r="G2066" s="46"/>
    </row>
    <row r="2067" spans="4:7">
      <c r="D2067" s="46"/>
      <c r="E2067" s="46"/>
      <c r="F2067" s="46"/>
      <c r="G2067" s="46"/>
    </row>
    <row r="2068" spans="4:7">
      <c r="D2068" s="46"/>
      <c r="E2068" s="46"/>
      <c r="F2068" s="46"/>
      <c r="G2068" s="46"/>
    </row>
    <row r="2069" spans="4:7">
      <c r="D2069" s="46"/>
      <c r="E2069" s="46"/>
      <c r="F2069" s="46"/>
      <c r="G2069" s="46"/>
    </row>
    <row r="2070" spans="4:7">
      <c r="D2070" s="46"/>
      <c r="E2070" s="46"/>
      <c r="F2070" s="46"/>
      <c r="G2070" s="46"/>
    </row>
    <row r="2071" spans="4:7">
      <c r="D2071" s="46"/>
      <c r="E2071" s="46"/>
      <c r="F2071" s="46"/>
      <c r="G2071" s="46"/>
    </row>
    <row r="2072" spans="4:7">
      <c r="D2072" s="46"/>
      <c r="E2072" s="46"/>
      <c r="F2072" s="46"/>
      <c r="G2072" s="46"/>
    </row>
    <row r="2073" spans="4:7">
      <c r="D2073" s="46"/>
      <c r="E2073" s="46"/>
      <c r="F2073" s="46"/>
      <c r="G2073" s="46"/>
    </row>
    <row r="2074" spans="4:7">
      <c r="D2074" s="46"/>
      <c r="E2074" s="46"/>
      <c r="F2074" s="46"/>
      <c r="G2074" s="46"/>
    </row>
    <row r="2075" spans="4:7">
      <c r="D2075" s="46"/>
      <c r="E2075" s="46"/>
      <c r="F2075" s="46"/>
      <c r="G2075" s="46"/>
    </row>
    <row r="2076" spans="4:7">
      <c r="D2076" s="46"/>
      <c r="E2076" s="46"/>
      <c r="F2076" s="46"/>
      <c r="G2076" s="46"/>
    </row>
    <row r="2077" spans="4:7">
      <c r="D2077" s="46"/>
      <c r="E2077" s="46"/>
      <c r="F2077" s="46"/>
      <c r="G2077" s="46"/>
    </row>
    <row r="2078" spans="4:7">
      <c r="D2078" s="46"/>
      <c r="E2078" s="46"/>
      <c r="F2078" s="46"/>
      <c r="G2078" s="46"/>
    </row>
    <row r="2079" spans="4:7">
      <c r="D2079" s="46"/>
      <c r="E2079" s="46"/>
      <c r="F2079" s="46"/>
      <c r="G2079" s="46"/>
    </row>
    <row r="2080" spans="4:7">
      <c r="D2080" s="46"/>
      <c r="E2080" s="46"/>
      <c r="F2080" s="46"/>
      <c r="G2080" s="46"/>
    </row>
    <row r="2081" spans="4:7">
      <c r="D2081" s="46"/>
      <c r="E2081" s="46"/>
      <c r="F2081" s="46"/>
      <c r="G2081" s="46"/>
    </row>
    <row r="2082" spans="4:7">
      <c r="D2082" s="46"/>
      <c r="E2082" s="46"/>
      <c r="F2082" s="46"/>
      <c r="G2082" s="46"/>
    </row>
    <row r="2083" spans="4:7">
      <c r="D2083" s="46"/>
      <c r="E2083" s="46"/>
      <c r="F2083" s="46"/>
      <c r="G2083" s="46"/>
    </row>
    <row r="2084" spans="4:7">
      <c r="D2084" s="46"/>
      <c r="E2084" s="46"/>
      <c r="F2084" s="46"/>
      <c r="G2084" s="46"/>
    </row>
    <row r="2085" spans="4:7">
      <c r="D2085" s="46"/>
      <c r="E2085" s="46"/>
      <c r="F2085" s="46"/>
      <c r="G2085" s="46"/>
    </row>
    <row r="2086" spans="4:7">
      <c r="D2086" s="46"/>
      <c r="E2086" s="46"/>
      <c r="F2086" s="46"/>
      <c r="G2086" s="46"/>
    </row>
    <row r="2087" spans="4:7">
      <c r="D2087" s="46"/>
      <c r="E2087" s="46"/>
      <c r="F2087" s="46"/>
      <c r="G2087" s="46"/>
    </row>
    <row r="2088" spans="4:7">
      <c r="D2088" s="46"/>
      <c r="E2088" s="46"/>
      <c r="F2088" s="46"/>
      <c r="G2088" s="46"/>
    </row>
    <row r="2089" spans="4:7">
      <c r="D2089" s="46"/>
      <c r="E2089" s="46"/>
      <c r="F2089" s="46"/>
      <c r="G2089" s="46"/>
    </row>
    <row r="2090" spans="4:7">
      <c r="D2090" s="46"/>
      <c r="E2090" s="46"/>
      <c r="F2090" s="46"/>
      <c r="G2090" s="46"/>
    </row>
    <row r="2091" spans="4:7">
      <c r="D2091" s="46"/>
      <c r="E2091" s="46"/>
      <c r="F2091" s="46"/>
      <c r="G2091" s="46"/>
    </row>
    <row r="2092" spans="4:7">
      <c r="D2092" s="46"/>
      <c r="E2092" s="46"/>
      <c r="F2092" s="46"/>
      <c r="G2092" s="46"/>
    </row>
    <row r="2093" spans="4:7">
      <c r="D2093" s="46"/>
      <c r="E2093" s="46"/>
      <c r="F2093" s="46"/>
      <c r="G2093" s="46"/>
    </row>
    <row r="2094" spans="4:7">
      <c r="D2094" s="46"/>
      <c r="E2094" s="46"/>
      <c r="F2094" s="46"/>
      <c r="G2094" s="46"/>
    </row>
    <row r="2095" spans="4:7">
      <c r="D2095" s="46"/>
      <c r="E2095" s="46"/>
      <c r="F2095" s="46"/>
      <c r="G2095" s="46"/>
    </row>
    <row r="2096" spans="4:7">
      <c r="D2096" s="46"/>
      <c r="E2096" s="46"/>
      <c r="F2096" s="46"/>
      <c r="G2096" s="46"/>
    </row>
    <row r="2097" spans="4:7">
      <c r="D2097" s="46"/>
      <c r="E2097" s="46"/>
      <c r="F2097" s="46"/>
      <c r="G2097" s="46"/>
    </row>
    <row r="2098" spans="4:7">
      <c r="D2098" s="46"/>
      <c r="E2098" s="46"/>
      <c r="F2098" s="46"/>
      <c r="G2098" s="46"/>
    </row>
    <row r="2099" spans="4:7">
      <c r="D2099" s="46"/>
      <c r="E2099" s="46"/>
      <c r="F2099" s="46"/>
      <c r="G2099" s="46"/>
    </row>
    <row r="2100" spans="4:7">
      <c r="D2100" s="46"/>
      <c r="E2100" s="46"/>
      <c r="F2100" s="46"/>
      <c r="G2100" s="46"/>
    </row>
    <row r="2101" spans="4:7">
      <c r="D2101" s="46"/>
      <c r="E2101" s="46"/>
      <c r="F2101" s="46"/>
      <c r="G2101" s="46"/>
    </row>
    <row r="2102" spans="4:7">
      <c r="D2102" s="46"/>
      <c r="E2102" s="46"/>
      <c r="F2102" s="46"/>
      <c r="G2102" s="46"/>
    </row>
    <row r="2103" spans="4:7">
      <c r="D2103" s="46"/>
      <c r="E2103" s="46"/>
      <c r="F2103" s="46"/>
      <c r="G2103" s="46"/>
    </row>
    <row r="2104" spans="4:7">
      <c r="D2104" s="46"/>
      <c r="E2104" s="46"/>
      <c r="F2104" s="46"/>
      <c r="G2104" s="46"/>
    </row>
    <row r="2105" spans="4:7">
      <c r="D2105" s="46"/>
      <c r="E2105" s="46"/>
      <c r="F2105" s="46"/>
      <c r="G2105" s="46"/>
    </row>
    <row r="2106" spans="4:7">
      <c r="D2106" s="46"/>
      <c r="E2106" s="46"/>
      <c r="F2106" s="46"/>
      <c r="G2106" s="46"/>
    </row>
    <row r="2107" spans="4:7">
      <c r="D2107" s="46"/>
      <c r="E2107" s="46"/>
      <c r="F2107" s="46"/>
      <c r="G2107" s="46"/>
    </row>
    <row r="2108" spans="4:7">
      <c r="D2108" s="46"/>
      <c r="E2108" s="46"/>
      <c r="F2108" s="46"/>
      <c r="G2108" s="46"/>
    </row>
    <row r="2109" spans="4:7">
      <c r="D2109" s="46"/>
      <c r="E2109" s="46"/>
      <c r="F2109" s="46"/>
      <c r="G2109" s="46"/>
    </row>
    <row r="2110" spans="4:7">
      <c r="D2110" s="46"/>
      <c r="E2110" s="46"/>
      <c r="F2110" s="46"/>
      <c r="G2110" s="46"/>
    </row>
    <row r="2111" spans="4:7">
      <c r="D2111" s="46"/>
      <c r="E2111" s="46"/>
      <c r="F2111" s="46"/>
      <c r="G2111" s="46"/>
    </row>
    <row r="2112" spans="4:7">
      <c r="D2112" s="46"/>
      <c r="E2112" s="46"/>
      <c r="F2112" s="46"/>
      <c r="G2112" s="46"/>
    </row>
    <row r="2113" spans="4:7">
      <c r="D2113" s="46"/>
      <c r="E2113" s="46"/>
      <c r="F2113" s="46"/>
      <c r="G2113" s="46"/>
    </row>
    <row r="2114" spans="4:7">
      <c r="D2114" s="46"/>
      <c r="E2114" s="46"/>
      <c r="F2114" s="46"/>
      <c r="G2114" s="46"/>
    </row>
    <row r="2115" spans="4:7">
      <c r="D2115" s="46"/>
      <c r="E2115" s="46"/>
      <c r="F2115" s="46"/>
      <c r="G2115" s="46"/>
    </row>
    <row r="2116" spans="4:7">
      <c r="D2116" s="46"/>
      <c r="E2116" s="46"/>
      <c r="F2116" s="46"/>
      <c r="G2116" s="46"/>
    </row>
    <row r="2117" spans="4:7">
      <c r="D2117" s="46"/>
      <c r="E2117" s="46"/>
      <c r="F2117" s="46"/>
      <c r="G2117" s="46"/>
    </row>
    <row r="2118" spans="4:7">
      <c r="D2118" s="46"/>
      <c r="E2118" s="46"/>
      <c r="F2118" s="46"/>
      <c r="G2118" s="46"/>
    </row>
    <row r="2119" spans="4:7">
      <c r="D2119" s="46"/>
      <c r="E2119" s="46"/>
      <c r="F2119" s="46"/>
      <c r="G2119" s="46"/>
    </row>
    <row r="2120" spans="4:7">
      <c r="D2120" s="46"/>
      <c r="E2120" s="46"/>
      <c r="F2120" s="46"/>
      <c r="G2120" s="46"/>
    </row>
    <row r="2121" spans="4:7">
      <c r="D2121" s="46"/>
      <c r="E2121" s="46"/>
      <c r="F2121" s="46"/>
      <c r="G2121" s="46"/>
    </row>
    <row r="2122" spans="4:7">
      <c r="D2122" s="46"/>
      <c r="E2122" s="46"/>
      <c r="F2122" s="46"/>
      <c r="G2122" s="46"/>
    </row>
    <row r="2123" spans="4:7">
      <c r="D2123" s="46"/>
      <c r="E2123" s="46"/>
      <c r="F2123" s="46"/>
      <c r="G2123" s="46"/>
    </row>
    <row r="2124" spans="4:7">
      <c r="D2124" s="46"/>
      <c r="E2124" s="46"/>
      <c r="F2124" s="46"/>
      <c r="G2124" s="46"/>
    </row>
    <row r="2125" spans="4:7">
      <c r="D2125" s="46"/>
      <c r="E2125" s="46"/>
      <c r="F2125" s="46"/>
      <c r="G2125" s="46"/>
    </row>
    <row r="2126" spans="4:7">
      <c r="D2126" s="46"/>
      <c r="E2126" s="46"/>
      <c r="F2126" s="46"/>
      <c r="G2126" s="46"/>
    </row>
    <row r="2127" spans="4:7">
      <c r="D2127" s="46"/>
      <c r="E2127" s="46"/>
      <c r="F2127" s="46"/>
      <c r="G2127" s="46"/>
    </row>
    <row r="2128" spans="4:7">
      <c r="D2128" s="46"/>
      <c r="E2128" s="46"/>
      <c r="F2128" s="46"/>
      <c r="G2128" s="46"/>
    </row>
    <row r="2129" spans="4:7">
      <c r="D2129" s="46"/>
      <c r="E2129" s="46"/>
      <c r="F2129" s="46"/>
      <c r="G2129" s="46"/>
    </row>
    <row r="2130" spans="4:7">
      <c r="D2130" s="46"/>
      <c r="E2130" s="46"/>
      <c r="F2130" s="46"/>
      <c r="G2130" s="46"/>
    </row>
    <row r="2131" spans="4:7">
      <c r="D2131" s="46"/>
      <c r="E2131" s="46"/>
      <c r="F2131" s="46"/>
      <c r="G2131" s="46"/>
    </row>
    <row r="2132" spans="4:7">
      <c r="D2132" s="46"/>
      <c r="E2132" s="46"/>
      <c r="F2132" s="46"/>
      <c r="G2132" s="46"/>
    </row>
    <row r="2133" spans="4:7">
      <c r="D2133" s="46"/>
      <c r="E2133" s="46"/>
      <c r="F2133" s="46"/>
      <c r="G2133" s="46"/>
    </row>
    <row r="2134" spans="4:7">
      <c r="D2134" s="46"/>
      <c r="E2134" s="46"/>
      <c r="F2134" s="46"/>
      <c r="G2134" s="46"/>
    </row>
    <row r="2135" spans="4:7">
      <c r="D2135" s="46"/>
      <c r="E2135" s="46"/>
      <c r="F2135" s="46"/>
      <c r="G2135" s="46"/>
    </row>
    <row r="2136" spans="4:7">
      <c r="D2136" s="46"/>
      <c r="E2136" s="46"/>
      <c r="F2136" s="46"/>
      <c r="G2136" s="46"/>
    </row>
    <row r="2137" spans="4:7">
      <c r="D2137" s="46"/>
      <c r="E2137" s="46"/>
      <c r="F2137" s="46"/>
      <c r="G2137" s="46"/>
    </row>
    <row r="2138" spans="4:7">
      <c r="D2138" s="46"/>
      <c r="E2138" s="46"/>
      <c r="F2138" s="46"/>
      <c r="G2138" s="46"/>
    </row>
    <row r="2139" spans="4:7">
      <c r="D2139" s="46"/>
      <c r="E2139" s="46"/>
      <c r="F2139" s="46"/>
      <c r="G2139" s="46"/>
    </row>
    <row r="2140" spans="4:7">
      <c r="D2140" s="46"/>
      <c r="E2140" s="46"/>
      <c r="F2140" s="46"/>
      <c r="G2140" s="46"/>
    </row>
    <row r="2141" spans="4:7">
      <c r="D2141" s="46"/>
      <c r="E2141" s="46"/>
      <c r="F2141" s="46"/>
      <c r="G2141" s="46"/>
    </row>
    <row r="2142" spans="4:7">
      <c r="D2142" s="46"/>
      <c r="E2142" s="46"/>
      <c r="F2142" s="46"/>
      <c r="G2142" s="46"/>
    </row>
    <row r="2143" spans="4:7">
      <c r="D2143" s="46"/>
      <c r="E2143" s="46"/>
      <c r="F2143" s="46"/>
      <c r="G2143" s="46"/>
    </row>
    <row r="2144" spans="4:7">
      <c r="D2144" s="46"/>
      <c r="E2144" s="46"/>
      <c r="F2144" s="46"/>
      <c r="G2144" s="46"/>
    </row>
    <row r="2145" spans="4:7">
      <c r="D2145" s="46"/>
      <c r="E2145" s="46"/>
      <c r="F2145" s="46"/>
      <c r="G2145" s="46"/>
    </row>
    <row r="2146" spans="4:7">
      <c r="D2146" s="46"/>
      <c r="E2146" s="46"/>
      <c r="F2146" s="46"/>
      <c r="G2146" s="46"/>
    </row>
    <row r="2147" spans="4:7">
      <c r="D2147" s="46"/>
      <c r="E2147" s="46"/>
      <c r="F2147" s="46"/>
      <c r="G2147" s="46"/>
    </row>
    <row r="2148" spans="4:7">
      <c r="D2148" s="46"/>
      <c r="E2148" s="46"/>
      <c r="F2148" s="46"/>
      <c r="G2148" s="46"/>
    </row>
    <row r="2149" spans="4:7">
      <c r="D2149" s="46"/>
      <c r="E2149" s="46"/>
      <c r="F2149" s="46"/>
      <c r="G2149" s="46"/>
    </row>
    <row r="2150" spans="4:7">
      <c r="D2150" s="46"/>
      <c r="E2150" s="46"/>
      <c r="F2150" s="46"/>
      <c r="G2150" s="46"/>
    </row>
    <row r="2151" spans="4:7">
      <c r="D2151" s="46"/>
      <c r="E2151" s="46"/>
      <c r="F2151" s="46"/>
      <c r="G2151" s="46"/>
    </row>
    <row r="2152" spans="4:7">
      <c r="D2152" s="46"/>
      <c r="E2152" s="46"/>
      <c r="F2152" s="46"/>
      <c r="G2152" s="46"/>
    </row>
    <row r="2153" spans="4:7">
      <c r="D2153" s="46"/>
      <c r="E2153" s="46"/>
      <c r="F2153" s="46"/>
      <c r="G2153" s="46"/>
    </row>
    <row r="2154" spans="4:7">
      <c r="D2154" s="46"/>
      <c r="E2154" s="46"/>
      <c r="F2154" s="46"/>
      <c r="G2154" s="46"/>
    </row>
    <row r="2155" spans="4:7">
      <c r="D2155" s="46"/>
      <c r="E2155" s="46"/>
      <c r="F2155" s="46"/>
      <c r="G2155" s="46"/>
    </row>
    <row r="2156" spans="4:7">
      <c r="D2156" s="46"/>
      <c r="E2156" s="46"/>
      <c r="F2156" s="46"/>
      <c r="G2156" s="46"/>
    </row>
    <row r="2157" spans="4:7">
      <c r="D2157" s="46"/>
      <c r="E2157" s="46"/>
      <c r="F2157" s="46"/>
      <c r="G2157" s="46"/>
    </row>
    <row r="2158" spans="4:7">
      <c r="D2158" s="46"/>
      <c r="E2158" s="46"/>
      <c r="F2158" s="46"/>
      <c r="G2158" s="46"/>
    </row>
    <row r="2159" spans="4:7">
      <c r="D2159" s="46"/>
      <c r="E2159" s="46"/>
      <c r="F2159" s="46"/>
      <c r="G2159" s="46"/>
    </row>
    <row r="2160" spans="4:7">
      <c r="D2160" s="46"/>
      <c r="E2160" s="46"/>
      <c r="F2160" s="46"/>
      <c r="G2160" s="46"/>
    </row>
    <row r="2161" spans="4:7">
      <c r="D2161" s="46"/>
      <c r="E2161" s="46"/>
      <c r="F2161" s="46"/>
      <c r="G2161" s="46"/>
    </row>
    <row r="2162" spans="4:7">
      <c r="D2162" s="46"/>
      <c r="E2162" s="46"/>
      <c r="F2162" s="46"/>
      <c r="G2162" s="46"/>
    </row>
    <row r="2163" spans="4:7">
      <c r="D2163" s="46"/>
      <c r="E2163" s="46"/>
      <c r="F2163" s="46"/>
      <c r="G2163" s="46"/>
    </row>
    <row r="2164" spans="4:7">
      <c r="D2164" s="46"/>
      <c r="E2164" s="46"/>
      <c r="F2164" s="46"/>
      <c r="G2164" s="46"/>
    </row>
    <row r="2165" spans="4:7">
      <c r="D2165" s="46"/>
      <c r="E2165" s="46"/>
      <c r="F2165" s="46"/>
      <c r="G2165" s="46"/>
    </row>
    <row r="2166" spans="4:7">
      <c r="D2166" s="46"/>
      <c r="E2166" s="46"/>
      <c r="F2166" s="46"/>
      <c r="G2166" s="46"/>
    </row>
    <row r="2167" spans="4:7">
      <c r="D2167" s="46"/>
      <c r="E2167" s="46"/>
      <c r="F2167" s="46"/>
      <c r="G2167" s="46"/>
    </row>
    <row r="2168" spans="4:7">
      <c r="D2168" s="46"/>
      <c r="E2168" s="46"/>
      <c r="F2168" s="46"/>
      <c r="G2168" s="46"/>
    </row>
    <row r="2169" spans="4:7">
      <c r="D2169" s="46"/>
      <c r="E2169" s="46"/>
      <c r="F2169" s="46"/>
      <c r="G2169" s="46"/>
    </row>
    <row r="2170" spans="4:7">
      <c r="D2170" s="46"/>
      <c r="E2170" s="46"/>
      <c r="F2170" s="46"/>
      <c r="G2170" s="46"/>
    </row>
    <row r="2171" spans="4:7">
      <c r="D2171" s="46"/>
      <c r="E2171" s="46"/>
      <c r="F2171" s="46"/>
      <c r="G2171" s="46"/>
    </row>
    <row r="2172" spans="4:7">
      <c r="D2172" s="46"/>
      <c r="E2172" s="46"/>
      <c r="F2172" s="46"/>
      <c r="G2172" s="46"/>
    </row>
    <row r="2173" spans="4:7">
      <c r="D2173" s="46"/>
      <c r="E2173" s="46"/>
      <c r="F2173" s="46"/>
      <c r="G2173" s="46"/>
    </row>
    <row r="2174" spans="4:7">
      <c r="D2174" s="46"/>
      <c r="E2174" s="46"/>
      <c r="F2174" s="46"/>
      <c r="G2174" s="46"/>
    </row>
    <row r="2175" spans="4:7">
      <c r="D2175" s="46"/>
      <c r="E2175" s="46"/>
      <c r="F2175" s="46"/>
      <c r="G2175" s="46"/>
    </row>
    <row r="2176" spans="4:7">
      <c r="D2176" s="46"/>
      <c r="E2176" s="46"/>
      <c r="F2176" s="46"/>
      <c r="G2176" s="46"/>
    </row>
    <row r="2177" spans="4:7">
      <c r="D2177" s="46"/>
      <c r="E2177" s="46"/>
      <c r="F2177" s="46"/>
      <c r="G2177" s="46"/>
    </row>
    <row r="2178" spans="4:7">
      <c r="D2178" s="46"/>
      <c r="E2178" s="46"/>
      <c r="F2178" s="46"/>
      <c r="G2178" s="46"/>
    </row>
    <row r="2179" spans="4:7">
      <c r="D2179" s="46"/>
      <c r="E2179" s="46"/>
      <c r="F2179" s="46"/>
      <c r="G2179" s="46"/>
    </row>
    <row r="2180" spans="4:7">
      <c r="D2180" s="46"/>
      <c r="E2180" s="46"/>
      <c r="F2180" s="46"/>
      <c r="G2180" s="46"/>
    </row>
    <row r="2181" spans="4:7">
      <c r="D2181" s="46"/>
      <c r="E2181" s="46"/>
      <c r="F2181" s="46"/>
      <c r="G2181" s="46"/>
    </row>
    <row r="2182" spans="4:7">
      <c r="D2182" s="46"/>
      <c r="E2182" s="46"/>
      <c r="F2182" s="46"/>
      <c r="G2182" s="46"/>
    </row>
    <row r="2183" spans="4:7">
      <c r="D2183" s="46"/>
      <c r="E2183" s="46"/>
      <c r="F2183" s="46"/>
      <c r="G2183" s="46"/>
    </row>
    <row r="2184" spans="4:7">
      <c r="D2184" s="46"/>
      <c r="E2184" s="46"/>
      <c r="F2184" s="46"/>
      <c r="G2184" s="46"/>
    </row>
    <row r="2185" spans="4:7">
      <c r="D2185" s="46"/>
      <c r="E2185" s="46"/>
      <c r="F2185" s="46"/>
      <c r="G2185" s="46"/>
    </row>
    <row r="2186" spans="4:7">
      <c r="D2186" s="46"/>
      <c r="E2186" s="46"/>
      <c r="F2186" s="46"/>
      <c r="G2186" s="46"/>
    </row>
    <row r="2187" spans="4:7">
      <c r="D2187" s="46"/>
      <c r="E2187" s="46"/>
      <c r="F2187" s="46"/>
      <c r="G2187" s="46"/>
    </row>
    <row r="2188" spans="4:7">
      <c r="D2188" s="46"/>
      <c r="E2188" s="46"/>
      <c r="F2188" s="46"/>
      <c r="G2188" s="46"/>
    </row>
    <row r="2189" spans="4:7">
      <c r="D2189" s="46"/>
      <c r="E2189" s="46"/>
      <c r="F2189" s="46"/>
      <c r="G2189" s="46"/>
    </row>
    <row r="2190" spans="4:7">
      <c r="D2190" s="46"/>
      <c r="E2190" s="46"/>
      <c r="F2190" s="46"/>
      <c r="G2190" s="46"/>
    </row>
    <row r="2191" spans="4:7">
      <c r="D2191" s="46"/>
      <c r="E2191" s="46"/>
      <c r="F2191" s="46"/>
      <c r="G2191" s="46"/>
    </row>
    <row r="2192" spans="4:7">
      <c r="D2192" s="46"/>
      <c r="E2192" s="46"/>
      <c r="F2192" s="46"/>
      <c r="G2192" s="46"/>
    </row>
    <row r="2193" spans="4:7">
      <c r="D2193" s="46"/>
      <c r="E2193" s="46"/>
      <c r="F2193" s="46"/>
      <c r="G2193" s="46"/>
    </row>
    <row r="2194" spans="4:7">
      <c r="D2194" s="46"/>
      <c r="E2194" s="46"/>
      <c r="F2194" s="46"/>
      <c r="G2194" s="46"/>
    </row>
    <row r="2195" spans="4:7">
      <c r="D2195" s="46"/>
      <c r="E2195" s="46"/>
      <c r="F2195" s="46"/>
      <c r="G2195" s="46"/>
    </row>
    <row r="2196" spans="4:7">
      <c r="D2196" s="46"/>
      <c r="E2196" s="46"/>
      <c r="F2196" s="46"/>
      <c r="G2196" s="46"/>
    </row>
    <row r="2197" spans="4:7">
      <c r="D2197" s="46"/>
      <c r="E2197" s="46"/>
      <c r="F2197" s="46"/>
      <c r="G2197" s="46"/>
    </row>
    <row r="2198" spans="4:7">
      <c r="D2198" s="46"/>
      <c r="E2198" s="46"/>
      <c r="F2198" s="46"/>
      <c r="G2198" s="46"/>
    </row>
    <row r="2199" spans="4:7">
      <c r="D2199" s="46"/>
      <c r="E2199" s="46"/>
      <c r="F2199" s="46"/>
      <c r="G2199" s="46"/>
    </row>
    <row r="2200" spans="4:7">
      <c r="D2200" s="46"/>
      <c r="E2200" s="46"/>
      <c r="F2200" s="46"/>
      <c r="G2200" s="46"/>
    </row>
    <row r="2201" spans="4:7">
      <c r="D2201" s="46"/>
      <c r="E2201" s="46"/>
      <c r="F2201" s="46"/>
      <c r="G2201" s="46"/>
    </row>
    <row r="2202" spans="4:7">
      <c r="D2202" s="46"/>
      <c r="E2202" s="46"/>
      <c r="F2202" s="46"/>
      <c r="G2202" s="46"/>
    </row>
    <row r="2203" spans="4:7">
      <c r="D2203" s="46"/>
      <c r="E2203" s="46"/>
      <c r="F2203" s="46"/>
      <c r="G2203" s="46"/>
    </row>
    <row r="2204" spans="4:7">
      <c r="D2204" s="46"/>
      <c r="E2204" s="46"/>
      <c r="F2204" s="46"/>
      <c r="G2204" s="46"/>
    </row>
    <row r="2205" spans="4:7">
      <c r="D2205" s="46"/>
      <c r="E2205" s="46"/>
      <c r="F2205" s="46"/>
      <c r="G2205" s="46"/>
    </row>
    <row r="2206" spans="4:7">
      <c r="D2206" s="46"/>
      <c r="E2206" s="46"/>
      <c r="F2206" s="46"/>
      <c r="G2206" s="46"/>
    </row>
    <row r="2207" spans="4:7">
      <c r="D2207" s="46"/>
      <c r="E2207" s="46"/>
      <c r="F2207" s="46"/>
      <c r="G2207" s="46"/>
    </row>
    <row r="2208" spans="4:7">
      <c r="D2208" s="46"/>
      <c r="E2208" s="46"/>
      <c r="F2208" s="46"/>
      <c r="G2208" s="46"/>
    </row>
    <row r="2209" spans="4:7">
      <c r="D2209" s="46"/>
      <c r="E2209" s="46"/>
      <c r="F2209" s="46"/>
      <c r="G2209" s="46"/>
    </row>
    <row r="2210" spans="4:7">
      <c r="D2210" s="46"/>
      <c r="E2210" s="46"/>
      <c r="F2210" s="46"/>
      <c r="G2210" s="46"/>
    </row>
    <row r="2211" spans="4:7">
      <c r="D2211" s="46"/>
      <c r="E2211" s="46"/>
      <c r="F2211" s="46"/>
      <c r="G2211" s="46"/>
    </row>
    <row r="2212" spans="4:7">
      <c r="D2212" s="46"/>
      <c r="E2212" s="46"/>
      <c r="F2212" s="46"/>
      <c r="G2212" s="46"/>
    </row>
    <row r="2213" spans="4:7">
      <c r="D2213" s="46"/>
      <c r="E2213" s="46"/>
      <c r="F2213" s="46"/>
      <c r="G2213" s="46"/>
    </row>
    <row r="2214" spans="4:7">
      <c r="D2214" s="46"/>
      <c r="E2214" s="46"/>
      <c r="F2214" s="46"/>
      <c r="G2214" s="46"/>
    </row>
    <row r="2215" spans="4:7">
      <c r="D2215" s="46"/>
      <c r="E2215" s="46"/>
      <c r="F2215" s="46"/>
      <c r="G2215" s="46"/>
    </row>
    <row r="2216" spans="4:7">
      <c r="D2216" s="46"/>
      <c r="E2216" s="46"/>
      <c r="F2216" s="46"/>
      <c r="G2216" s="46"/>
    </row>
    <row r="2217" spans="4:7">
      <c r="D2217" s="46"/>
      <c r="E2217" s="46"/>
      <c r="F2217" s="46"/>
      <c r="G2217" s="46"/>
    </row>
    <row r="2218" spans="4:7">
      <c r="D2218" s="46"/>
      <c r="E2218" s="46"/>
      <c r="F2218" s="46"/>
      <c r="G2218" s="46"/>
    </row>
    <row r="2219" spans="4:7">
      <c r="D2219" s="46"/>
      <c r="E2219" s="46"/>
      <c r="F2219" s="46"/>
      <c r="G2219" s="46"/>
    </row>
    <row r="2220" spans="4:7">
      <c r="D2220" s="46"/>
      <c r="E2220" s="46"/>
      <c r="F2220" s="46"/>
      <c r="G2220" s="46"/>
    </row>
    <row r="2221" spans="4:7">
      <c r="D2221" s="46"/>
      <c r="E2221" s="46"/>
      <c r="F2221" s="46"/>
      <c r="G2221" s="46"/>
    </row>
    <row r="2222" spans="4:7">
      <c r="D2222" s="46"/>
      <c r="E2222" s="46"/>
      <c r="F2222" s="46"/>
      <c r="G2222" s="46"/>
    </row>
    <row r="2223" spans="4:7">
      <c r="D2223" s="46"/>
      <c r="E2223" s="46"/>
      <c r="F2223" s="46"/>
      <c r="G2223" s="46"/>
    </row>
    <row r="2224" spans="4:7">
      <c r="D2224" s="46"/>
      <c r="E2224" s="46"/>
      <c r="F2224" s="46"/>
      <c r="G2224" s="46"/>
    </row>
    <row r="2225" spans="4:7">
      <c r="D2225" s="46"/>
      <c r="E2225" s="46"/>
      <c r="F2225" s="46"/>
      <c r="G2225" s="46"/>
    </row>
    <row r="2226" spans="4:7">
      <c r="D2226" s="46"/>
      <c r="E2226" s="46"/>
      <c r="F2226" s="46"/>
      <c r="G2226" s="46"/>
    </row>
    <row r="2227" spans="4:7">
      <c r="D2227" s="46"/>
      <c r="E2227" s="46"/>
      <c r="F2227" s="46"/>
      <c r="G2227" s="46"/>
    </row>
    <row r="2228" spans="4:7">
      <c r="D2228" s="46"/>
      <c r="E2228" s="46"/>
      <c r="F2228" s="46"/>
      <c r="G2228" s="46"/>
    </row>
    <row r="2229" spans="4:7">
      <c r="D2229" s="46"/>
      <c r="E2229" s="46"/>
      <c r="F2229" s="46"/>
      <c r="G2229" s="46"/>
    </row>
    <row r="2230" spans="4:7">
      <c r="D2230" s="46"/>
      <c r="E2230" s="46"/>
      <c r="F2230" s="46"/>
      <c r="G2230" s="46"/>
    </row>
    <row r="2231" spans="4:7">
      <c r="D2231" s="46"/>
      <c r="E2231" s="46"/>
      <c r="F2231" s="46"/>
      <c r="G2231" s="46"/>
    </row>
    <row r="2232" spans="4:7">
      <c r="D2232" s="46"/>
      <c r="E2232" s="46"/>
      <c r="F2232" s="46"/>
      <c r="G2232" s="46"/>
    </row>
    <row r="2233" spans="4:7">
      <c r="D2233" s="46"/>
      <c r="E2233" s="46"/>
      <c r="F2233" s="46"/>
      <c r="G2233" s="46"/>
    </row>
    <row r="2234" spans="4:7">
      <c r="D2234" s="46"/>
      <c r="E2234" s="46"/>
      <c r="F2234" s="46"/>
      <c r="G2234" s="46"/>
    </row>
    <row r="2235" spans="4:7">
      <c r="D2235" s="46"/>
      <c r="E2235" s="46"/>
      <c r="F2235" s="46"/>
      <c r="G2235" s="46"/>
    </row>
    <row r="2236" spans="4:7">
      <c r="D2236" s="46"/>
      <c r="E2236" s="46"/>
      <c r="F2236" s="46"/>
      <c r="G2236" s="46"/>
    </row>
    <row r="2237" spans="4:7">
      <c r="D2237" s="46"/>
      <c r="E2237" s="46"/>
      <c r="F2237" s="46"/>
      <c r="G2237" s="46"/>
    </row>
    <row r="2238" spans="4:7">
      <c r="D2238" s="46"/>
      <c r="E2238" s="46"/>
      <c r="F2238" s="46"/>
      <c r="G2238" s="46"/>
    </row>
    <row r="2239" spans="4:7">
      <c r="D2239" s="46"/>
      <c r="E2239" s="46"/>
      <c r="F2239" s="46"/>
      <c r="G2239" s="46"/>
    </row>
    <row r="2240" spans="4:7">
      <c r="D2240" s="46"/>
      <c r="E2240" s="46"/>
      <c r="F2240" s="46"/>
      <c r="G2240" s="46"/>
    </row>
    <row r="2241" spans="4:7">
      <c r="D2241" s="46"/>
      <c r="E2241" s="46"/>
      <c r="F2241" s="46"/>
      <c r="G2241" s="46"/>
    </row>
    <row r="2242" spans="4:7">
      <c r="D2242" s="46"/>
      <c r="E2242" s="46"/>
      <c r="F2242" s="46"/>
      <c r="G2242" s="46"/>
    </row>
    <row r="2243" spans="4:7">
      <c r="D2243" s="46"/>
      <c r="E2243" s="46"/>
      <c r="F2243" s="46"/>
      <c r="G2243" s="46"/>
    </row>
    <row r="2244" spans="4:7">
      <c r="D2244" s="46"/>
      <c r="E2244" s="46"/>
      <c r="F2244" s="46"/>
      <c r="G2244" s="46"/>
    </row>
    <row r="2245" spans="4:7">
      <c r="D2245" s="46"/>
      <c r="E2245" s="46"/>
      <c r="F2245" s="46"/>
      <c r="G2245" s="46"/>
    </row>
    <row r="2246" spans="4:7">
      <c r="D2246" s="46"/>
      <c r="E2246" s="46"/>
      <c r="F2246" s="46"/>
      <c r="G2246" s="46"/>
    </row>
    <row r="2247" spans="4:7">
      <c r="D2247" s="46"/>
      <c r="E2247" s="46"/>
      <c r="F2247" s="46"/>
      <c r="G2247" s="46"/>
    </row>
    <row r="2248" spans="4:7">
      <c r="D2248" s="46"/>
      <c r="E2248" s="46"/>
      <c r="F2248" s="46"/>
      <c r="G2248" s="46"/>
    </row>
    <row r="2249" spans="4:7">
      <c r="D2249" s="46"/>
      <c r="E2249" s="46"/>
      <c r="F2249" s="46"/>
      <c r="G2249" s="46"/>
    </row>
    <row r="2250" spans="4:7">
      <c r="D2250" s="46"/>
      <c r="E2250" s="46"/>
      <c r="F2250" s="46"/>
      <c r="G2250" s="46"/>
    </row>
    <row r="2251" spans="4:7">
      <c r="D2251" s="46"/>
      <c r="E2251" s="46"/>
      <c r="F2251" s="46"/>
      <c r="G2251" s="46"/>
    </row>
    <row r="2252" spans="4:7">
      <c r="D2252" s="46"/>
      <c r="E2252" s="46"/>
      <c r="F2252" s="46"/>
      <c r="G2252" s="46"/>
    </row>
    <row r="2253" spans="4:7">
      <c r="D2253" s="46"/>
      <c r="E2253" s="46"/>
      <c r="F2253" s="46"/>
      <c r="G2253" s="46"/>
    </row>
    <row r="2254" spans="4:7">
      <c r="D2254" s="46"/>
      <c r="E2254" s="46"/>
      <c r="F2254" s="46"/>
      <c r="G2254" s="46"/>
    </row>
    <row r="2255" spans="4:7">
      <c r="D2255" s="46"/>
      <c r="E2255" s="46"/>
      <c r="F2255" s="46"/>
      <c r="G2255" s="46"/>
    </row>
    <row r="2256" spans="4:7">
      <c r="D2256" s="46"/>
      <c r="E2256" s="46"/>
      <c r="F2256" s="46"/>
      <c r="G2256" s="46"/>
    </row>
    <row r="2257" spans="4:7">
      <c r="D2257" s="46"/>
      <c r="E2257" s="46"/>
      <c r="F2257" s="46"/>
      <c r="G2257" s="46"/>
    </row>
    <row r="2258" spans="4:7">
      <c r="D2258" s="46"/>
      <c r="E2258" s="46"/>
      <c r="F2258" s="46"/>
      <c r="G2258" s="46"/>
    </row>
    <row r="2259" spans="4:7">
      <c r="D2259" s="46"/>
      <c r="E2259" s="46"/>
      <c r="F2259" s="46"/>
      <c r="G2259" s="46"/>
    </row>
    <row r="2260" spans="4:7">
      <c r="D2260" s="46"/>
      <c r="E2260" s="46"/>
      <c r="F2260" s="46"/>
      <c r="G2260" s="46"/>
    </row>
    <row r="2261" spans="4:7">
      <c r="D2261" s="46"/>
      <c r="E2261" s="46"/>
      <c r="F2261" s="46"/>
      <c r="G2261" s="46"/>
    </row>
    <row r="2262" spans="4:7">
      <c r="D2262" s="46"/>
      <c r="E2262" s="46"/>
      <c r="F2262" s="46"/>
      <c r="G2262" s="46"/>
    </row>
    <row r="2263" spans="4:7">
      <c r="D2263" s="46"/>
      <c r="E2263" s="46"/>
      <c r="F2263" s="46"/>
      <c r="G2263" s="46"/>
    </row>
    <row r="2264" spans="4:7">
      <c r="D2264" s="46"/>
      <c r="E2264" s="46"/>
      <c r="F2264" s="46"/>
      <c r="G2264" s="46"/>
    </row>
    <row r="2265" spans="4:7">
      <c r="D2265" s="46"/>
      <c r="E2265" s="46"/>
      <c r="F2265" s="46"/>
      <c r="G2265" s="46"/>
    </row>
    <row r="2266" spans="4:7">
      <c r="D2266" s="46"/>
      <c r="E2266" s="46"/>
      <c r="F2266" s="46"/>
      <c r="G2266" s="46"/>
    </row>
    <row r="2267" spans="4:7">
      <c r="D2267" s="46"/>
      <c r="E2267" s="46"/>
      <c r="F2267" s="46"/>
      <c r="G2267" s="46"/>
    </row>
    <row r="2268" spans="4:7">
      <c r="D2268" s="46"/>
      <c r="E2268" s="46"/>
      <c r="F2268" s="46"/>
      <c r="G2268" s="46"/>
    </row>
    <row r="2269" spans="4:7">
      <c r="D2269" s="46"/>
      <c r="E2269" s="46"/>
      <c r="F2269" s="46"/>
      <c r="G2269" s="46"/>
    </row>
    <row r="2270" spans="4:7">
      <c r="D2270" s="46"/>
      <c r="E2270" s="46"/>
      <c r="F2270" s="46"/>
      <c r="G2270" s="46"/>
    </row>
    <row r="2271" spans="4:7">
      <c r="D2271" s="46"/>
      <c r="E2271" s="46"/>
      <c r="F2271" s="46"/>
      <c r="G2271" s="46"/>
    </row>
    <row r="2272" spans="4:7">
      <c r="D2272" s="46"/>
      <c r="E2272" s="46"/>
      <c r="F2272" s="46"/>
      <c r="G2272" s="46"/>
    </row>
    <row r="2273" spans="4:7">
      <c r="D2273" s="46"/>
      <c r="E2273" s="46"/>
      <c r="F2273" s="46"/>
      <c r="G2273" s="46"/>
    </row>
    <row r="2274" spans="4:7">
      <c r="D2274" s="46"/>
      <c r="E2274" s="46"/>
      <c r="F2274" s="46"/>
      <c r="G2274" s="46"/>
    </row>
    <row r="2275" spans="4:7">
      <c r="D2275" s="46"/>
      <c r="E2275" s="46"/>
      <c r="F2275" s="46"/>
      <c r="G2275" s="46"/>
    </row>
    <row r="2276" spans="4:7">
      <c r="D2276" s="46"/>
      <c r="E2276" s="46"/>
      <c r="F2276" s="46"/>
      <c r="G2276" s="46"/>
    </row>
    <row r="2277" spans="4:7">
      <c r="D2277" s="46"/>
      <c r="E2277" s="46"/>
      <c r="F2277" s="46"/>
      <c r="G2277" s="46"/>
    </row>
    <row r="2278" spans="4:7">
      <c r="D2278" s="46"/>
      <c r="E2278" s="46"/>
      <c r="F2278" s="46"/>
      <c r="G2278" s="46"/>
    </row>
    <row r="2279" spans="4:7">
      <c r="D2279" s="46"/>
      <c r="E2279" s="46"/>
      <c r="F2279" s="46"/>
      <c r="G2279" s="46"/>
    </row>
    <row r="2280" spans="4:7">
      <c r="D2280" s="46"/>
      <c r="E2280" s="46"/>
      <c r="F2280" s="46"/>
      <c r="G2280" s="46"/>
    </row>
    <row r="2281" spans="4:7">
      <c r="D2281" s="46"/>
      <c r="E2281" s="46"/>
      <c r="F2281" s="46"/>
      <c r="G2281" s="46"/>
    </row>
    <row r="2282" spans="4:7">
      <c r="D2282" s="46"/>
      <c r="E2282" s="46"/>
      <c r="F2282" s="46"/>
      <c r="G2282" s="46"/>
    </row>
    <row r="2283" spans="4:7">
      <c r="D2283" s="46"/>
      <c r="E2283" s="46"/>
      <c r="F2283" s="46"/>
      <c r="G2283" s="46"/>
    </row>
    <row r="2284" spans="4:7">
      <c r="D2284" s="46"/>
      <c r="E2284" s="46"/>
      <c r="F2284" s="46"/>
      <c r="G2284" s="46"/>
    </row>
    <row r="2285" spans="4:7">
      <c r="D2285" s="46"/>
      <c r="E2285" s="46"/>
      <c r="F2285" s="46"/>
      <c r="G2285" s="46"/>
    </row>
    <row r="2286" spans="4:7">
      <c r="D2286" s="46"/>
      <c r="E2286" s="46"/>
      <c r="F2286" s="46"/>
      <c r="G2286" s="46"/>
    </row>
    <row r="2287" spans="4:7">
      <c r="D2287" s="46"/>
      <c r="E2287" s="46"/>
      <c r="F2287" s="46"/>
      <c r="G2287" s="46"/>
    </row>
    <row r="2288" spans="4:7">
      <c r="D2288" s="46"/>
      <c r="E2288" s="46"/>
      <c r="F2288" s="46"/>
      <c r="G2288" s="46"/>
    </row>
    <row r="2289" spans="4:7">
      <c r="D2289" s="46"/>
      <c r="E2289" s="46"/>
      <c r="F2289" s="46"/>
      <c r="G2289" s="46"/>
    </row>
    <row r="2290" spans="4:7">
      <c r="D2290" s="46"/>
      <c r="E2290" s="46"/>
      <c r="F2290" s="46"/>
      <c r="G2290" s="46"/>
    </row>
    <row r="2291" spans="4:7">
      <c r="D2291" s="46"/>
      <c r="E2291" s="46"/>
      <c r="F2291" s="46"/>
      <c r="G2291" s="46"/>
    </row>
    <row r="2292" spans="4:7">
      <c r="D2292" s="46"/>
      <c r="E2292" s="46"/>
      <c r="F2292" s="46"/>
      <c r="G2292" s="46"/>
    </row>
    <row r="2293" spans="4:7">
      <c r="D2293" s="46"/>
      <c r="E2293" s="46"/>
      <c r="F2293" s="46"/>
      <c r="G2293" s="46"/>
    </row>
    <row r="2294" spans="4:7">
      <c r="D2294" s="46"/>
      <c r="E2294" s="46"/>
      <c r="F2294" s="46"/>
      <c r="G2294" s="46"/>
    </row>
    <row r="2295" spans="4:7">
      <c r="D2295" s="46"/>
      <c r="E2295" s="46"/>
      <c r="F2295" s="46"/>
      <c r="G2295" s="46"/>
    </row>
    <row r="2296" spans="4:7">
      <c r="D2296" s="46"/>
      <c r="E2296" s="46"/>
      <c r="F2296" s="46"/>
      <c r="G2296" s="46"/>
    </row>
    <row r="2297" spans="4:7">
      <c r="D2297" s="46"/>
      <c r="E2297" s="46"/>
      <c r="F2297" s="46"/>
      <c r="G2297" s="46"/>
    </row>
    <row r="2298" spans="4:7">
      <c r="D2298" s="46"/>
      <c r="E2298" s="46"/>
      <c r="F2298" s="46"/>
      <c r="G2298" s="46"/>
    </row>
    <row r="2299" spans="4:7">
      <c r="D2299" s="46"/>
      <c r="E2299" s="46"/>
      <c r="F2299" s="46"/>
      <c r="G2299" s="46"/>
    </row>
    <row r="2300" spans="4:7">
      <c r="D2300" s="46"/>
      <c r="E2300" s="46"/>
      <c r="F2300" s="46"/>
      <c r="G2300" s="46"/>
    </row>
    <row r="2301" spans="4:7">
      <c r="D2301" s="46"/>
      <c r="E2301" s="46"/>
      <c r="F2301" s="46"/>
      <c r="G2301" s="46"/>
    </row>
    <row r="2302" spans="4:7">
      <c r="D2302" s="46"/>
      <c r="E2302" s="46"/>
      <c r="F2302" s="46"/>
      <c r="G2302" s="46"/>
    </row>
    <row r="2303" spans="4:7">
      <c r="D2303" s="46"/>
      <c r="E2303" s="46"/>
      <c r="F2303" s="46"/>
      <c r="G2303" s="46"/>
    </row>
    <row r="2304" spans="4:7">
      <c r="D2304" s="46"/>
      <c r="E2304" s="46"/>
      <c r="F2304" s="46"/>
      <c r="G2304" s="46"/>
    </row>
    <row r="2305" spans="4:7">
      <c r="D2305" s="46"/>
      <c r="E2305" s="46"/>
      <c r="F2305" s="46"/>
      <c r="G2305" s="46"/>
    </row>
    <row r="2306" spans="4:7">
      <c r="D2306" s="46"/>
      <c r="E2306" s="46"/>
      <c r="F2306" s="46"/>
      <c r="G2306" s="46"/>
    </row>
    <row r="2307" spans="4:7">
      <c r="D2307" s="46"/>
      <c r="E2307" s="46"/>
      <c r="F2307" s="46"/>
      <c r="G2307" s="46"/>
    </row>
    <row r="2308" spans="4:7">
      <c r="D2308" s="46"/>
      <c r="E2308" s="46"/>
      <c r="F2308" s="46"/>
      <c r="G2308" s="46"/>
    </row>
    <row r="2309" spans="4:7">
      <c r="D2309" s="46"/>
      <c r="E2309" s="46"/>
      <c r="F2309" s="46"/>
      <c r="G2309" s="46"/>
    </row>
    <row r="2310" spans="4:7">
      <c r="D2310" s="46"/>
      <c r="E2310" s="46"/>
      <c r="F2310" s="46"/>
      <c r="G2310" s="46"/>
    </row>
    <row r="2311" spans="4:7">
      <c r="D2311" s="46"/>
      <c r="E2311" s="46"/>
      <c r="F2311" s="46"/>
      <c r="G2311" s="46"/>
    </row>
    <row r="2312" spans="4:7">
      <c r="D2312" s="46"/>
      <c r="E2312" s="46"/>
      <c r="F2312" s="46"/>
      <c r="G2312" s="46"/>
    </row>
    <row r="2313" spans="4:7">
      <c r="D2313" s="46"/>
      <c r="E2313" s="46"/>
      <c r="F2313" s="46"/>
      <c r="G2313" s="46"/>
    </row>
    <row r="2314" spans="4:7">
      <c r="D2314" s="46"/>
      <c r="E2314" s="46"/>
      <c r="F2314" s="46"/>
      <c r="G2314" s="46"/>
    </row>
    <row r="2315" spans="4:7">
      <c r="D2315" s="46"/>
      <c r="E2315" s="46"/>
      <c r="F2315" s="46"/>
      <c r="G2315" s="46"/>
    </row>
    <row r="2316" spans="4:7">
      <c r="D2316" s="46"/>
      <c r="E2316" s="46"/>
      <c r="F2316" s="46"/>
      <c r="G2316" s="46"/>
    </row>
    <row r="2317" spans="4:7">
      <c r="D2317" s="46"/>
      <c r="E2317" s="46"/>
      <c r="F2317" s="46"/>
      <c r="G2317" s="46"/>
    </row>
    <row r="2318" spans="4:7">
      <c r="D2318" s="46"/>
      <c r="E2318" s="46"/>
      <c r="F2318" s="46"/>
      <c r="G2318" s="46"/>
    </row>
    <row r="2319" spans="4:7">
      <c r="D2319" s="46"/>
      <c r="E2319" s="46"/>
      <c r="F2319" s="46"/>
      <c r="G2319" s="46"/>
    </row>
    <row r="2320" spans="4:7">
      <c r="D2320" s="46"/>
      <c r="E2320" s="46"/>
      <c r="F2320" s="46"/>
      <c r="G2320" s="46"/>
    </row>
    <row r="2321" spans="4:7">
      <c r="D2321" s="46"/>
      <c r="E2321" s="46"/>
      <c r="F2321" s="46"/>
      <c r="G2321" s="46"/>
    </row>
    <row r="2322" spans="4:7">
      <c r="D2322" s="46"/>
      <c r="E2322" s="46"/>
      <c r="F2322" s="46"/>
      <c r="G2322" s="46"/>
    </row>
    <row r="2323" spans="4:7">
      <c r="D2323" s="46"/>
      <c r="E2323" s="46"/>
      <c r="F2323" s="46"/>
      <c r="G2323" s="46"/>
    </row>
    <row r="2324" spans="4:7">
      <c r="D2324" s="46"/>
      <c r="E2324" s="46"/>
      <c r="F2324" s="46"/>
      <c r="G2324" s="46"/>
    </row>
    <row r="2325" spans="4:7">
      <c r="D2325" s="46"/>
      <c r="E2325" s="46"/>
      <c r="F2325" s="46"/>
      <c r="G2325" s="46"/>
    </row>
    <row r="2326" spans="4:7">
      <c r="D2326" s="46"/>
      <c r="E2326" s="46"/>
      <c r="F2326" s="46"/>
      <c r="G2326" s="46"/>
    </row>
    <row r="2327" spans="4:7">
      <c r="D2327" s="46"/>
      <c r="E2327" s="46"/>
      <c r="F2327" s="46"/>
      <c r="G2327" s="46"/>
    </row>
    <row r="2328" spans="4:7">
      <c r="D2328" s="46"/>
      <c r="E2328" s="46"/>
      <c r="F2328" s="46"/>
      <c r="G2328" s="46"/>
    </row>
    <row r="2329" spans="4:7">
      <c r="D2329" s="46"/>
      <c r="E2329" s="46"/>
      <c r="F2329" s="46"/>
      <c r="G2329" s="46"/>
    </row>
    <row r="2330" spans="4:7">
      <c r="D2330" s="46"/>
      <c r="E2330" s="46"/>
      <c r="F2330" s="46"/>
      <c r="G2330" s="46"/>
    </row>
    <row r="2331" spans="4:7">
      <c r="D2331" s="46"/>
      <c r="E2331" s="46"/>
      <c r="F2331" s="46"/>
      <c r="G2331" s="46"/>
    </row>
    <row r="2332" spans="4:7">
      <c r="D2332" s="46"/>
      <c r="E2332" s="46"/>
      <c r="F2332" s="46"/>
      <c r="G2332" s="46"/>
    </row>
    <row r="2333" spans="4:7">
      <c r="D2333" s="46"/>
      <c r="E2333" s="46"/>
      <c r="F2333" s="46"/>
      <c r="G2333" s="46"/>
    </row>
    <row r="2334" spans="4:7">
      <c r="D2334" s="46"/>
      <c r="E2334" s="46"/>
      <c r="F2334" s="46"/>
      <c r="G2334" s="46"/>
    </row>
    <row r="2335" spans="4:7">
      <c r="D2335" s="46"/>
      <c r="E2335" s="46"/>
      <c r="F2335" s="46"/>
      <c r="G2335" s="46"/>
    </row>
    <row r="2336" spans="4:7">
      <c r="D2336" s="46"/>
      <c r="E2336" s="46"/>
      <c r="F2336" s="46"/>
      <c r="G2336" s="46"/>
    </row>
    <row r="2337" spans="4:7">
      <c r="D2337" s="46"/>
      <c r="E2337" s="46"/>
      <c r="F2337" s="46"/>
      <c r="G2337" s="46"/>
    </row>
    <row r="2338" spans="4:7">
      <c r="D2338" s="46"/>
      <c r="E2338" s="46"/>
      <c r="F2338" s="46"/>
      <c r="G2338" s="46"/>
    </row>
    <row r="2339" spans="4:7">
      <c r="D2339" s="46"/>
      <c r="E2339" s="46"/>
      <c r="F2339" s="46"/>
      <c r="G2339" s="46"/>
    </row>
    <row r="2340" spans="4:7">
      <c r="D2340" s="46"/>
      <c r="E2340" s="46"/>
      <c r="F2340" s="46"/>
      <c r="G2340" s="46"/>
    </row>
    <row r="2341" spans="4:7">
      <c r="D2341" s="46"/>
      <c r="E2341" s="46"/>
      <c r="F2341" s="46"/>
      <c r="G2341" s="46"/>
    </row>
    <row r="2342" spans="4:7">
      <c r="D2342" s="46"/>
      <c r="E2342" s="46"/>
      <c r="F2342" s="46"/>
      <c r="G2342" s="46"/>
    </row>
    <row r="2343" spans="4:7">
      <c r="D2343" s="46"/>
      <c r="E2343" s="46"/>
      <c r="F2343" s="46"/>
      <c r="G2343" s="46"/>
    </row>
    <row r="2344" spans="4:7">
      <c r="D2344" s="46"/>
      <c r="E2344" s="46"/>
      <c r="F2344" s="46"/>
      <c r="G2344" s="46"/>
    </row>
    <row r="2345" spans="4:7">
      <c r="D2345" s="46"/>
      <c r="E2345" s="46"/>
      <c r="F2345" s="46"/>
      <c r="G2345" s="46"/>
    </row>
    <row r="2346" spans="4:7">
      <c r="D2346" s="46"/>
      <c r="E2346" s="46"/>
      <c r="F2346" s="46"/>
      <c r="G2346" s="46"/>
    </row>
    <row r="2347" spans="4:7">
      <c r="D2347" s="46"/>
      <c r="E2347" s="46"/>
      <c r="F2347" s="46"/>
      <c r="G2347" s="46"/>
    </row>
    <row r="2348" spans="4:7">
      <c r="D2348" s="46"/>
      <c r="E2348" s="46"/>
      <c r="F2348" s="46"/>
      <c r="G2348" s="46"/>
    </row>
    <row r="2349" spans="4:7">
      <c r="D2349" s="46"/>
      <c r="E2349" s="46"/>
      <c r="F2349" s="46"/>
      <c r="G2349" s="46"/>
    </row>
    <row r="2350" spans="4:7">
      <c r="D2350" s="46"/>
      <c r="E2350" s="46"/>
      <c r="F2350" s="46"/>
      <c r="G2350" s="46"/>
    </row>
    <row r="2351" spans="4:7">
      <c r="D2351" s="46"/>
      <c r="E2351" s="46"/>
      <c r="F2351" s="46"/>
      <c r="G2351" s="46"/>
    </row>
    <row r="2352" spans="4:7">
      <c r="D2352" s="46"/>
      <c r="E2352" s="46"/>
      <c r="F2352" s="46"/>
      <c r="G2352" s="46"/>
    </row>
    <row r="2353" spans="4:7">
      <c r="D2353" s="46"/>
      <c r="E2353" s="46"/>
      <c r="F2353" s="46"/>
      <c r="G2353" s="46"/>
    </row>
    <row r="2354" spans="4:7">
      <c r="D2354" s="46"/>
      <c r="E2354" s="46"/>
      <c r="F2354" s="46"/>
      <c r="G2354" s="46"/>
    </row>
    <row r="2355" spans="4:7">
      <c r="D2355" s="46"/>
      <c r="E2355" s="46"/>
      <c r="F2355" s="46"/>
      <c r="G2355" s="46"/>
    </row>
    <row r="2356" spans="4:7">
      <c r="D2356" s="46"/>
      <c r="E2356" s="46"/>
      <c r="F2356" s="46"/>
      <c r="G2356" s="46"/>
    </row>
    <row r="2357" spans="4:7">
      <c r="D2357" s="46"/>
      <c r="E2357" s="46"/>
      <c r="F2357" s="46"/>
      <c r="G2357" s="46"/>
    </row>
    <row r="2358" spans="4:7">
      <c r="D2358" s="46"/>
      <c r="E2358" s="46"/>
      <c r="F2358" s="46"/>
      <c r="G2358" s="46"/>
    </row>
    <row r="2359" spans="4:7">
      <c r="D2359" s="46"/>
      <c r="E2359" s="46"/>
      <c r="F2359" s="46"/>
      <c r="G2359" s="46"/>
    </row>
    <row r="2360" spans="4:7">
      <c r="D2360" s="46"/>
      <c r="E2360" s="46"/>
      <c r="F2360" s="46"/>
      <c r="G2360" s="46"/>
    </row>
    <row r="2361" spans="4:7">
      <c r="D2361" s="46"/>
      <c r="E2361" s="46"/>
      <c r="F2361" s="46"/>
      <c r="G2361" s="46"/>
    </row>
    <row r="2362" spans="4:7">
      <c r="D2362" s="46"/>
      <c r="E2362" s="46"/>
      <c r="F2362" s="46"/>
      <c r="G2362" s="46"/>
    </row>
    <row r="2363" spans="4:7">
      <c r="D2363" s="46"/>
      <c r="E2363" s="46"/>
      <c r="F2363" s="46"/>
      <c r="G2363" s="46"/>
    </row>
    <row r="2364" spans="4:7">
      <c r="D2364" s="46"/>
      <c r="E2364" s="46"/>
      <c r="F2364" s="46"/>
      <c r="G2364" s="46"/>
    </row>
    <row r="2365" spans="4:7">
      <c r="D2365" s="46"/>
      <c r="E2365" s="46"/>
      <c r="F2365" s="46"/>
      <c r="G2365" s="46"/>
    </row>
    <row r="2366" spans="4:7">
      <c r="D2366" s="46"/>
      <c r="E2366" s="46"/>
      <c r="F2366" s="46"/>
      <c r="G2366" s="46"/>
    </row>
    <row r="2367" spans="4:7">
      <c r="D2367" s="46"/>
      <c r="E2367" s="46"/>
      <c r="F2367" s="46"/>
      <c r="G2367" s="46"/>
    </row>
    <row r="2368" spans="4:7">
      <c r="D2368" s="46"/>
      <c r="E2368" s="46"/>
      <c r="F2368" s="46"/>
      <c r="G2368" s="46"/>
    </row>
    <row r="2369" spans="4:7">
      <c r="D2369" s="46"/>
      <c r="E2369" s="46"/>
      <c r="F2369" s="46"/>
      <c r="G2369" s="46"/>
    </row>
    <row r="2370" spans="4:7">
      <c r="D2370" s="46"/>
      <c r="E2370" s="46"/>
      <c r="F2370" s="46"/>
      <c r="G2370" s="46"/>
    </row>
    <row r="2371" spans="4:7">
      <c r="D2371" s="46"/>
      <c r="E2371" s="46"/>
      <c r="F2371" s="46"/>
      <c r="G2371" s="46"/>
    </row>
    <row r="2372" spans="4:7">
      <c r="D2372" s="46"/>
      <c r="E2372" s="46"/>
      <c r="F2372" s="46"/>
      <c r="G2372" s="46"/>
    </row>
    <row r="2373" spans="4:7">
      <c r="D2373" s="46"/>
      <c r="E2373" s="46"/>
      <c r="F2373" s="46"/>
      <c r="G2373" s="46"/>
    </row>
    <row r="2374" spans="4:7">
      <c r="D2374" s="46"/>
      <c r="E2374" s="46"/>
      <c r="F2374" s="46"/>
      <c r="G2374" s="46"/>
    </row>
    <row r="2375" spans="4:7">
      <c r="D2375" s="46"/>
      <c r="E2375" s="46"/>
      <c r="F2375" s="46"/>
      <c r="G2375" s="46"/>
    </row>
    <row r="2376" spans="4:7">
      <c r="D2376" s="46"/>
      <c r="E2376" s="46"/>
      <c r="F2376" s="46"/>
      <c r="G2376" s="46"/>
    </row>
    <row r="2377" spans="4:7">
      <c r="D2377" s="46"/>
      <c r="E2377" s="46"/>
      <c r="F2377" s="46"/>
      <c r="G2377" s="46"/>
    </row>
    <row r="2378" spans="4:7">
      <c r="D2378" s="46"/>
      <c r="E2378" s="46"/>
      <c r="F2378" s="46"/>
      <c r="G2378" s="46"/>
    </row>
    <row r="2379" spans="4:7">
      <c r="D2379" s="46"/>
      <c r="E2379" s="46"/>
      <c r="F2379" s="46"/>
      <c r="G2379" s="46"/>
    </row>
    <row r="2380" spans="4:7">
      <c r="D2380" s="46"/>
      <c r="E2380" s="46"/>
      <c r="F2380" s="46"/>
      <c r="G2380" s="46"/>
    </row>
    <row r="2381" spans="4:7">
      <c r="D2381" s="46"/>
      <c r="E2381" s="46"/>
      <c r="F2381" s="46"/>
      <c r="G2381" s="46"/>
    </row>
    <row r="2382" spans="4:7">
      <c r="D2382" s="46"/>
      <c r="E2382" s="46"/>
      <c r="F2382" s="46"/>
      <c r="G2382" s="46"/>
    </row>
    <row r="2383" spans="4:7">
      <c r="D2383" s="46"/>
      <c r="E2383" s="46"/>
      <c r="F2383" s="46"/>
      <c r="G2383" s="46"/>
    </row>
    <row r="2384" spans="4:7">
      <c r="D2384" s="46"/>
      <c r="E2384" s="46"/>
      <c r="F2384" s="46"/>
      <c r="G2384" s="46"/>
    </row>
    <row r="2385" spans="4:7">
      <c r="D2385" s="46"/>
      <c r="E2385" s="46"/>
      <c r="F2385" s="46"/>
      <c r="G2385" s="46"/>
    </row>
    <row r="2386" spans="4:7">
      <c r="D2386" s="46"/>
      <c r="E2386" s="46"/>
      <c r="F2386" s="46"/>
      <c r="G2386" s="46"/>
    </row>
    <row r="2387" spans="4:7">
      <c r="D2387" s="46"/>
      <c r="E2387" s="46"/>
      <c r="F2387" s="46"/>
      <c r="G2387" s="46"/>
    </row>
    <row r="2388" spans="4:7">
      <c r="D2388" s="46"/>
      <c r="E2388" s="46"/>
      <c r="F2388" s="46"/>
      <c r="G2388" s="46"/>
    </row>
    <row r="2389" spans="4:7">
      <c r="D2389" s="46"/>
      <c r="E2389" s="46"/>
      <c r="F2389" s="46"/>
      <c r="G2389" s="46"/>
    </row>
    <row r="2390" spans="4:7">
      <c r="D2390" s="46"/>
      <c r="E2390" s="46"/>
      <c r="F2390" s="46"/>
      <c r="G2390" s="46"/>
    </row>
    <row r="2391" spans="4:7">
      <c r="D2391" s="46"/>
      <c r="E2391" s="46"/>
      <c r="F2391" s="46"/>
      <c r="G2391" s="46"/>
    </row>
    <row r="2392" spans="4:7">
      <c r="D2392" s="46"/>
      <c r="E2392" s="46"/>
      <c r="F2392" s="46"/>
      <c r="G2392" s="46"/>
    </row>
    <row r="2393" spans="4:7">
      <c r="D2393" s="46"/>
      <c r="E2393" s="46"/>
      <c r="F2393" s="46"/>
      <c r="G2393" s="46"/>
    </row>
    <row r="2394" spans="4:7">
      <c r="D2394" s="46"/>
      <c r="E2394" s="46"/>
      <c r="F2394" s="46"/>
      <c r="G2394" s="46"/>
    </row>
    <row r="2395" spans="4:7">
      <c r="D2395" s="46"/>
      <c r="E2395" s="46"/>
      <c r="F2395" s="46"/>
      <c r="G2395" s="46"/>
    </row>
    <row r="2396" spans="4:7">
      <c r="D2396" s="46"/>
      <c r="E2396" s="46"/>
      <c r="F2396" s="46"/>
      <c r="G2396" s="46"/>
    </row>
    <row r="2397" spans="4:7">
      <c r="D2397" s="46"/>
      <c r="E2397" s="46"/>
      <c r="F2397" s="46"/>
      <c r="G2397" s="46"/>
    </row>
    <row r="2398" spans="4:7">
      <c r="D2398" s="46"/>
      <c r="E2398" s="46"/>
      <c r="F2398" s="46"/>
      <c r="G2398" s="46"/>
    </row>
    <row r="2399" spans="4:7">
      <c r="D2399" s="46"/>
      <c r="E2399" s="46"/>
      <c r="F2399" s="46"/>
      <c r="G2399" s="46"/>
    </row>
    <row r="2400" spans="4:7">
      <c r="D2400" s="46"/>
      <c r="E2400" s="46"/>
      <c r="F2400" s="46"/>
      <c r="G2400" s="46"/>
    </row>
    <row r="2401" spans="4:7">
      <c r="D2401" s="46"/>
      <c r="E2401" s="46"/>
      <c r="F2401" s="46"/>
      <c r="G2401" s="46"/>
    </row>
    <row r="2402" spans="4:7">
      <c r="D2402" s="46"/>
      <c r="E2402" s="46"/>
      <c r="F2402" s="46"/>
      <c r="G2402" s="46"/>
    </row>
    <row r="2403" spans="4:7">
      <c r="D2403" s="46"/>
      <c r="E2403" s="46"/>
      <c r="F2403" s="46"/>
      <c r="G2403" s="46"/>
    </row>
    <row r="2404" spans="4:7">
      <c r="D2404" s="46"/>
      <c r="E2404" s="46"/>
      <c r="F2404" s="46"/>
      <c r="G2404" s="46"/>
    </row>
    <row r="2405" spans="4:7">
      <c r="D2405" s="46"/>
      <c r="E2405" s="46"/>
      <c r="F2405" s="46"/>
      <c r="G2405" s="46"/>
    </row>
    <row r="2406" spans="4:7">
      <c r="D2406" s="46"/>
      <c r="E2406" s="46"/>
      <c r="F2406" s="46"/>
      <c r="G2406" s="46"/>
    </row>
    <row r="2407" spans="4:7">
      <c r="D2407" s="46"/>
      <c r="E2407" s="46"/>
      <c r="F2407" s="46"/>
      <c r="G2407" s="46"/>
    </row>
    <row r="2408" spans="4:7">
      <c r="D2408" s="46"/>
      <c r="E2408" s="46"/>
      <c r="F2408" s="46"/>
      <c r="G2408" s="46"/>
    </row>
    <row r="2409" spans="4:7">
      <c r="D2409" s="46"/>
      <c r="E2409" s="46"/>
      <c r="F2409" s="46"/>
      <c r="G2409" s="46"/>
    </row>
    <row r="2410" spans="4:7">
      <c r="D2410" s="46"/>
      <c r="E2410" s="46"/>
      <c r="F2410" s="46"/>
      <c r="G2410" s="46"/>
    </row>
    <row r="2411" spans="4:7">
      <c r="D2411" s="46"/>
      <c r="E2411" s="46"/>
      <c r="F2411" s="46"/>
      <c r="G2411" s="46"/>
    </row>
    <row r="2412" spans="4:7">
      <c r="D2412" s="46"/>
      <c r="E2412" s="46"/>
      <c r="F2412" s="46"/>
      <c r="G2412" s="46"/>
    </row>
    <row r="2413" spans="4:7">
      <c r="D2413" s="46"/>
      <c r="E2413" s="46"/>
      <c r="F2413" s="46"/>
      <c r="G2413" s="46"/>
    </row>
    <row r="2414" spans="4:7">
      <c r="D2414" s="46"/>
      <c r="E2414" s="46"/>
      <c r="F2414" s="46"/>
      <c r="G2414" s="46"/>
    </row>
    <row r="2415" spans="4:7">
      <c r="D2415" s="46"/>
      <c r="E2415" s="46"/>
      <c r="F2415" s="46"/>
      <c r="G2415" s="46"/>
    </row>
    <row r="2416" spans="4:7">
      <c r="D2416" s="46"/>
      <c r="E2416" s="46"/>
      <c r="F2416" s="46"/>
      <c r="G2416" s="46"/>
    </row>
    <row r="2417" spans="4:7">
      <c r="D2417" s="46"/>
      <c r="E2417" s="46"/>
      <c r="F2417" s="46"/>
      <c r="G2417" s="46"/>
    </row>
    <row r="2418" spans="4:7">
      <c r="D2418" s="46"/>
      <c r="E2418" s="46"/>
      <c r="F2418" s="46"/>
      <c r="G2418" s="46"/>
    </row>
    <row r="2419" spans="4:7">
      <c r="D2419" s="46"/>
      <c r="E2419" s="46"/>
      <c r="F2419" s="46"/>
      <c r="G2419" s="46"/>
    </row>
    <row r="2420" spans="4:7">
      <c r="D2420" s="46"/>
      <c r="E2420" s="46"/>
      <c r="F2420" s="46"/>
      <c r="G2420" s="46"/>
    </row>
    <row r="2421" spans="4:7">
      <c r="D2421" s="46"/>
      <c r="E2421" s="46"/>
      <c r="F2421" s="46"/>
      <c r="G2421" s="46"/>
    </row>
    <row r="2422" spans="4:7">
      <c r="D2422" s="46"/>
      <c r="E2422" s="46"/>
      <c r="F2422" s="46"/>
      <c r="G2422" s="46"/>
    </row>
    <row r="2423" spans="4:7">
      <c r="D2423" s="46"/>
      <c r="E2423" s="46"/>
      <c r="F2423" s="46"/>
      <c r="G2423" s="46"/>
    </row>
    <row r="2424" spans="4:7">
      <c r="D2424" s="46"/>
      <c r="E2424" s="46"/>
      <c r="F2424" s="46"/>
      <c r="G2424" s="46"/>
    </row>
    <row r="2425" spans="4:7">
      <c r="D2425" s="46"/>
      <c r="E2425" s="46"/>
      <c r="F2425" s="46"/>
      <c r="G2425" s="46"/>
    </row>
    <row r="2426" spans="4:7">
      <c r="D2426" s="46"/>
      <c r="E2426" s="46"/>
      <c r="F2426" s="46"/>
      <c r="G2426" s="46"/>
    </row>
    <row r="2427" spans="4:7">
      <c r="D2427" s="46"/>
      <c r="E2427" s="46"/>
      <c r="F2427" s="46"/>
      <c r="G2427" s="46"/>
    </row>
    <row r="2428" spans="4:7">
      <c r="D2428" s="46"/>
      <c r="E2428" s="46"/>
      <c r="F2428" s="46"/>
      <c r="G2428" s="46"/>
    </row>
    <row r="2429" spans="4:7">
      <c r="D2429" s="46"/>
      <c r="E2429" s="46"/>
      <c r="F2429" s="46"/>
      <c r="G2429" s="46"/>
    </row>
    <row r="2430" spans="4:7">
      <c r="D2430" s="46"/>
      <c r="E2430" s="46"/>
      <c r="F2430" s="46"/>
      <c r="G2430" s="46"/>
    </row>
    <row r="2431" spans="4:7">
      <c r="D2431" s="46"/>
      <c r="E2431" s="46"/>
      <c r="F2431" s="46"/>
      <c r="G2431" s="46"/>
    </row>
    <row r="2432" spans="4:7">
      <c r="D2432" s="46"/>
      <c r="E2432" s="46"/>
      <c r="F2432" s="46"/>
      <c r="G2432" s="46"/>
    </row>
    <row r="2433" spans="4:7">
      <c r="D2433" s="46"/>
      <c r="E2433" s="46"/>
      <c r="F2433" s="46"/>
      <c r="G2433" s="46"/>
    </row>
    <row r="2434" spans="4:7">
      <c r="D2434" s="46"/>
      <c r="E2434" s="46"/>
      <c r="F2434" s="46"/>
      <c r="G2434" s="46"/>
    </row>
    <row r="2435" spans="4:7">
      <c r="D2435" s="46"/>
      <c r="E2435" s="46"/>
      <c r="F2435" s="46"/>
      <c r="G2435" s="46"/>
    </row>
    <row r="2436" spans="4:7">
      <c r="D2436" s="46"/>
      <c r="E2436" s="46"/>
      <c r="F2436" s="46"/>
      <c r="G2436" s="46"/>
    </row>
    <row r="2437" spans="4:7">
      <c r="D2437" s="46"/>
      <c r="E2437" s="46"/>
      <c r="F2437" s="46"/>
      <c r="G2437" s="46"/>
    </row>
    <row r="2438" spans="4:7">
      <c r="D2438" s="46"/>
      <c r="E2438" s="46"/>
      <c r="F2438" s="46"/>
      <c r="G2438" s="46"/>
    </row>
    <row r="2439" spans="4:7">
      <c r="D2439" s="46"/>
      <c r="E2439" s="46"/>
      <c r="F2439" s="46"/>
      <c r="G2439" s="46"/>
    </row>
    <row r="2440" spans="4:7">
      <c r="D2440" s="46"/>
      <c r="E2440" s="46"/>
      <c r="F2440" s="46"/>
      <c r="G2440" s="46"/>
    </row>
    <row r="2441" spans="4:7">
      <c r="D2441" s="46"/>
      <c r="E2441" s="46"/>
      <c r="F2441" s="46"/>
      <c r="G2441" s="46"/>
    </row>
    <row r="2442" spans="4:7">
      <c r="D2442" s="46"/>
      <c r="E2442" s="46"/>
      <c r="F2442" s="46"/>
      <c r="G2442" s="46"/>
    </row>
    <row r="2443" spans="4:7">
      <c r="D2443" s="46"/>
      <c r="E2443" s="46"/>
      <c r="F2443" s="46"/>
      <c r="G2443" s="46"/>
    </row>
    <row r="2444" spans="4:7">
      <c r="D2444" s="46"/>
      <c r="E2444" s="46"/>
      <c r="F2444" s="46"/>
      <c r="G2444" s="46"/>
    </row>
    <row r="2445" spans="4:7">
      <c r="D2445" s="46"/>
      <c r="E2445" s="46"/>
      <c r="F2445" s="46"/>
      <c r="G2445" s="46"/>
    </row>
    <row r="2446" spans="4:7">
      <c r="D2446" s="46"/>
      <c r="E2446" s="46"/>
      <c r="F2446" s="46"/>
      <c r="G2446" s="46"/>
    </row>
    <row r="2447" spans="4:7">
      <c r="D2447" s="46"/>
      <c r="E2447" s="46"/>
      <c r="F2447" s="46"/>
      <c r="G2447" s="46"/>
    </row>
    <row r="2448" spans="4:7">
      <c r="D2448" s="46"/>
      <c r="E2448" s="46"/>
      <c r="F2448" s="46"/>
      <c r="G2448" s="46"/>
    </row>
    <row r="2449" spans="4:7">
      <c r="D2449" s="46"/>
      <c r="E2449" s="46"/>
      <c r="F2449" s="46"/>
      <c r="G2449" s="46"/>
    </row>
    <row r="2450" spans="4:7">
      <c r="D2450" s="46"/>
      <c r="E2450" s="46"/>
      <c r="F2450" s="46"/>
      <c r="G2450" s="46"/>
    </row>
    <row r="2451" spans="4:7">
      <c r="D2451" s="46"/>
      <c r="E2451" s="46"/>
      <c r="F2451" s="46"/>
      <c r="G2451" s="46"/>
    </row>
    <row r="2452" spans="4:7">
      <c r="D2452" s="46"/>
      <c r="E2452" s="46"/>
      <c r="F2452" s="46"/>
      <c r="G2452" s="46"/>
    </row>
    <row r="2453" spans="4:7">
      <c r="D2453" s="46"/>
      <c r="E2453" s="46"/>
      <c r="F2453" s="46"/>
      <c r="G2453" s="46"/>
    </row>
    <row r="2454" spans="4:7">
      <c r="D2454" s="46"/>
      <c r="E2454" s="46"/>
      <c r="F2454" s="46"/>
      <c r="G2454" s="46"/>
    </row>
    <row r="2455" spans="4:7">
      <c r="D2455" s="46"/>
      <c r="E2455" s="46"/>
      <c r="F2455" s="46"/>
      <c r="G2455" s="46"/>
    </row>
    <row r="2456" spans="4:7">
      <c r="D2456" s="46"/>
      <c r="E2456" s="46"/>
      <c r="F2456" s="46"/>
      <c r="G2456" s="46"/>
    </row>
    <row r="2457" spans="4:7">
      <c r="D2457" s="46"/>
      <c r="E2457" s="46"/>
      <c r="F2457" s="46"/>
      <c r="G2457" s="46"/>
    </row>
    <row r="2458" spans="4:7">
      <c r="D2458" s="46"/>
      <c r="E2458" s="46"/>
      <c r="F2458" s="46"/>
      <c r="G2458" s="46"/>
    </row>
    <row r="2459" spans="4:7">
      <c r="D2459" s="46"/>
      <c r="E2459" s="46"/>
      <c r="F2459" s="46"/>
      <c r="G2459" s="46"/>
    </row>
    <row r="2460" spans="4:7">
      <c r="D2460" s="46"/>
      <c r="E2460" s="46"/>
      <c r="F2460" s="46"/>
      <c r="G2460" s="46"/>
    </row>
    <row r="2461" spans="4:7">
      <c r="D2461" s="46"/>
      <c r="E2461" s="46"/>
      <c r="F2461" s="46"/>
      <c r="G2461" s="46"/>
    </row>
    <row r="2462" spans="4:7">
      <c r="D2462" s="46"/>
      <c r="E2462" s="46"/>
      <c r="F2462" s="46"/>
      <c r="G2462" s="46"/>
    </row>
    <row r="2463" spans="4:7">
      <c r="D2463" s="46"/>
      <c r="E2463" s="46"/>
      <c r="F2463" s="46"/>
      <c r="G2463" s="46"/>
    </row>
    <row r="2464" spans="4:7">
      <c r="D2464" s="46"/>
      <c r="E2464" s="46"/>
      <c r="F2464" s="46"/>
      <c r="G2464" s="46"/>
    </row>
    <row r="2465" spans="4:7">
      <c r="D2465" s="46"/>
      <c r="E2465" s="46"/>
      <c r="F2465" s="46"/>
      <c r="G2465" s="46"/>
    </row>
    <row r="2466" spans="4:7">
      <c r="D2466" s="46"/>
      <c r="E2466" s="46"/>
      <c r="F2466" s="46"/>
      <c r="G2466" s="46"/>
    </row>
    <row r="2467" spans="4:7">
      <c r="D2467" s="46"/>
      <c r="E2467" s="46"/>
      <c r="F2467" s="46"/>
      <c r="G2467" s="46"/>
    </row>
    <row r="2468" spans="4:7">
      <c r="D2468" s="46"/>
      <c r="E2468" s="46"/>
      <c r="F2468" s="46"/>
      <c r="G2468" s="46"/>
    </row>
    <row r="2469" spans="4:7">
      <c r="D2469" s="46"/>
      <c r="E2469" s="46"/>
      <c r="F2469" s="46"/>
      <c r="G2469" s="46"/>
    </row>
    <row r="2470" spans="4:7">
      <c r="D2470" s="46"/>
      <c r="E2470" s="46"/>
      <c r="F2470" s="46"/>
      <c r="G2470" s="46"/>
    </row>
    <row r="2471" spans="4:7">
      <c r="D2471" s="46"/>
      <c r="E2471" s="46"/>
      <c r="F2471" s="46"/>
      <c r="G2471" s="46"/>
    </row>
    <row r="2472" spans="4:7">
      <c r="D2472" s="46"/>
      <c r="E2472" s="46"/>
      <c r="F2472" s="46"/>
      <c r="G2472" s="46"/>
    </row>
    <row r="2473" spans="4:7">
      <c r="D2473" s="46"/>
      <c r="E2473" s="46"/>
      <c r="F2473" s="46"/>
      <c r="G2473" s="46"/>
    </row>
    <row r="2474" spans="4:7">
      <c r="D2474" s="46"/>
      <c r="E2474" s="46"/>
      <c r="F2474" s="46"/>
      <c r="G2474" s="46"/>
    </row>
    <row r="2475" spans="4:7">
      <c r="D2475" s="46"/>
      <c r="E2475" s="46"/>
      <c r="F2475" s="46"/>
      <c r="G2475" s="46"/>
    </row>
    <row r="2476" spans="4:7">
      <c r="D2476" s="46"/>
      <c r="E2476" s="46"/>
      <c r="F2476" s="46"/>
      <c r="G2476" s="46"/>
    </row>
    <row r="2477" spans="4:7">
      <c r="D2477" s="46"/>
      <c r="E2477" s="46"/>
      <c r="F2477" s="46"/>
      <c r="G2477" s="46"/>
    </row>
    <row r="2478" spans="4:7">
      <c r="D2478" s="46"/>
      <c r="E2478" s="46"/>
      <c r="F2478" s="46"/>
      <c r="G2478" s="46"/>
    </row>
    <row r="2479" spans="4:7">
      <c r="D2479" s="46"/>
      <c r="E2479" s="46"/>
      <c r="F2479" s="46"/>
      <c r="G2479" s="46"/>
    </row>
    <row r="2480" spans="4:7">
      <c r="D2480" s="46"/>
      <c r="E2480" s="46"/>
      <c r="F2480" s="46"/>
      <c r="G2480" s="46"/>
    </row>
    <row r="2481" spans="4:7">
      <c r="D2481" s="46"/>
      <c r="E2481" s="46"/>
      <c r="F2481" s="46"/>
      <c r="G2481" s="46"/>
    </row>
    <row r="2482" spans="4:7">
      <c r="D2482" s="46"/>
      <c r="E2482" s="46"/>
      <c r="F2482" s="46"/>
      <c r="G2482" s="46"/>
    </row>
    <row r="2483" spans="4:7">
      <c r="D2483" s="46"/>
      <c r="E2483" s="46"/>
      <c r="F2483" s="46"/>
      <c r="G2483" s="46"/>
    </row>
    <row r="2484" spans="4:7">
      <c r="D2484" s="46"/>
      <c r="E2484" s="46"/>
      <c r="F2484" s="46"/>
      <c r="G2484" s="46"/>
    </row>
    <row r="2485" spans="4:7">
      <c r="D2485" s="46"/>
      <c r="E2485" s="46"/>
      <c r="F2485" s="46"/>
      <c r="G2485" s="46"/>
    </row>
    <row r="2486" spans="4:7">
      <c r="D2486" s="46"/>
      <c r="E2486" s="46"/>
      <c r="F2486" s="46"/>
      <c r="G2486" s="46"/>
    </row>
    <row r="2487" spans="4:7">
      <c r="D2487" s="46"/>
      <c r="E2487" s="46"/>
      <c r="F2487" s="46"/>
      <c r="G2487" s="46"/>
    </row>
    <row r="2488" spans="4:7">
      <c r="D2488" s="46"/>
      <c r="E2488" s="46"/>
      <c r="F2488" s="46"/>
      <c r="G2488" s="46"/>
    </row>
    <row r="2489" spans="4:7">
      <c r="D2489" s="46"/>
      <c r="E2489" s="46"/>
      <c r="F2489" s="46"/>
      <c r="G2489" s="46"/>
    </row>
    <row r="2490" spans="4:7">
      <c r="D2490" s="46"/>
      <c r="E2490" s="46"/>
      <c r="F2490" s="46"/>
      <c r="G2490" s="46"/>
    </row>
    <row r="2491" spans="4:7">
      <c r="D2491" s="46"/>
      <c r="E2491" s="46"/>
      <c r="F2491" s="46"/>
      <c r="G2491" s="46"/>
    </row>
    <row r="2492" spans="4:7">
      <c r="D2492" s="46"/>
      <c r="E2492" s="46"/>
      <c r="F2492" s="46"/>
      <c r="G2492" s="46"/>
    </row>
    <row r="2493" spans="4:7">
      <c r="D2493" s="46"/>
      <c r="E2493" s="46"/>
      <c r="F2493" s="46"/>
      <c r="G2493" s="46"/>
    </row>
    <row r="2494" spans="4:7">
      <c r="D2494" s="46"/>
      <c r="E2494" s="46"/>
      <c r="F2494" s="46"/>
      <c r="G2494" s="46"/>
    </row>
    <row r="2495" spans="4:7">
      <c r="D2495" s="46"/>
      <c r="E2495" s="46"/>
      <c r="F2495" s="46"/>
      <c r="G2495" s="46"/>
    </row>
    <row r="2496" spans="4:7">
      <c r="D2496" s="46"/>
      <c r="E2496" s="46"/>
      <c r="F2496" s="46"/>
      <c r="G2496" s="46"/>
    </row>
    <row r="2497" spans="4:7">
      <c r="D2497" s="46"/>
      <c r="E2497" s="46"/>
      <c r="F2497" s="46"/>
      <c r="G2497" s="46"/>
    </row>
    <row r="2498" spans="4:7">
      <c r="D2498" s="46"/>
      <c r="E2498" s="46"/>
      <c r="F2498" s="46"/>
      <c r="G2498" s="46"/>
    </row>
    <row r="2499" spans="4:7">
      <c r="D2499" s="46"/>
      <c r="E2499" s="46"/>
      <c r="F2499" s="46"/>
      <c r="G2499" s="46"/>
    </row>
    <row r="2500" spans="4:7">
      <c r="D2500" s="46"/>
      <c r="E2500" s="46"/>
      <c r="F2500" s="46"/>
      <c r="G2500" s="46"/>
    </row>
    <row r="2501" spans="4:7">
      <c r="D2501" s="46"/>
      <c r="E2501" s="46"/>
      <c r="F2501" s="46"/>
      <c r="G2501" s="46"/>
    </row>
    <row r="2502" spans="4:7">
      <c r="D2502" s="46"/>
      <c r="E2502" s="46"/>
      <c r="F2502" s="46"/>
      <c r="G2502" s="46"/>
    </row>
    <row r="2503" spans="4:7">
      <c r="D2503" s="46"/>
      <c r="E2503" s="46"/>
      <c r="F2503" s="46"/>
      <c r="G2503" s="46"/>
    </row>
    <row r="2504" spans="4:7">
      <c r="D2504" s="46"/>
      <c r="E2504" s="46"/>
      <c r="F2504" s="46"/>
      <c r="G2504" s="46"/>
    </row>
    <row r="2505" spans="4:7">
      <c r="D2505" s="46"/>
      <c r="E2505" s="46"/>
      <c r="F2505" s="46"/>
      <c r="G2505" s="46"/>
    </row>
    <row r="2506" spans="4:7">
      <c r="D2506" s="46"/>
      <c r="E2506" s="46"/>
      <c r="F2506" s="46"/>
      <c r="G2506" s="46"/>
    </row>
    <row r="2507" spans="4:7">
      <c r="D2507" s="46"/>
      <c r="E2507" s="46"/>
      <c r="F2507" s="46"/>
      <c r="G2507" s="46"/>
    </row>
    <row r="2508" spans="4:7">
      <c r="D2508" s="46"/>
      <c r="E2508" s="46"/>
      <c r="F2508" s="46"/>
      <c r="G2508" s="46"/>
    </row>
    <row r="2509" spans="4:7">
      <c r="D2509" s="46"/>
      <c r="E2509" s="46"/>
      <c r="F2509" s="46"/>
      <c r="G2509" s="46"/>
    </row>
    <row r="2510" spans="4:7">
      <c r="D2510" s="46"/>
      <c r="E2510" s="46"/>
      <c r="F2510" s="46"/>
      <c r="G2510" s="46"/>
    </row>
    <row r="2511" spans="4:7">
      <c r="D2511" s="46"/>
      <c r="E2511" s="46"/>
      <c r="F2511" s="46"/>
      <c r="G2511" s="46"/>
    </row>
    <row r="2512" spans="4:7">
      <c r="D2512" s="46"/>
      <c r="E2512" s="46"/>
      <c r="F2512" s="46"/>
      <c r="G2512" s="46"/>
    </row>
    <row r="2513" spans="4:7">
      <c r="D2513" s="46"/>
      <c r="E2513" s="46"/>
      <c r="F2513" s="46"/>
      <c r="G2513" s="46"/>
    </row>
    <row r="2514" spans="4:7">
      <c r="D2514" s="46"/>
      <c r="E2514" s="46"/>
      <c r="F2514" s="46"/>
      <c r="G2514" s="46"/>
    </row>
    <row r="2515" spans="4:7">
      <c r="D2515" s="46"/>
      <c r="E2515" s="46"/>
      <c r="F2515" s="46"/>
      <c r="G2515" s="46"/>
    </row>
    <row r="2516" spans="4:7">
      <c r="D2516" s="46"/>
      <c r="E2516" s="46"/>
      <c r="F2516" s="46"/>
      <c r="G2516" s="46"/>
    </row>
    <row r="2517" spans="4:7">
      <c r="D2517" s="46"/>
      <c r="E2517" s="46"/>
      <c r="F2517" s="46"/>
      <c r="G2517" s="46"/>
    </row>
    <row r="2518" spans="4:7">
      <c r="D2518" s="46"/>
      <c r="E2518" s="46"/>
      <c r="F2518" s="46"/>
      <c r="G2518" s="46"/>
    </row>
    <row r="2519" spans="4:7">
      <c r="D2519" s="46"/>
      <c r="E2519" s="46"/>
      <c r="F2519" s="46"/>
      <c r="G2519" s="46"/>
    </row>
    <row r="2520" spans="4:7">
      <c r="D2520" s="46"/>
      <c r="E2520" s="46"/>
      <c r="F2520" s="46"/>
      <c r="G2520" s="46"/>
    </row>
    <row r="2521" spans="4:7">
      <c r="D2521" s="46"/>
      <c r="E2521" s="46"/>
      <c r="F2521" s="46"/>
      <c r="G2521" s="46"/>
    </row>
    <row r="2522" spans="4:7">
      <c r="D2522" s="46"/>
      <c r="E2522" s="46"/>
      <c r="F2522" s="46"/>
      <c r="G2522" s="46"/>
    </row>
    <row r="2523" spans="4:7">
      <c r="D2523" s="46"/>
      <c r="E2523" s="46"/>
      <c r="F2523" s="46"/>
      <c r="G2523" s="46"/>
    </row>
    <row r="2524" spans="4:7">
      <c r="D2524" s="46"/>
      <c r="E2524" s="46"/>
      <c r="F2524" s="46"/>
      <c r="G2524" s="46"/>
    </row>
    <row r="2525" spans="4:7">
      <c r="D2525" s="46"/>
      <c r="E2525" s="46"/>
      <c r="F2525" s="46"/>
      <c r="G2525" s="46"/>
    </row>
    <row r="2526" spans="4:7">
      <c r="D2526" s="46"/>
      <c r="E2526" s="46"/>
      <c r="F2526" s="46"/>
      <c r="G2526" s="46"/>
    </row>
    <row r="2527" spans="4:7">
      <c r="D2527" s="46"/>
      <c r="E2527" s="46"/>
      <c r="F2527" s="46"/>
      <c r="G2527" s="46"/>
    </row>
    <row r="2528" spans="4:7">
      <c r="D2528" s="46"/>
      <c r="E2528" s="46"/>
      <c r="F2528" s="46"/>
      <c r="G2528" s="46"/>
    </row>
    <row r="2529" spans="4:7">
      <c r="D2529" s="46"/>
      <c r="E2529" s="46"/>
      <c r="F2529" s="46"/>
      <c r="G2529" s="46"/>
    </row>
    <row r="2530" spans="4:7">
      <c r="D2530" s="46"/>
      <c r="E2530" s="46"/>
      <c r="F2530" s="46"/>
      <c r="G2530" s="46"/>
    </row>
    <row r="2531" spans="4:7">
      <c r="D2531" s="46"/>
      <c r="E2531" s="46"/>
      <c r="F2531" s="46"/>
      <c r="G2531" s="46"/>
    </row>
    <row r="2532" spans="4:7">
      <c r="D2532" s="46"/>
      <c r="E2532" s="46"/>
      <c r="F2532" s="46"/>
      <c r="G2532" s="46"/>
    </row>
    <row r="2533" spans="4:7">
      <c r="D2533" s="46"/>
      <c r="E2533" s="46"/>
      <c r="F2533" s="46"/>
      <c r="G2533" s="46"/>
    </row>
    <row r="2534" spans="4:7">
      <c r="D2534" s="46"/>
      <c r="E2534" s="46"/>
      <c r="F2534" s="46"/>
      <c r="G2534" s="46"/>
    </row>
    <row r="2535" spans="4:7">
      <c r="D2535" s="46"/>
      <c r="E2535" s="46"/>
      <c r="F2535" s="46"/>
      <c r="G2535" s="46"/>
    </row>
    <row r="2536" spans="4:7">
      <c r="D2536" s="46"/>
      <c r="E2536" s="46"/>
      <c r="F2536" s="46"/>
      <c r="G2536" s="46"/>
    </row>
    <row r="2537" spans="4:7">
      <c r="D2537" s="46"/>
      <c r="E2537" s="46"/>
      <c r="F2537" s="46"/>
      <c r="G2537" s="46"/>
    </row>
    <row r="2538" spans="4:7">
      <c r="D2538" s="46"/>
      <c r="E2538" s="46"/>
      <c r="F2538" s="46"/>
      <c r="G2538" s="46"/>
    </row>
    <row r="2539" spans="4:7">
      <c r="D2539" s="46"/>
      <c r="E2539" s="46"/>
      <c r="F2539" s="46"/>
      <c r="G2539" s="46"/>
    </row>
    <row r="2540" spans="4:7">
      <c r="D2540" s="46"/>
      <c r="E2540" s="46"/>
      <c r="F2540" s="46"/>
      <c r="G2540" s="46"/>
    </row>
    <row r="2541" spans="4:7">
      <c r="D2541" s="46"/>
      <c r="E2541" s="46"/>
      <c r="F2541" s="46"/>
      <c r="G2541" s="46"/>
    </row>
    <row r="2542" spans="4:7">
      <c r="D2542" s="46"/>
      <c r="E2542" s="46"/>
      <c r="F2542" s="46"/>
      <c r="G2542" s="46"/>
    </row>
    <row r="2543" spans="4:7">
      <c r="D2543" s="46"/>
      <c r="E2543" s="46"/>
      <c r="F2543" s="46"/>
      <c r="G2543" s="46"/>
    </row>
    <row r="2544" spans="4:7">
      <c r="D2544" s="46"/>
      <c r="E2544" s="46"/>
      <c r="F2544" s="46"/>
      <c r="G2544" s="46"/>
    </row>
    <row r="2545" spans="4:7">
      <c r="D2545" s="46"/>
      <c r="E2545" s="46"/>
      <c r="F2545" s="46"/>
      <c r="G2545" s="46"/>
    </row>
    <row r="2546" spans="4:7">
      <c r="D2546" s="46"/>
      <c r="E2546" s="46"/>
      <c r="F2546" s="46"/>
      <c r="G2546" s="46"/>
    </row>
    <row r="2547" spans="4:7">
      <c r="D2547" s="46"/>
      <c r="E2547" s="46"/>
      <c r="F2547" s="46"/>
      <c r="G2547" s="46"/>
    </row>
    <row r="2548" spans="4:7">
      <c r="D2548" s="46"/>
      <c r="E2548" s="46"/>
      <c r="F2548" s="46"/>
      <c r="G2548" s="46"/>
    </row>
    <row r="2549" spans="4:7">
      <c r="D2549" s="46"/>
      <c r="E2549" s="46"/>
      <c r="F2549" s="46"/>
      <c r="G2549" s="46"/>
    </row>
    <row r="2550" spans="4:7">
      <c r="D2550" s="46"/>
      <c r="E2550" s="46"/>
      <c r="F2550" s="46"/>
      <c r="G2550" s="46"/>
    </row>
    <row r="2551" spans="4:7">
      <c r="D2551" s="46"/>
      <c r="E2551" s="46"/>
      <c r="F2551" s="46"/>
      <c r="G2551" s="46"/>
    </row>
    <row r="2552" spans="4:7">
      <c r="D2552" s="46"/>
      <c r="E2552" s="46"/>
      <c r="F2552" s="46"/>
      <c r="G2552" s="46"/>
    </row>
    <row r="2553" spans="4:7">
      <c r="D2553" s="46"/>
      <c r="E2553" s="46"/>
      <c r="F2553" s="46"/>
      <c r="G2553" s="46"/>
    </row>
    <row r="2554" spans="4:7">
      <c r="D2554" s="46"/>
      <c r="E2554" s="46"/>
      <c r="F2554" s="46"/>
      <c r="G2554" s="46"/>
    </row>
    <row r="2555" spans="4:7">
      <c r="D2555" s="46"/>
      <c r="E2555" s="46"/>
      <c r="F2555" s="46"/>
      <c r="G2555" s="46"/>
    </row>
    <row r="2556" spans="4:7">
      <c r="D2556" s="46"/>
      <c r="E2556" s="46"/>
      <c r="F2556" s="46"/>
      <c r="G2556" s="46"/>
    </row>
    <row r="2557" spans="4:7">
      <c r="D2557" s="46"/>
      <c r="E2557" s="46"/>
      <c r="F2557" s="46"/>
      <c r="G2557" s="46"/>
    </row>
    <row r="2558" spans="4:7">
      <c r="D2558" s="46"/>
      <c r="E2558" s="46"/>
      <c r="F2558" s="46"/>
      <c r="G2558" s="46"/>
    </row>
    <row r="2559" spans="4:7">
      <c r="D2559" s="46"/>
      <c r="E2559" s="46"/>
      <c r="F2559" s="46"/>
      <c r="G2559" s="46"/>
    </row>
    <row r="2560" spans="4:7">
      <c r="D2560" s="46"/>
      <c r="E2560" s="46"/>
      <c r="F2560" s="46"/>
      <c r="G2560" s="46"/>
    </row>
    <row r="2561" spans="4:7">
      <c r="D2561" s="46"/>
      <c r="E2561" s="46"/>
      <c r="F2561" s="46"/>
      <c r="G2561" s="46"/>
    </row>
    <row r="2562" spans="4:7">
      <c r="D2562" s="46"/>
      <c r="E2562" s="46"/>
      <c r="F2562" s="46"/>
      <c r="G2562" s="46"/>
    </row>
    <row r="2563" spans="4:7">
      <c r="D2563" s="46"/>
      <c r="E2563" s="46"/>
      <c r="F2563" s="46"/>
      <c r="G2563" s="46"/>
    </row>
    <row r="2564" spans="4:7">
      <c r="D2564" s="46"/>
      <c r="E2564" s="46"/>
      <c r="F2564" s="46"/>
      <c r="G2564" s="46"/>
    </row>
    <row r="2565" spans="4:7">
      <c r="D2565" s="46"/>
      <c r="E2565" s="46"/>
      <c r="F2565" s="46"/>
      <c r="G2565" s="46"/>
    </row>
    <row r="2566" spans="4:7">
      <c r="D2566" s="46"/>
      <c r="E2566" s="46"/>
      <c r="F2566" s="46"/>
      <c r="G2566" s="46"/>
    </row>
    <row r="2567" spans="4:7">
      <c r="D2567" s="46"/>
      <c r="E2567" s="46"/>
      <c r="F2567" s="46"/>
      <c r="G2567" s="46"/>
    </row>
    <row r="2568" spans="4:7">
      <c r="D2568" s="46"/>
      <c r="E2568" s="46"/>
      <c r="F2568" s="46"/>
      <c r="G2568" s="46"/>
    </row>
    <row r="2569" spans="4:7">
      <c r="D2569" s="46"/>
      <c r="E2569" s="46"/>
      <c r="F2569" s="46"/>
      <c r="G2569" s="46"/>
    </row>
    <row r="2570" spans="4:7">
      <c r="D2570" s="46"/>
      <c r="E2570" s="46"/>
      <c r="F2570" s="46"/>
      <c r="G2570" s="46"/>
    </row>
    <row r="2571" spans="4:7">
      <c r="D2571" s="46"/>
      <c r="E2571" s="46"/>
      <c r="F2571" s="46"/>
      <c r="G2571" s="46"/>
    </row>
    <row r="2572" spans="4:7">
      <c r="D2572" s="46"/>
      <c r="E2572" s="46"/>
      <c r="F2572" s="46"/>
      <c r="G2572" s="46"/>
    </row>
    <row r="2573" spans="4:7">
      <c r="D2573" s="46"/>
      <c r="E2573" s="46"/>
      <c r="F2573" s="46"/>
      <c r="G2573" s="46"/>
    </row>
    <row r="2574" spans="4:7">
      <c r="D2574" s="46"/>
      <c r="E2574" s="46"/>
      <c r="F2574" s="46"/>
      <c r="G2574" s="46"/>
    </row>
    <row r="2575" spans="4:7">
      <c r="D2575" s="46"/>
      <c r="E2575" s="46"/>
      <c r="F2575" s="46"/>
      <c r="G2575" s="46"/>
    </row>
    <row r="2576" spans="4:7">
      <c r="D2576" s="46"/>
      <c r="E2576" s="46"/>
      <c r="F2576" s="46"/>
      <c r="G2576" s="46"/>
    </row>
    <row r="2577" spans="4:7">
      <c r="D2577" s="46"/>
      <c r="E2577" s="46"/>
      <c r="F2577" s="46"/>
      <c r="G2577" s="46"/>
    </row>
    <row r="2578" spans="4:7">
      <c r="D2578" s="46"/>
      <c r="E2578" s="46"/>
      <c r="F2578" s="46"/>
      <c r="G2578" s="46"/>
    </row>
    <row r="2579" spans="4:7">
      <c r="D2579" s="46"/>
      <c r="E2579" s="46"/>
      <c r="F2579" s="46"/>
      <c r="G2579" s="46"/>
    </row>
    <row r="2580" spans="4:7">
      <c r="D2580" s="46"/>
      <c r="E2580" s="46"/>
      <c r="F2580" s="46"/>
      <c r="G2580" s="46"/>
    </row>
    <row r="2581" spans="4:7">
      <c r="D2581" s="46"/>
      <c r="E2581" s="46"/>
      <c r="F2581" s="46"/>
      <c r="G2581" s="46"/>
    </row>
    <row r="2582" spans="4:7">
      <c r="D2582" s="46"/>
      <c r="E2582" s="46"/>
      <c r="F2582" s="46"/>
      <c r="G2582" s="46"/>
    </row>
    <row r="2583" spans="4:7">
      <c r="D2583" s="46"/>
      <c r="E2583" s="46"/>
      <c r="F2583" s="46"/>
      <c r="G2583" s="46"/>
    </row>
    <row r="2584" spans="4:7">
      <c r="D2584" s="46"/>
      <c r="E2584" s="46"/>
      <c r="F2584" s="46"/>
      <c r="G2584" s="46"/>
    </row>
    <row r="2585" spans="4:7">
      <c r="D2585" s="46"/>
      <c r="E2585" s="46"/>
      <c r="F2585" s="46"/>
      <c r="G2585" s="46"/>
    </row>
    <row r="2586" spans="4:7">
      <c r="D2586" s="46"/>
      <c r="E2586" s="46"/>
      <c r="F2586" s="46"/>
      <c r="G2586" s="46"/>
    </row>
    <row r="2587" spans="4:7">
      <c r="D2587" s="46"/>
      <c r="E2587" s="46"/>
      <c r="F2587" s="46"/>
      <c r="G2587" s="46"/>
    </row>
    <row r="2588" spans="4:7">
      <c r="D2588" s="46"/>
      <c r="E2588" s="46"/>
      <c r="F2588" s="46"/>
      <c r="G2588" s="46"/>
    </row>
    <row r="2589" spans="4:7">
      <c r="D2589" s="46"/>
      <c r="E2589" s="46"/>
      <c r="F2589" s="46"/>
      <c r="G2589" s="46"/>
    </row>
    <row r="2590" spans="4:7">
      <c r="D2590" s="46"/>
      <c r="E2590" s="46"/>
      <c r="F2590" s="46"/>
      <c r="G2590" s="46"/>
    </row>
    <row r="2591" spans="4:7">
      <c r="D2591" s="46"/>
      <c r="E2591" s="46"/>
      <c r="F2591" s="46"/>
      <c r="G2591" s="46"/>
    </row>
    <row r="2592" spans="4:7">
      <c r="D2592" s="46"/>
      <c r="E2592" s="46"/>
      <c r="F2592" s="46"/>
      <c r="G2592" s="46"/>
    </row>
    <row r="2593" spans="4:7">
      <c r="D2593" s="46"/>
      <c r="E2593" s="46"/>
      <c r="F2593" s="46"/>
      <c r="G2593" s="46"/>
    </row>
    <row r="2594" spans="4:7">
      <c r="D2594" s="46"/>
      <c r="E2594" s="46"/>
      <c r="F2594" s="46"/>
      <c r="G2594" s="46"/>
    </row>
    <row r="2595" spans="4:7">
      <c r="D2595" s="46"/>
      <c r="E2595" s="46"/>
      <c r="F2595" s="46"/>
      <c r="G2595" s="46"/>
    </row>
    <row r="2596" spans="4:7">
      <c r="D2596" s="46"/>
      <c r="E2596" s="46"/>
      <c r="F2596" s="46"/>
      <c r="G2596" s="46"/>
    </row>
    <row r="2597" spans="4:7">
      <c r="D2597" s="46"/>
      <c r="E2597" s="46"/>
      <c r="F2597" s="46"/>
      <c r="G2597" s="46"/>
    </row>
    <row r="2598" spans="4:7">
      <c r="D2598" s="46"/>
      <c r="E2598" s="46"/>
      <c r="F2598" s="46"/>
      <c r="G2598" s="46"/>
    </row>
    <row r="2599" spans="4:7">
      <c r="D2599" s="46"/>
      <c r="E2599" s="46"/>
      <c r="F2599" s="46"/>
      <c r="G2599" s="46"/>
    </row>
    <row r="2600" spans="4:7">
      <c r="D2600" s="46"/>
      <c r="E2600" s="46"/>
      <c r="F2600" s="46"/>
      <c r="G2600" s="46"/>
    </row>
    <row r="2601" spans="4:7">
      <c r="D2601" s="46"/>
      <c r="E2601" s="46"/>
      <c r="F2601" s="46"/>
      <c r="G2601" s="46"/>
    </row>
    <row r="2602" spans="4:7">
      <c r="D2602" s="46"/>
      <c r="E2602" s="46"/>
      <c r="F2602" s="46"/>
      <c r="G2602" s="46"/>
    </row>
    <row r="2603" spans="4:7">
      <c r="D2603" s="46"/>
      <c r="E2603" s="46"/>
      <c r="F2603" s="46"/>
      <c r="G2603" s="46"/>
    </row>
    <row r="2604" spans="4:7">
      <c r="D2604" s="46"/>
      <c r="E2604" s="46"/>
      <c r="F2604" s="46"/>
      <c r="G2604" s="46"/>
    </row>
    <row r="2605" spans="4:7">
      <c r="D2605" s="46"/>
      <c r="E2605" s="46"/>
      <c r="F2605" s="46"/>
      <c r="G2605" s="46"/>
    </row>
    <row r="2606" spans="4:7">
      <c r="D2606" s="46"/>
      <c r="E2606" s="46"/>
      <c r="F2606" s="46"/>
      <c r="G2606" s="46"/>
    </row>
    <row r="2607" spans="4:7">
      <c r="D2607" s="46"/>
      <c r="E2607" s="46"/>
      <c r="F2607" s="46"/>
      <c r="G2607" s="46"/>
    </row>
    <row r="2608" spans="4:7">
      <c r="D2608" s="46"/>
      <c r="E2608" s="46"/>
      <c r="F2608" s="46"/>
      <c r="G2608" s="46"/>
    </row>
    <row r="2609" spans="4:7">
      <c r="D2609" s="46"/>
      <c r="E2609" s="46"/>
      <c r="F2609" s="46"/>
      <c r="G2609" s="46"/>
    </row>
    <row r="2610" spans="4:7">
      <c r="D2610" s="46"/>
      <c r="E2610" s="46"/>
      <c r="F2610" s="46"/>
      <c r="G2610" s="46"/>
    </row>
    <row r="2611" spans="4:7">
      <c r="D2611" s="46"/>
      <c r="E2611" s="46"/>
      <c r="F2611" s="46"/>
      <c r="G2611" s="46"/>
    </row>
    <row r="2612" spans="4:7">
      <c r="D2612" s="46"/>
      <c r="E2612" s="46"/>
      <c r="F2612" s="46"/>
      <c r="G2612" s="46"/>
    </row>
    <row r="2613" spans="4:7">
      <c r="D2613" s="46"/>
      <c r="E2613" s="46"/>
      <c r="F2613" s="46"/>
      <c r="G2613" s="46"/>
    </row>
    <row r="2614" spans="4:7">
      <c r="D2614" s="46"/>
      <c r="E2614" s="46"/>
      <c r="F2614" s="46"/>
      <c r="G2614" s="46"/>
    </row>
    <row r="2615" spans="4:7">
      <c r="D2615" s="46"/>
      <c r="E2615" s="46"/>
      <c r="F2615" s="46"/>
      <c r="G2615" s="46"/>
    </row>
    <row r="2616" spans="4:7">
      <c r="D2616" s="46"/>
      <c r="E2616" s="46"/>
      <c r="F2616" s="46"/>
      <c r="G2616" s="46"/>
    </row>
    <row r="2617" spans="4:7">
      <c r="D2617" s="46"/>
      <c r="E2617" s="46"/>
      <c r="F2617" s="46"/>
      <c r="G2617" s="46"/>
    </row>
    <row r="2618" spans="4:7">
      <c r="D2618" s="46"/>
      <c r="E2618" s="46"/>
      <c r="F2618" s="46"/>
      <c r="G2618" s="46"/>
    </row>
    <row r="2619" spans="4:7">
      <c r="D2619" s="46"/>
      <c r="E2619" s="46"/>
      <c r="F2619" s="46"/>
      <c r="G2619" s="46"/>
    </row>
    <row r="2620" spans="4:7">
      <c r="D2620" s="46"/>
      <c r="E2620" s="46"/>
      <c r="F2620" s="46"/>
      <c r="G2620" s="46"/>
    </row>
    <row r="2621" spans="4:7">
      <c r="D2621" s="46"/>
      <c r="E2621" s="46"/>
      <c r="F2621" s="46"/>
      <c r="G2621" s="46"/>
    </row>
    <row r="2622" spans="4:7">
      <c r="D2622" s="46"/>
      <c r="E2622" s="46"/>
      <c r="F2622" s="46"/>
      <c r="G2622" s="46"/>
    </row>
    <row r="2623" spans="4:7">
      <c r="D2623" s="46"/>
      <c r="E2623" s="46"/>
      <c r="F2623" s="46"/>
      <c r="G2623" s="46"/>
    </row>
    <row r="2624" spans="4:7">
      <c r="D2624" s="46"/>
      <c r="E2624" s="46"/>
      <c r="F2624" s="46"/>
      <c r="G2624" s="46"/>
    </row>
    <row r="2625" spans="4:7">
      <c r="D2625" s="46"/>
      <c r="E2625" s="46"/>
      <c r="F2625" s="46"/>
      <c r="G2625" s="46"/>
    </row>
    <row r="2626" spans="4:7">
      <c r="D2626" s="46"/>
      <c r="E2626" s="46"/>
      <c r="F2626" s="46"/>
      <c r="G2626" s="46"/>
    </row>
    <row r="2627" spans="4:7">
      <c r="D2627" s="46"/>
      <c r="E2627" s="46"/>
      <c r="F2627" s="46"/>
      <c r="G2627" s="46"/>
    </row>
    <row r="2628" spans="4:7">
      <c r="D2628" s="46"/>
      <c r="E2628" s="46"/>
      <c r="F2628" s="46"/>
      <c r="G2628" s="46"/>
    </row>
    <row r="2629" spans="4:7">
      <c r="D2629" s="46"/>
      <c r="E2629" s="46"/>
      <c r="F2629" s="46"/>
      <c r="G2629" s="46"/>
    </row>
    <row r="2630" spans="4:7">
      <c r="D2630" s="46"/>
      <c r="E2630" s="46"/>
      <c r="F2630" s="46"/>
      <c r="G2630" s="46"/>
    </row>
    <row r="2631" spans="4:7">
      <c r="D2631" s="46"/>
      <c r="E2631" s="46"/>
      <c r="F2631" s="46"/>
      <c r="G2631" s="46"/>
    </row>
    <row r="2632" spans="4:7">
      <c r="D2632" s="46"/>
      <c r="E2632" s="46"/>
      <c r="F2632" s="46"/>
      <c r="G2632" s="46"/>
    </row>
    <row r="2633" spans="4:7">
      <c r="D2633" s="46"/>
      <c r="E2633" s="46"/>
      <c r="F2633" s="46"/>
      <c r="G2633" s="46"/>
    </row>
    <row r="2634" spans="4:7">
      <c r="D2634" s="46"/>
      <c r="E2634" s="46"/>
      <c r="F2634" s="46"/>
      <c r="G2634" s="46"/>
    </row>
    <row r="2635" spans="4:7">
      <c r="D2635" s="46"/>
      <c r="E2635" s="46"/>
      <c r="F2635" s="46"/>
      <c r="G2635" s="46"/>
    </row>
    <row r="2636" spans="4:7">
      <c r="D2636" s="46"/>
      <c r="E2636" s="46"/>
      <c r="F2636" s="46"/>
      <c r="G2636" s="46"/>
    </row>
    <row r="2637" spans="4:7">
      <c r="D2637" s="46"/>
      <c r="E2637" s="46"/>
      <c r="F2637" s="46"/>
      <c r="G2637" s="46"/>
    </row>
    <row r="2638" spans="4:7">
      <c r="D2638" s="46"/>
      <c r="E2638" s="46"/>
      <c r="F2638" s="46"/>
      <c r="G2638" s="46"/>
    </row>
    <row r="2639" spans="4:7">
      <c r="D2639" s="46"/>
      <c r="E2639" s="46"/>
      <c r="F2639" s="46"/>
      <c r="G2639" s="46"/>
    </row>
    <row r="2640" spans="4:7">
      <c r="D2640" s="46"/>
      <c r="E2640" s="46"/>
      <c r="F2640" s="46"/>
      <c r="G2640" s="46"/>
    </row>
    <row r="2641" spans="4:7">
      <c r="D2641" s="46"/>
      <c r="E2641" s="46"/>
      <c r="F2641" s="46"/>
      <c r="G2641" s="46"/>
    </row>
    <row r="2642" spans="4:7">
      <c r="D2642" s="46"/>
      <c r="E2642" s="46"/>
      <c r="F2642" s="46"/>
      <c r="G2642" s="46"/>
    </row>
    <row r="2643" spans="4:7">
      <c r="D2643" s="46"/>
      <c r="E2643" s="46"/>
      <c r="F2643" s="46"/>
      <c r="G2643" s="46"/>
    </row>
    <row r="2644" spans="4:7">
      <c r="D2644" s="46"/>
      <c r="E2644" s="46"/>
      <c r="F2644" s="46"/>
      <c r="G2644" s="46"/>
    </row>
    <row r="2645" spans="4:7">
      <c r="D2645" s="46"/>
      <c r="E2645" s="46"/>
      <c r="F2645" s="46"/>
      <c r="G2645" s="46"/>
    </row>
    <row r="2646" spans="4:7">
      <c r="D2646" s="46"/>
      <c r="E2646" s="46"/>
      <c r="F2646" s="46"/>
      <c r="G2646" s="46"/>
    </row>
    <row r="2647" spans="4:7">
      <c r="D2647" s="46"/>
      <c r="E2647" s="46"/>
      <c r="F2647" s="46"/>
      <c r="G2647" s="46"/>
    </row>
    <row r="2648" spans="4:7">
      <c r="D2648" s="46"/>
      <c r="E2648" s="46"/>
      <c r="F2648" s="46"/>
      <c r="G2648" s="46"/>
    </row>
    <row r="2649" spans="4:7">
      <c r="D2649" s="46"/>
      <c r="E2649" s="46"/>
      <c r="F2649" s="46"/>
      <c r="G2649" s="46"/>
    </row>
    <row r="2650" spans="4:7">
      <c r="D2650" s="46"/>
      <c r="E2650" s="46"/>
      <c r="F2650" s="46"/>
      <c r="G2650" s="46"/>
    </row>
    <row r="2651" spans="4:7">
      <c r="D2651" s="46"/>
      <c r="E2651" s="46"/>
      <c r="F2651" s="46"/>
      <c r="G2651" s="46"/>
    </row>
    <row r="2652" spans="4:7">
      <c r="D2652" s="46"/>
      <c r="E2652" s="46"/>
      <c r="F2652" s="46"/>
      <c r="G2652" s="46"/>
    </row>
    <row r="2653" spans="4:7">
      <c r="D2653" s="46"/>
      <c r="E2653" s="46"/>
      <c r="F2653" s="46"/>
      <c r="G2653" s="46"/>
    </row>
    <row r="2654" spans="4:7">
      <c r="D2654" s="46"/>
      <c r="E2654" s="46"/>
      <c r="F2654" s="46"/>
      <c r="G2654" s="46"/>
    </row>
    <row r="2655" spans="4:7">
      <c r="D2655" s="46"/>
      <c r="E2655" s="46"/>
      <c r="F2655" s="46"/>
      <c r="G2655" s="46"/>
    </row>
    <row r="2656" spans="4:7">
      <c r="D2656" s="46"/>
      <c r="E2656" s="46"/>
      <c r="F2656" s="46"/>
      <c r="G2656" s="46"/>
    </row>
    <row r="2657" spans="4:7">
      <c r="D2657" s="46"/>
      <c r="E2657" s="46"/>
      <c r="F2657" s="46"/>
      <c r="G2657" s="46"/>
    </row>
    <row r="2658" spans="4:7">
      <c r="D2658" s="46"/>
      <c r="E2658" s="46"/>
      <c r="F2658" s="46"/>
      <c r="G2658" s="46"/>
    </row>
    <row r="2659" spans="4:7">
      <c r="D2659" s="46"/>
      <c r="E2659" s="46"/>
      <c r="F2659" s="46"/>
      <c r="G2659" s="46"/>
    </row>
    <row r="2660" spans="4:7">
      <c r="D2660" s="46"/>
      <c r="E2660" s="46"/>
      <c r="F2660" s="46"/>
      <c r="G2660" s="46"/>
    </row>
    <row r="2661" spans="4:7">
      <c r="D2661" s="46"/>
      <c r="E2661" s="46"/>
      <c r="F2661" s="46"/>
      <c r="G2661" s="46"/>
    </row>
    <row r="2662" spans="4:7">
      <c r="D2662" s="46"/>
      <c r="E2662" s="46"/>
      <c r="F2662" s="46"/>
      <c r="G2662" s="46"/>
    </row>
    <row r="2663" spans="4:7">
      <c r="D2663" s="46"/>
      <c r="E2663" s="46"/>
      <c r="F2663" s="46"/>
      <c r="G2663" s="46"/>
    </row>
    <row r="2664" spans="4:7">
      <c r="D2664" s="46"/>
      <c r="E2664" s="46"/>
      <c r="F2664" s="46"/>
      <c r="G2664" s="46"/>
    </row>
    <row r="2665" spans="4:7">
      <c r="D2665" s="46"/>
      <c r="E2665" s="46"/>
      <c r="F2665" s="46"/>
      <c r="G2665" s="46"/>
    </row>
    <row r="2666" spans="4:7">
      <c r="D2666" s="46"/>
      <c r="E2666" s="46"/>
      <c r="F2666" s="46"/>
      <c r="G2666" s="46"/>
    </row>
    <row r="2667" spans="4:7">
      <c r="D2667" s="46"/>
      <c r="E2667" s="46"/>
      <c r="F2667" s="46"/>
      <c r="G2667" s="46"/>
    </row>
    <row r="2668" spans="4:7">
      <c r="D2668" s="46"/>
      <c r="E2668" s="46"/>
      <c r="F2668" s="46"/>
      <c r="G2668" s="46"/>
    </row>
    <row r="2669" spans="4:7">
      <c r="D2669" s="46"/>
      <c r="E2669" s="46"/>
      <c r="F2669" s="46"/>
      <c r="G2669" s="46"/>
    </row>
    <row r="2670" spans="4:7">
      <c r="D2670" s="46"/>
      <c r="E2670" s="46"/>
      <c r="F2670" s="46"/>
      <c r="G2670" s="46"/>
    </row>
    <row r="2671" spans="4:7">
      <c r="D2671" s="46"/>
      <c r="E2671" s="46"/>
      <c r="F2671" s="46"/>
      <c r="G2671" s="46"/>
    </row>
    <row r="2672" spans="4:7">
      <c r="D2672" s="46"/>
      <c r="E2672" s="46"/>
      <c r="F2672" s="46"/>
      <c r="G2672" s="46"/>
    </row>
    <row r="2673" spans="4:7">
      <c r="D2673" s="46"/>
      <c r="E2673" s="46"/>
      <c r="F2673" s="46"/>
      <c r="G2673" s="46"/>
    </row>
    <row r="2674" spans="4:7">
      <c r="D2674" s="46"/>
      <c r="E2674" s="46"/>
      <c r="F2674" s="46"/>
      <c r="G2674" s="46"/>
    </row>
    <row r="2675" spans="4:7">
      <c r="D2675" s="46"/>
      <c r="E2675" s="46"/>
      <c r="F2675" s="46"/>
      <c r="G2675" s="46"/>
    </row>
    <row r="2676" spans="4:7">
      <c r="D2676" s="46"/>
      <c r="E2676" s="46"/>
      <c r="F2676" s="46"/>
      <c r="G2676" s="46"/>
    </row>
    <row r="2677" spans="4:7">
      <c r="D2677" s="46"/>
      <c r="E2677" s="46"/>
      <c r="F2677" s="46"/>
      <c r="G2677" s="46"/>
    </row>
    <row r="2678" spans="4:7">
      <c r="D2678" s="46"/>
      <c r="E2678" s="46"/>
      <c r="F2678" s="46"/>
      <c r="G2678" s="46"/>
    </row>
    <row r="2679" spans="4:7">
      <c r="D2679" s="46"/>
      <c r="E2679" s="46"/>
      <c r="F2679" s="46"/>
      <c r="G2679" s="46"/>
    </row>
    <row r="2680" spans="4:7">
      <c r="D2680" s="46"/>
      <c r="E2680" s="46"/>
      <c r="F2680" s="46"/>
      <c r="G2680" s="46"/>
    </row>
    <row r="2681" spans="4:7">
      <c r="D2681" s="46"/>
      <c r="E2681" s="46"/>
      <c r="F2681" s="46"/>
      <c r="G2681" s="46"/>
    </row>
    <row r="2682" spans="4:7">
      <c r="D2682" s="46"/>
      <c r="E2682" s="46"/>
      <c r="F2682" s="46"/>
      <c r="G2682" s="46"/>
    </row>
    <row r="2683" spans="4:7">
      <c r="D2683" s="46"/>
      <c r="E2683" s="46"/>
      <c r="F2683" s="46"/>
      <c r="G2683" s="46"/>
    </row>
    <row r="2684" spans="4:7">
      <c r="D2684" s="46"/>
      <c r="E2684" s="46"/>
      <c r="F2684" s="46"/>
      <c r="G2684" s="46"/>
    </row>
    <row r="2685" spans="4:7">
      <c r="D2685" s="46"/>
      <c r="E2685" s="46"/>
      <c r="F2685" s="46"/>
      <c r="G2685" s="46"/>
    </row>
    <row r="2686" spans="4:7">
      <c r="D2686" s="46"/>
      <c r="E2686" s="46"/>
      <c r="F2686" s="46"/>
      <c r="G2686" s="46"/>
    </row>
    <row r="2687" spans="4:7">
      <c r="D2687" s="46"/>
      <c r="E2687" s="46"/>
      <c r="F2687" s="46"/>
      <c r="G2687" s="46"/>
    </row>
    <row r="2688" spans="4:7">
      <c r="D2688" s="46"/>
      <c r="E2688" s="46"/>
      <c r="F2688" s="46"/>
      <c r="G2688" s="46"/>
    </row>
    <row r="2689" spans="4:7">
      <c r="D2689" s="46"/>
      <c r="E2689" s="46"/>
      <c r="F2689" s="46"/>
      <c r="G2689" s="46"/>
    </row>
    <row r="2690" spans="4:7">
      <c r="D2690" s="46"/>
      <c r="E2690" s="46"/>
      <c r="F2690" s="46"/>
      <c r="G2690" s="46"/>
    </row>
    <row r="2691" spans="4:7">
      <c r="D2691" s="46"/>
      <c r="E2691" s="46"/>
      <c r="F2691" s="46"/>
      <c r="G2691" s="46"/>
    </row>
    <row r="2692" spans="4:7">
      <c r="D2692" s="46"/>
      <c r="E2692" s="46"/>
      <c r="F2692" s="46"/>
      <c r="G2692" s="46"/>
    </row>
    <row r="2693" spans="4:7">
      <c r="D2693" s="46"/>
      <c r="E2693" s="46"/>
      <c r="F2693" s="46"/>
      <c r="G2693" s="46"/>
    </row>
    <row r="2694" spans="4:7">
      <c r="D2694" s="46"/>
      <c r="E2694" s="46"/>
      <c r="F2694" s="46"/>
      <c r="G2694" s="46"/>
    </row>
    <row r="2695" spans="4:7">
      <c r="D2695" s="46"/>
      <c r="E2695" s="46"/>
      <c r="F2695" s="46"/>
      <c r="G2695" s="46"/>
    </row>
    <row r="2696" spans="4:7">
      <c r="D2696" s="46"/>
      <c r="E2696" s="46"/>
      <c r="F2696" s="46"/>
      <c r="G2696" s="46"/>
    </row>
    <row r="2697" spans="4:7">
      <c r="D2697" s="46"/>
      <c r="E2697" s="46"/>
      <c r="F2697" s="46"/>
      <c r="G2697" s="46"/>
    </row>
    <row r="2698" spans="4:7">
      <c r="D2698" s="46"/>
      <c r="E2698" s="46"/>
      <c r="F2698" s="46"/>
      <c r="G2698" s="46"/>
    </row>
    <row r="2699" spans="4:7">
      <c r="D2699" s="46"/>
      <c r="E2699" s="46"/>
      <c r="F2699" s="46"/>
      <c r="G2699" s="46"/>
    </row>
    <row r="2700" spans="4:7">
      <c r="D2700" s="46"/>
      <c r="E2700" s="46"/>
      <c r="F2700" s="46"/>
      <c r="G2700" s="46"/>
    </row>
    <row r="2701" spans="4:7">
      <c r="D2701" s="46"/>
      <c r="E2701" s="46"/>
      <c r="F2701" s="46"/>
      <c r="G2701" s="46"/>
    </row>
    <row r="2702" spans="4:7">
      <c r="D2702" s="46"/>
      <c r="E2702" s="46"/>
      <c r="F2702" s="46"/>
      <c r="G2702" s="46"/>
    </row>
    <row r="2703" spans="4:7">
      <c r="D2703" s="46"/>
      <c r="E2703" s="46"/>
      <c r="F2703" s="46"/>
      <c r="G2703" s="46"/>
    </row>
    <row r="2704" spans="4:7">
      <c r="D2704" s="46"/>
      <c r="E2704" s="46"/>
      <c r="F2704" s="46"/>
      <c r="G2704" s="46"/>
    </row>
    <row r="2705" spans="4:7">
      <c r="D2705" s="46"/>
      <c r="E2705" s="46"/>
      <c r="F2705" s="46"/>
      <c r="G2705" s="46"/>
    </row>
    <row r="2706" spans="4:7">
      <c r="D2706" s="46"/>
      <c r="E2706" s="46"/>
      <c r="F2706" s="46"/>
      <c r="G2706" s="46"/>
    </row>
    <row r="2707" spans="4:7">
      <c r="D2707" s="46"/>
      <c r="E2707" s="46"/>
      <c r="F2707" s="46"/>
      <c r="G2707" s="46"/>
    </row>
    <row r="2708" spans="4:7">
      <c r="D2708" s="46"/>
      <c r="E2708" s="46"/>
      <c r="F2708" s="46"/>
      <c r="G2708" s="46"/>
    </row>
    <row r="2709" spans="4:7">
      <c r="D2709" s="46"/>
      <c r="E2709" s="46"/>
      <c r="F2709" s="46"/>
      <c r="G2709" s="46"/>
    </row>
    <row r="2710" spans="4:7">
      <c r="D2710" s="46"/>
      <c r="E2710" s="46"/>
      <c r="F2710" s="46"/>
      <c r="G2710" s="46"/>
    </row>
    <row r="2711" spans="4:7">
      <c r="D2711" s="46"/>
      <c r="E2711" s="46"/>
      <c r="F2711" s="46"/>
      <c r="G2711" s="46"/>
    </row>
    <row r="2712" spans="4:7">
      <c r="D2712" s="46"/>
      <c r="E2712" s="46"/>
      <c r="F2712" s="46"/>
      <c r="G2712" s="46"/>
    </row>
    <row r="2713" spans="4:7">
      <c r="D2713" s="46"/>
      <c r="E2713" s="46"/>
      <c r="F2713" s="46"/>
      <c r="G2713" s="46"/>
    </row>
    <row r="2714" spans="4:7">
      <c r="D2714" s="46"/>
      <c r="E2714" s="46"/>
      <c r="F2714" s="46"/>
      <c r="G2714" s="46"/>
    </row>
    <row r="2715" spans="4:7">
      <c r="D2715" s="46"/>
      <c r="E2715" s="46"/>
      <c r="F2715" s="46"/>
      <c r="G2715" s="46"/>
    </row>
    <row r="2716" spans="4:7">
      <c r="D2716" s="46"/>
      <c r="E2716" s="46"/>
      <c r="F2716" s="46"/>
      <c r="G2716" s="46"/>
    </row>
    <row r="2717" spans="4:7">
      <c r="D2717" s="46"/>
      <c r="E2717" s="46"/>
      <c r="F2717" s="46"/>
      <c r="G2717" s="46"/>
    </row>
    <row r="2718" spans="4:7">
      <c r="D2718" s="46"/>
      <c r="E2718" s="46"/>
      <c r="F2718" s="46"/>
      <c r="G2718" s="46"/>
    </row>
    <row r="2719" spans="4:7">
      <c r="D2719" s="46"/>
      <c r="E2719" s="46"/>
      <c r="F2719" s="46"/>
      <c r="G2719" s="46"/>
    </row>
    <row r="2720" spans="4:7">
      <c r="D2720" s="46"/>
      <c r="E2720" s="46"/>
      <c r="F2720" s="46"/>
      <c r="G2720" s="46"/>
    </row>
    <row r="2721" spans="4:7">
      <c r="D2721" s="46"/>
      <c r="E2721" s="46"/>
      <c r="F2721" s="46"/>
      <c r="G2721" s="46"/>
    </row>
    <row r="2722" spans="4:7">
      <c r="D2722" s="46"/>
      <c r="E2722" s="46"/>
      <c r="F2722" s="46"/>
      <c r="G2722" s="46"/>
    </row>
    <row r="2723" spans="4:7">
      <c r="D2723" s="46"/>
      <c r="E2723" s="46"/>
      <c r="F2723" s="46"/>
      <c r="G2723" s="46"/>
    </row>
    <row r="2724" spans="4:7">
      <c r="D2724" s="46"/>
      <c r="E2724" s="46"/>
      <c r="F2724" s="46"/>
      <c r="G2724" s="46"/>
    </row>
    <row r="2725" spans="4:7">
      <c r="D2725" s="46"/>
      <c r="E2725" s="46"/>
      <c r="F2725" s="46"/>
      <c r="G2725" s="46"/>
    </row>
    <row r="2726" spans="4:7">
      <c r="D2726" s="46"/>
      <c r="E2726" s="46"/>
      <c r="F2726" s="46"/>
      <c r="G2726" s="46"/>
    </row>
    <row r="2727" spans="4:7">
      <c r="D2727" s="46"/>
      <c r="E2727" s="46"/>
      <c r="F2727" s="46"/>
      <c r="G2727" s="46"/>
    </row>
    <row r="2728" spans="4:7">
      <c r="D2728" s="46"/>
      <c r="E2728" s="46"/>
      <c r="F2728" s="46"/>
      <c r="G2728" s="46"/>
    </row>
    <row r="2729" spans="4:7">
      <c r="D2729" s="46"/>
      <c r="E2729" s="46"/>
      <c r="F2729" s="46"/>
      <c r="G2729" s="46"/>
    </row>
    <row r="2730" spans="4:7">
      <c r="D2730" s="46"/>
      <c r="E2730" s="46"/>
      <c r="F2730" s="46"/>
      <c r="G2730" s="46"/>
    </row>
    <row r="2731" spans="4:7">
      <c r="D2731" s="46"/>
      <c r="E2731" s="46"/>
      <c r="F2731" s="46"/>
      <c r="G2731" s="46"/>
    </row>
    <row r="2732" spans="4:7">
      <c r="D2732" s="46"/>
      <c r="E2732" s="46"/>
      <c r="F2732" s="46"/>
      <c r="G2732" s="46"/>
    </row>
    <row r="2733" spans="4:7">
      <c r="D2733" s="46"/>
      <c r="E2733" s="46"/>
      <c r="F2733" s="46"/>
      <c r="G2733" s="46"/>
    </row>
    <row r="2734" spans="4:7">
      <c r="D2734" s="46"/>
      <c r="E2734" s="46"/>
      <c r="F2734" s="46"/>
      <c r="G2734" s="46"/>
    </row>
    <row r="2735" spans="4:7">
      <c r="D2735" s="46"/>
      <c r="E2735" s="46"/>
      <c r="F2735" s="46"/>
      <c r="G2735" s="46"/>
    </row>
    <row r="2736" spans="4:7">
      <c r="D2736" s="46"/>
      <c r="E2736" s="46"/>
      <c r="F2736" s="46"/>
      <c r="G2736" s="46"/>
    </row>
    <row r="2737" spans="4:7">
      <c r="D2737" s="46"/>
      <c r="E2737" s="46"/>
      <c r="F2737" s="46"/>
      <c r="G2737" s="46"/>
    </row>
    <row r="2738" spans="4:7">
      <c r="D2738" s="46"/>
      <c r="E2738" s="46"/>
      <c r="F2738" s="46"/>
      <c r="G2738" s="46"/>
    </row>
    <row r="2739" spans="4:7">
      <c r="D2739" s="46"/>
      <c r="E2739" s="46"/>
      <c r="F2739" s="46"/>
      <c r="G2739" s="46"/>
    </row>
    <row r="2740" spans="4:7">
      <c r="D2740" s="46"/>
      <c r="E2740" s="46"/>
      <c r="F2740" s="46"/>
      <c r="G2740" s="46"/>
    </row>
    <row r="2741" spans="4:7">
      <c r="D2741" s="46"/>
      <c r="E2741" s="46"/>
      <c r="F2741" s="46"/>
      <c r="G2741" s="46"/>
    </row>
    <row r="2742" spans="4:7">
      <c r="D2742" s="46"/>
      <c r="E2742" s="46"/>
      <c r="F2742" s="46"/>
      <c r="G2742" s="46"/>
    </row>
    <row r="2743" spans="4:7">
      <c r="D2743" s="46"/>
      <c r="E2743" s="46"/>
      <c r="F2743" s="46"/>
      <c r="G2743" s="46"/>
    </row>
    <row r="2744" spans="4:7">
      <c r="D2744" s="46"/>
      <c r="E2744" s="46"/>
      <c r="F2744" s="46"/>
      <c r="G2744" s="46"/>
    </row>
    <row r="2745" spans="4:7">
      <c r="D2745" s="46"/>
      <c r="E2745" s="46"/>
      <c r="F2745" s="46"/>
      <c r="G2745" s="46"/>
    </row>
    <row r="2746" spans="4:7">
      <c r="D2746" s="46"/>
      <c r="E2746" s="46"/>
      <c r="F2746" s="46"/>
      <c r="G2746" s="46"/>
    </row>
    <row r="2747" spans="4:7">
      <c r="D2747" s="46"/>
      <c r="E2747" s="46"/>
      <c r="F2747" s="46"/>
      <c r="G2747" s="46"/>
    </row>
    <row r="2748" spans="4:7">
      <c r="D2748" s="46"/>
      <c r="E2748" s="46"/>
      <c r="F2748" s="46"/>
      <c r="G2748" s="46"/>
    </row>
    <row r="2749" spans="4:7">
      <c r="D2749" s="46"/>
      <c r="E2749" s="46"/>
      <c r="F2749" s="46"/>
      <c r="G2749" s="46"/>
    </row>
    <row r="2750" spans="4:7">
      <c r="D2750" s="46"/>
      <c r="E2750" s="46"/>
      <c r="F2750" s="46"/>
      <c r="G2750" s="46"/>
    </row>
    <row r="2751" spans="4:7">
      <c r="D2751" s="46"/>
      <c r="E2751" s="46"/>
      <c r="F2751" s="46"/>
      <c r="G2751" s="46"/>
    </row>
    <row r="2752" spans="4:7">
      <c r="D2752" s="46"/>
      <c r="E2752" s="46"/>
      <c r="F2752" s="46"/>
      <c r="G2752" s="46"/>
    </row>
    <row r="2753" spans="4:7">
      <c r="D2753" s="46"/>
      <c r="E2753" s="46"/>
      <c r="F2753" s="46"/>
      <c r="G2753" s="46"/>
    </row>
    <row r="2754" spans="4:7">
      <c r="D2754" s="46"/>
      <c r="E2754" s="46"/>
      <c r="F2754" s="46"/>
      <c r="G2754" s="46"/>
    </row>
    <row r="2755" spans="4:7">
      <c r="D2755" s="46"/>
      <c r="E2755" s="46"/>
      <c r="F2755" s="46"/>
      <c r="G2755" s="46"/>
    </row>
    <row r="2756" spans="4:7">
      <c r="D2756" s="46"/>
      <c r="E2756" s="46"/>
      <c r="F2756" s="46"/>
      <c r="G2756" s="46"/>
    </row>
    <row r="2757" spans="4:7">
      <c r="D2757" s="46"/>
      <c r="E2757" s="46"/>
      <c r="F2757" s="46"/>
      <c r="G2757" s="46"/>
    </row>
    <row r="2758" spans="4:7">
      <c r="D2758" s="46"/>
      <c r="E2758" s="46"/>
      <c r="F2758" s="46"/>
      <c r="G2758" s="46"/>
    </row>
    <row r="2759" spans="4:7">
      <c r="D2759" s="46"/>
      <c r="E2759" s="46"/>
      <c r="F2759" s="46"/>
      <c r="G2759" s="46"/>
    </row>
    <row r="2760" spans="4:7">
      <c r="D2760" s="46"/>
      <c r="E2760" s="46"/>
      <c r="F2760" s="46"/>
      <c r="G2760" s="46"/>
    </row>
    <row r="2761" spans="4:7">
      <c r="D2761" s="46"/>
      <c r="E2761" s="46"/>
      <c r="F2761" s="46"/>
      <c r="G2761" s="46"/>
    </row>
    <row r="2762" spans="4:7">
      <c r="D2762" s="46"/>
      <c r="E2762" s="46"/>
      <c r="F2762" s="46"/>
      <c r="G2762" s="46"/>
    </row>
    <row r="2763" spans="4:7">
      <c r="D2763" s="46"/>
      <c r="E2763" s="46"/>
      <c r="F2763" s="46"/>
      <c r="G2763" s="46"/>
    </row>
    <row r="2764" spans="4:7">
      <c r="D2764" s="46"/>
      <c r="E2764" s="46"/>
      <c r="F2764" s="46"/>
      <c r="G2764" s="46"/>
    </row>
    <row r="2765" spans="4:7">
      <c r="D2765" s="46"/>
      <c r="E2765" s="46"/>
      <c r="F2765" s="46"/>
      <c r="G2765" s="46"/>
    </row>
    <row r="2766" spans="4:7">
      <c r="D2766" s="46"/>
      <c r="E2766" s="46"/>
      <c r="F2766" s="46"/>
      <c r="G2766" s="46"/>
    </row>
    <row r="2767" spans="4:7">
      <c r="D2767" s="46"/>
      <c r="E2767" s="46"/>
      <c r="F2767" s="46"/>
      <c r="G2767" s="46"/>
    </row>
    <row r="2768" spans="4:7">
      <c r="D2768" s="46"/>
      <c r="E2768" s="46"/>
      <c r="F2768" s="46"/>
      <c r="G2768" s="46"/>
    </row>
    <row r="2769" spans="4:7">
      <c r="D2769" s="46"/>
      <c r="E2769" s="46"/>
      <c r="F2769" s="46"/>
      <c r="G2769" s="46"/>
    </row>
    <row r="2770" spans="4:7">
      <c r="D2770" s="46"/>
      <c r="E2770" s="46"/>
      <c r="F2770" s="46"/>
      <c r="G2770" s="46"/>
    </row>
    <row r="2771" spans="4:7">
      <c r="D2771" s="46"/>
      <c r="E2771" s="46"/>
      <c r="F2771" s="46"/>
      <c r="G2771" s="46"/>
    </row>
    <row r="2772" spans="4:7">
      <c r="D2772" s="46"/>
      <c r="E2772" s="46"/>
      <c r="F2772" s="46"/>
      <c r="G2772" s="46"/>
    </row>
    <row r="2773" spans="4:7">
      <c r="D2773" s="46"/>
      <c r="E2773" s="46"/>
      <c r="F2773" s="46"/>
      <c r="G2773" s="46"/>
    </row>
    <row r="2774" spans="4:7">
      <c r="D2774" s="46"/>
      <c r="E2774" s="46"/>
      <c r="F2774" s="46"/>
      <c r="G2774" s="46"/>
    </row>
    <row r="2775" spans="4:7">
      <c r="D2775" s="46"/>
      <c r="E2775" s="46"/>
      <c r="F2775" s="46"/>
      <c r="G2775" s="46"/>
    </row>
    <row r="2776" spans="4:7">
      <c r="D2776" s="46"/>
      <c r="E2776" s="46"/>
      <c r="F2776" s="46"/>
      <c r="G2776" s="46"/>
    </row>
    <row r="2777" spans="4:7">
      <c r="D2777" s="46"/>
      <c r="E2777" s="46"/>
      <c r="F2777" s="46"/>
      <c r="G2777" s="46"/>
    </row>
    <row r="2778" spans="4:7">
      <c r="D2778" s="46"/>
      <c r="E2778" s="46"/>
      <c r="F2778" s="46"/>
      <c r="G2778" s="46"/>
    </row>
    <row r="2779" spans="4:7">
      <c r="D2779" s="46"/>
      <c r="E2779" s="46"/>
      <c r="F2779" s="46"/>
      <c r="G2779" s="46"/>
    </row>
    <row r="2780" spans="4:7">
      <c r="D2780" s="46"/>
      <c r="E2780" s="46"/>
      <c r="F2780" s="46"/>
      <c r="G2780" s="46"/>
    </row>
    <row r="2781" spans="4:7">
      <c r="D2781" s="46"/>
      <c r="E2781" s="46"/>
      <c r="F2781" s="46"/>
      <c r="G2781" s="46"/>
    </row>
    <row r="2782" spans="4:7">
      <c r="D2782" s="46"/>
      <c r="E2782" s="46"/>
      <c r="F2782" s="46"/>
      <c r="G2782" s="46"/>
    </row>
    <row r="2783" spans="4:7">
      <c r="D2783" s="46"/>
      <c r="E2783" s="46"/>
      <c r="F2783" s="46"/>
      <c r="G2783" s="46"/>
    </row>
    <row r="2784" spans="4:7">
      <c r="D2784" s="46"/>
      <c r="E2784" s="46"/>
      <c r="F2784" s="46"/>
      <c r="G2784" s="46"/>
    </row>
    <row r="2785" spans="4:7">
      <c r="D2785" s="46"/>
      <c r="E2785" s="46"/>
      <c r="F2785" s="46"/>
      <c r="G2785" s="46"/>
    </row>
    <row r="2786" spans="4:7">
      <c r="D2786" s="46"/>
      <c r="E2786" s="46"/>
      <c r="F2786" s="46"/>
      <c r="G2786" s="46"/>
    </row>
    <row r="2787" spans="4:7">
      <c r="D2787" s="46"/>
      <c r="E2787" s="46"/>
      <c r="F2787" s="46"/>
      <c r="G2787" s="46"/>
    </row>
    <row r="2788" spans="4:7">
      <c r="D2788" s="46"/>
      <c r="E2788" s="46"/>
      <c r="F2788" s="46"/>
      <c r="G2788" s="46"/>
    </row>
    <row r="2789" spans="4:7">
      <c r="D2789" s="46"/>
      <c r="E2789" s="46"/>
      <c r="F2789" s="46"/>
      <c r="G2789" s="46"/>
    </row>
    <row r="2790" spans="4:7">
      <c r="D2790" s="46"/>
      <c r="E2790" s="46"/>
      <c r="F2790" s="46"/>
      <c r="G2790" s="46"/>
    </row>
    <row r="2791" spans="4:7">
      <c r="D2791" s="46"/>
      <c r="E2791" s="46"/>
      <c r="F2791" s="46"/>
      <c r="G2791" s="46"/>
    </row>
    <row r="2792" spans="4:7">
      <c r="D2792" s="46"/>
      <c r="E2792" s="46"/>
      <c r="F2792" s="46"/>
      <c r="G2792" s="46"/>
    </row>
    <row r="2793" spans="4:7">
      <c r="D2793" s="46"/>
      <c r="E2793" s="46"/>
      <c r="F2793" s="46"/>
      <c r="G2793" s="46"/>
    </row>
    <row r="2794" spans="4:7">
      <c r="D2794" s="46"/>
      <c r="E2794" s="46"/>
      <c r="F2794" s="46"/>
      <c r="G2794" s="46"/>
    </row>
    <row r="2795" spans="4:7">
      <c r="D2795" s="46"/>
      <c r="E2795" s="46"/>
      <c r="F2795" s="46"/>
      <c r="G2795" s="46"/>
    </row>
    <row r="2796" spans="4:7">
      <c r="D2796" s="46"/>
      <c r="E2796" s="46"/>
      <c r="F2796" s="46"/>
      <c r="G2796" s="46"/>
    </row>
    <row r="2797" spans="4:7">
      <c r="D2797" s="46"/>
      <c r="E2797" s="46"/>
      <c r="F2797" s="46"/>
      <c r="G2797" s="46"/>
    </row>
    <row r="2798" spans="4:7">
      <c r="D2798" s="46"/>
      <c r="E2798" s="46"/>
      <c r="F2798" s="46"/>
      <c r="G2798" s="46"/>
    </row>
    <row r="2799" spans="4:7">
      <c r="D2799" s="46"/>
      <c r="E2799" s="46"/>
      <c r="F2799" s="46"/>
      <c r="G2799" s="46"/>
    </row>
    <row r="2800" spans="4:7">
      <c r="D2800" s="46"/>
      <c r="E2800" s="46"/>
      <c r="F2800" s="46"/>
      <c r="G2800" s="46"/>
    </row>
    <row r="2801" spans="4:7">
      <c r="D2801" s="46"/>
      <c r="E2801" s="46"/>
      <c r="F2801" s="46"/>
      <c r="G2801" s="46"/>
    </row>
    <row r="2802" spans="4:7">
      <c r="D2802" s="46"/>
      <c r="E2802" s="46"/>
      <c r="F2802" s="46"/>
      <c r="G2802" s="46"/>
    </row>
    <row r="2803" spans="4:7">
      <c r="D2803" s="46"/>
      <c r="E2803" s="46"/>
      <c r="F2803" s="46"/>
      <c r="G2803" s="46"/>
    </row>
    <row r="2804" spans="4:7">
      <c r="D2804" s="46"/>
      <c r="E2804" s="46"/>
      <c r="F2804" s="46"/>
      <c r="G2804" s="46"/>
    </row>
    <row r="2805" spans="4:7">
      <c r="D2805" s="46"/>
      <c r="E2805" s="46"/>
      <c r="F2805" s="46"/>
      <c r="G2805" s="46"/>
    </row>
    <row r="2806" spans="4:7">
      <c r="D2806" s="46"/>
      <c r="E2806" s="46"/>
      <c r="F2806" s="46"/>
      <c r="G2806" s="46"/>
    </row>
    <row r="2807" spans="4:7">
      <c r="D2807" s="46"/>
      <c r="E2807" s="46"/>
      <c r="F2807" s="46"/>
      <c r="G2807" s="46"/>
    </row>
    <row r="2808" spans="4:7">
      <c r="D2808" s="46"/>
      <c r="E2808" s="46"/>
      <c r="F2808" s="46"/>
      <c r="G2808" s="46"/>
    </row>
    <row r="2809" spans="4:7">
      <c r="D2809" s="46"/>
      <c r="E2809" s="46"/>
      <c r="F2809" s="46"/>
      <c r="G2809" s="46"/>
    </row>
    <row r="2810" spans="4:7">
      <c r="D2810" s="46"/>
      <c r="E2810" s="46"/>
      <c r="F2810" s="46"/>
      <c r="G2810" s="46"/>
    </row>
    <row r="2811" spans="4:7">
      <c r="D2811" s="46"/>
      <c r="E2811" s="46"/>
      <c r="F2811" s="46"/>
      <c r="G2811" s="46"/>
    </row>
    <row r="2812" spans="4:7">
      <c r="D2812" s="46"/>
      <c r="E2812" s="46"/>
      <c r="F2812" s="46"/>
      <c r="G2812" s="46"/>
    </row>
    <row r="2813" spans="4:7">
      <c r="D2813" s="46"/>
      <c r="E2813" s="46"/>
      <c r="F2813" s="46"/>
      <c r="G2813" s="46"/>
    </row>
    <row r="2814" spans="4:7">
      <c r="D2814" s="46"/>
      <c r="E2814" s="46"/>
      <c r="F2814" s="46"/>
      <c r="G2814" s="46"/>
    </row>
    <row r="2815" spans="4:7">
      <c r="D2815" s="46"/>
      <c r="E2815" s="46"/>
      <c r="F2815" s="46"/>
      <c r="G2815" s="46"/>
    </row>
    <row r="2816" spans="4:7">
      <c r="D2816" s="46"/>
      <c r="E2816" s="46"/>
      <c r="F2816" s="46"/>
      <c r="G2816" s="46"/>
    </row>
    <row r="2817" spans="4:7">
      <c r="D2817" s="46"/>
      <c r="E2817" s="46"/>
      <c r="F2817" s="46"/>
      <c r="G2817" s="46"/>
    </row>
    <row r="2818" spans="4:7">
      <c r="D2818" s="46"/>
      <c r="E2818" s="46"/>
      <c r="F2818" s="46"/>
      <c r="G2818" s="46"/>
    </row>
    <row r="2819" spans="4:7">
      <c r="D2819" s="46"/>
      <c r="E2819" s="46"/>
      <c r="F2819" s="46"/>
      <c r="G2819" s="46"/>
    </row>
    <row r="2820" spans="4:7">
      <c r="D2820" s="46"/>
      <c r="E2820" s="46"/>
      <c r="F2820" s="46"/>
      <c r="G2820" s="46"/>
    </row>
    <row r="2821" spans="4:7">
      <c r="D2821" s="46"/>
      <c r="E2821" s="46"/>
      <c r="F2821" s="46"/>
      <c r="G2821" s="46"/>
    </row>
    <row r="2822" spans="4:7">
      <c r="D2822" s="46"/>
      <c r="E2822" s="46"/>
      <c r="F2822" s="46"/>
      <c r="G2822" s="46"/>
    </row>
    <row r="2823" spans="4:7">
      <c r="D2823" s="46"/>
      <c r="E2823" s="46"/>
      <c r="F2823" s="46"/>
      <c r="G2823" s="46"/>
    </row>
    <row r="2824" spans="4:7">
      <c r="D2824" s="46"/>
      <c r="E2824" s="46"/>
      <c r="F2824" s="46"/>
      <c r="G2824" s="46"/>
    </row>
    <row r="2825" spans="4:7">
      <c r="D2825" s="46"/>
      <c r="E2825" s="46"/>
      <c r="F2825" s="46"/>
      <c r="G2825" s="46"/>
    </row>
    <row r="2826" spans="4:7">
      <c r="D2826" s="46"/>
      <c r="E2826" s="46"/>
      <c r="F2826" s="46"/>
      <c r="G2826" s="46"/>
    </row>
    <row r="2827" spans="4:7">
      <c r="D2827" s="46"/>
      <c r="E2827" s="46"/>
      <c r="F2827" s="46"/>
      <c r="G2827" s="46"/>
    </row>
    <row r="2828" spans="4:7">
      <c r="D2828" s="46"/>
      <c r="E2828" s="46"/>
      <c r="F2828" s="46"/>
      <c r="G2828" s="46"/>
    </row>
    <row r="2829" spans="4:7">
      <c r="D2829" s="46"/>
      <c r="E2829" s="46"/>
      <c r="F2829" s="46"/>
      <c r="G2829" s="46"/>
    </row>
    <row r="2830" spans="4:7">
      <c r="D2830" s="46"/>
      <c r="E2830" s="46"/>
      <c r="F2830" s="46"/>
      <c r="G2830" s="46"/>
    </row>
    <row r="2831" spans="4:7">
      <c r="D2831" s="46"/>
      <c r="E2831" s="46"/>
      <c r="F2831" s="46"/>
      <c r="G2831" s="46"/>
    </row>
    <row r="2832" spans="4:7">
      <c r="D2832" s="46"/>
      <c r="E2832" s="46"/>
      <c r="F2832" s="46"/>
      <c r="G2832" s="46"/>
    </row>
    <row r="2833" spans="4:7">
      <c r="D2833" s="46"/>
      <c r="E2833" s="46"/>
      <c r="F2833" s="46"/>
      <c r="G2833" s="46"/>
    </row>
    <row r="2834" spans="4:7">
      <c r="D2834" s="46"/>
      <c r="E2834" s="46"/>
      <c r="F2834" s="46"/>
      <c r="G2834" s="46"/>
    </row>
    <row r="2835" spans="4:7">
      <c r="D2835" s="46"/>
      <c r="E2835" s="46"/>
      <c r="F2835" s="46"/>
      <c r="G2835" s="46"/>
    </row>
    <row r="2836" spans="4:7">
      <c r="D2836" s="46"/>
      <c r="E2836" s="46"/>
      <c r="F2836" s="46"/>
      <c r="G2836" s="46"/>
    </row>
    <row r="2837" spans="4:7">
      <c r="D2837" s="46"/>
      <c r="E2837" s="46"/>
      <c r="F2837" s="46"/>
      <c r="G2837" s="46"/>
    </row>
    <row r="2838" spans="4:7">
      <c r="D2838" s="46"/>
      <c r="E2838" s="46"/>
      <c r="F2838" s="46"/>
      <c r="G2838" s="46"/>
    </row>
    <row r="2839" spans="4:7">
      <c r="D2839" s="46"/>
      <c r="E2839" s="46"/>
      <c r="F2839" s="46"/>
      <c r="G2839" s="46"/>
    </row>
    <row r="2840" spans="4:7">
      <c r="D2840" s="46"/>
      <c r="E2840" s="46"/>
      <c r="F2840" s="46"/>
      <c r="G2840" s="46"/>
    </row>
    <row r="2841" spans="4:7">
      <c r="D2841" s="46"/>
      <c r="E2841" s="46"/>
      <c r="F2841" s="46"/>
      <c r="G2841" s="46"/>
    </row>
    <row r="2842" spans="4:7">
      <c r="D2842" s="46"/>
      <c r="E2842" s="46"/>
      <c r="F2842" s="46"/>
      <c r="G2842" s="46"/>
    </row>
    <row r="2843" spans="4:7">
      <c r="D2843" s="46"/>
      <c r="E2843" s="46"/>
      <c r="F2843" s="46"/>
      <c r="G2843" s="46"/>
    </row>
    <row r="2844" spans="4:7">
      <c r="D2844" s="46"/>
      <c r="E2844" s="46"/>
      <c r="F2844" s="46"/>
      <c r="G2844" s="46"/>
    </row>
    <row r="2845" spans="4:7">
      <c r="D2845" s="46"/>
      <c r="E2845" s="46"/>
      <c r="F2845" s="46"/>
      <c r="G2845" s="46"/>
    </row>
    <row r="2846" spans="4:7">
      <c r="D2846" s="46"/>
      <c r="E2846" s="46"/>
      <c r="F2846" s="46"/>
      <c r="G2846" s="46"/>
    </row>
    <row r="2847" spans="4:7">
      <c r="D2847" s="46"/>
      <c r="E2847" s="46"/>
      <c r="F2847" s="46"/>
      <c r="G2847" s="46"/>
    </row>
    <row r="2848" spans="4:7">
      <c r="D2848" s="46"/>
      <c r="E2848" s="46"/>
      <c r="F2848" s="46"/>
      <c r="G2848" s="46"/>
    </row>
    <row r="2849" spans="4:7">
      <c r="D2849" s="46"/>
      <c r="E2849" s="46"/>
      <c r="F2849" s="46"/>
      <c r="G2849" s="46"/>
    </row>
    <row r="2850" spans="4:7">
      <c r="D2850" s="46"/>
      <c r="E2850" s="46"/>
      <c r="F2850" s="46"/>
      <c r="G2850" s="46"/>
    </row>
    <row r="2851" spans="4:7">
      <c r="D2851" s="46"/>
      <c r="E2851" s="46"/>
      <c r="F2851" s="46"/>
      <c r="G2851" s="46"/>
    </row>
    <row r="2852" spans="4:7">
      <c r="D2852" s="46"/>
      <c r="E2852" s="46"/>
      <c r="F2852" s="46"/>
      <c r="G2852" s="46"/>
    </row>
    <row r="2853" spans="4:7">
      <c r="D2853" s="46"/>
      <c r="E2853" s="46"/>
      <c r="F2853" s="46"/>
      <c r="G2853" s="46"/>
    </row>
    <row r="2854" spans="4:7">
      <c r="D2854" s="46"/>
      <c r="E2854" s="46"/>
      <c r="F2854" s="46"/>
      <c r="G2854" s="46"/>
    </row>
    <row r="2855" spans="4:7">
      <c r="D2855" s="46"/>
      <c r="E2855" s="46"/>
      <c r="F2855" s="46"/>
      <c r="G2855" s="46"/>
    </row>
    <row r="2856" spans="4:7">
      <c r="D2856" s="46"/>
      <c r="E2856" s="46"/>
      <c r="F2856" s="46"/>
      <c r="G2856" s="46"/>
    </row>
    <row r="2857" spans="4:7">
      <c r="D2857" s="46"/>
      <c r="E2857" s="46"/>
      <c r="F2857" s="46"/>
      <c r="G2857" s="46"/>
    </row>
    <row r="2858" spans="4:7">
      <c r="D2858" s="46"/>
      <c r="E2858" s="46"/>
      <c r="F2858" s="46"/>
      <c r="G2858" s="46"/>
    </row>
    <row r="2859" spans="4:7">
      <c r="D2859" s="46"/>
      <c r="E2859" s="46"/>
      <c r="F2859" s="46"/>
      <c r="G2859" s="46"/>
    </row>
    <row r="2860" spans="4:7">
      <c r="D2860" s="46"/>
      <c r="E2860" s="46"/>
      <c r="F2860" s="46"/>
      <c r="G2860" s="46"/>
    </row>
    <row r="2861" spans="4:7">
      <c r="D2861" s="46"/>
      <c r="E2861" s="46"/>
      <c r="F2861" s="46"/>
      <c r="G2861" s="46"/>
    </row>
    <row r="2862" spans="4:7">
      <c r="D2862" s="46"/>
      <c r="E2862" s="46"/>
      <c r="F2862" s="46"/>
      <c r="G2862" s="46"/>
    </row>
    <row r="2863" spans="4:7">
      <c r="D2863" s="46"/>
      <c r="E2863" s="46"/>
      <c r="F2863" s="46"/>
      <c r="G2863" s="46"/>
    </row>
    <row r="2864" spans="4:7">
      <c r="D2864" s="46"/>
      <c r="E2864" s="46"/>
      <c r="F2864" s="46"/>
      <c r="G2864" s="46"/>
    </row>
    <row r="2865" spans="4:7">
      <c r="D2865" s="46"/>
      <c r="E2865" s="46"/>
      <c r="F2865" s="46"/>
      <c r="G2865" s="46"/>
    </row>
    <row r="2866" spans="4:7">
      <c r="D2866" s="46"/>
      <c r="E2866" s="46"/>
      <c r="F2866" s="46"/>
      <c r="G2866" s="46"/>
    </row>
    <row r="2867" spans="4:7">
      <c r="D2867" s="46"/>
      <c r="E2867" s="46"/>
      <c r="F2867" s="46"/>
      <c r="G2867" s="46"/>
    </row>
    <row r="2868" spans="4:7">
      <c r="D2868" s="46"/>
      <c r="E2868" s="46"/>
      <c r="F2868" s="46"/>
      <c r="G2868" s="46"/>
    </row>
    <row r="2869" spans="4:7">
      <c r="D2869" s="46"/>
      <c r="E2869" s="46"/>
      <c r="F2869" s="46"/>
      <c r="G2869" s="46"/>
    </row>
    <row r="2870" spans="4:7">
      <c r="D2870" s="46"/>
      <c r="E2870" s="46"/>
      <c r="F2870" s="46"/>
      <c r="G2870" s="46"/>
    </row>
    <row r="2871" spans="4:7">
      <c r="D2871" s="46"/>
      <c r="E2871" s="46"/>
      <c r="F2871" s="46"/>
      <c r="G2871" s="46"/>
    </row>
    <row r="2872" spans="4:7">
      <c r="D2872" s="46"/>
      <c r="E2872" s="46"/>
      <c r="F2872" s="46"/>
      <c r="G2872" s="46"/>
    </row>
    <row r="2873" spans="4:7">
      <c r="D2873" s="46"/>
      <c r="E2873" s="46"/>
      <c r="F2873" s="46"/>
      <c r="G2873" s="46"/>
    </row>
    <row r="2874" spans="4:7">
      <c r="D2874" s="46"/>
      <c r="E2874" s="46"/>
      <c r="F2874" s="46"/>
      <c r="G2874" s="46"/>
    </row>
    <row r="2875" spans="4:7">
      <c r="D2875" s="46"/>
      <c r="E2875" s="46"/>
      <c r="F2875" s="46"/>
      <c r="G2875" s="46"/>
    </row>
    <row r="2876" spans="4:7">
      <c r="D2876" s="46"/>
      <c r="E2876" s="46"/>
      <c r="F2876" s="46"/>
      <c r="G2876" s="46"/>
    </row>
    <row r="2877" spans="4:7">
      <c r="D2877" s="46"/>
      <c r="E2877" s="46"/>
      <c r="F2877" s="46"/>
      <c r="G2877" s="46"/>
    </row>
    <row r="2878" spans="4:7">
      <c r="D2878" s="46"/>
      <c r="E2878" s="46"/>
      <c r="F2878" s="46"/>
      <c r="G2878" s="46"/>
    </row>
    <row r="2879" spans="4:7">
      <c r="D2879" s="46"/>
      <c r="E2879" s="46"/>
      <c r="F2879" s="46"/>
      <c r="G2879" s="46"/>
    </row>
    <row r="2880" spans="4:7">
      <c r="D2880" s="46"/>
      <c r="E2880" s="46"/>
      <c r="F2880" s="46"/>
      <c r="G2880" s="46"/>
    </row>
    <row r="2881" spans="4:7">
      <c r="D2881" s="46"/>
      <c r="E2881" s="46"/>
      <c r="F2881" s="46"/>
      <c r="G2881" s="46"/>
    </row>
    <row r="2882" spans="4:7">
      <c r="D2882" s="46"/>
      <c r="E2882" s="46"/>
      <c r="F2882" s="46"/>
      <c r="G2882" s="46"/>
    </row>
    <row r="2883" spans="4:7">
      <c r="D2883" s="46"/>
      <c r="E2883" s="46"/>
      <c r="F2883" s="46"/>
      <c r="G2883" s="46"/>
    </row>
    <row r="2884" spans="4:7">
      <c r="D2884" s="46"/>
      <c r="E2884" s="46"/>
      <c r="F2884" s="46"/>
      <c r="G2884" s="46"/>
    </row>
    <row r="2885" spans="4:7">
      <c r="D2885" s="46"/>
      <c r="E2885" s="46"/>
      <c r="F2885" s="46"/>
      <c r="G2885" s="46"/>
    </row>
    <row r="2886" spans="4:7">
      <c r="D2886" s="46"/>
      <c r="E2886" s="46"/>
      <c r="F2886" s="46"/>
      <c r="G2886" s="46"/>
    </row>
    <row r="2887" spans="4:7">
      <c r="D2887" s="46"/>
      <c r="E2887" s="46"/>
      <c r="F2887" s="46"/>
      <c r="G2887" s="46"/>
    </row>
    <row r="2888" spans="4:7">
      <c r="D2888" s="46"/>
      <c r="E2888" s="46"/>
      <c r="F2888" s="46"/>
      <c r="G2888" s="46"/>
    </row>
    <row r="2889" spans="4:7">
      <c r="D2889" s="46"/>
      <c r="E2889" s="46"/>
      <c r="F2889" s="46"/>
      <c r="G2889" s="46"/>
    </row>
    <row r="2890" spans="4:7">
      <c r="D2890" s="46"/>
      <c r="E2890" s="46"/>
      <c r="F2890" s="46"/>
      <c r="G2890" s="46"/>
    </row>
    <row r="2891" spans="4:7">
      <c r="D2891" s="46"/>
      <c r="E2891" s="46"/>
      <c r="F2891" s="46"/>
      <c r="G2891" s="46"/>
    </row>
    <row r="2892" spans="4:7">
      <c r="D2892" s="46"/>
      <c r="E2892" s="46"/>
      <c r="F2892" s="46"/>
      <c r="G2892" s="46"/>
    </row>
    <row r="2893" spans="4:7">
      <c r="D2893" s="46"/>
      <c r="E2893" s="46"/>
      <c r="F2893" s="46"/>
      <c r="G2893" s="46"/>
    </row>
    <row r="2894" spans="4:7">
      <c r="D2894" s="46"/>
      <c r="E2894" s="46"/>
      <c r="F2894" s="46"/>
      <c r="G2894" s="46"/>
    </row>
    <row r="2895" spans="4:7">
      <c r="D2895" s="46"/>
      <c r="E2895" s="46"/>
      <c r="F2895" s="46"/>
      <c r="G2895" s="46"/>
    </row>
    <row r="2896" spans="4:7">
      <c r="D2896" s="46"/>
      <c r="E2896" s="46"/>
      <c r="F2896" s="46"/>
      <c r="G2896" s="46"/>
    </row>
    <row r="2897" spans="4:7">
      <c r="D2897" s="46"/>
      <c r="E2897" s="46"/>
      <c r="F2897" s="46"/>
      <c r="G2897" s="46"/>
    </row>
    <row r="2898" spans="4:7">
      <c r="D2898" s="46"/>
      <c r="E2898" s="46"/>
      <c r="F2898" s="46"/>
      <c r="G2898" s="46"/>
    </row>
    <row r="2899" spans="4:7">
      <c r="D2899" s="46"/>
      <c r="E2899" s="46"/>
      <c r="F2899" s="46"/>
      <c r="G2899" s="46"/>
    </row>
    <row r="2900" spans="4:7">
      <c r="D2900" s="46"/>
      <c r="E2900" s="46"/>
      <c r="F2900" s="46"/>
      <c r="G2900" s="46"/>
    </row>
    <row r="2901" spans="4:7">
      <c r="D2901" s="46"/>
      <c r="E2901" s="46"/>
      <c r="F2901" s="46"/>
      <c r="G2901" s="46"/>
    </row>
    <row r="2902" spans="4:7">
      <c r="D2902" s="46"/>
      <c r="E2902" s="46"/>
      <c r="F2902" s="46"/>
      <c r="G2902" s="46"/>
    </row>
    <row r="2903" spans="4:7">
      <c r="D2903" s="46"/>
      <c r="E2903" s="46"/>
      <c r="F2903" s="46"/>
      <c r="G2903" s="46"/>
    </row>
    <row r="2904" spans="4:7">
      <c r="D2904" s="46"/>
      <c r="E2904" s="46"/>
      <c r="F2904" s="46"/>
      <c r="G2904" s="46"/>
    </row>
    <row r="2905" spans="4:7">
      <c r="D2905" s="46"/>
      <c r="E2905" s="46"/>
      <c r="F2905" s="46"/>
      <c r="G2905" s="46"/>
    </row>
    <row r="2906" spans="4:7">
      <c r="D2906" s="46"/>
      <c r="E2906" s="46"/>
      <c r="F2906" s="46"/>
      <c r="G2906" s="46"/>
    </row>
    <row r="2907" spans="4:7">
      <c r="D2907" s="46"/>
      <c r="E2907" s="46"/>
      <c r="F2907" s="46"/>
      <c r="G2907" s="46"/>
    </row>
    <row r="2908" spans="4:7">
      <c r="D2908" s="46"/>
      <c r="E2908" s="46"/>
      <c r="F2908" s="46"/>
      <c r="G2908" s="46"/>
    </row>
    <row r="2909" spans="4:7">
      <c r="D2909" s="46"/>
      <c r="E2909" s="46"/>
      <c r="F2909" s="46"/>
      <c r="G2909" s="46"/>
    </row>
    <row r="2910" spans="4:7">
      <c r="D2910" s="46"/>
      <c r="E2910" s="46"/>
      <c r="F2910" s="46"/>
      <c r="G2910" s="46"/>
    </row>
    <row r="2911" spans="4:7">
      <c r="D2911" s="46"/>
      <c r="E2911" s="46"/>
      <c r="F2911" s="46"/>
      <c r="G2911" s="46"/>
    </row>
    <row r="2912" spans="4:7">
      <c r="D2912" s="46"/>
      <c r="E2912" s="46"/>
      <c r="F2912" s="46"/>
      <c r="G2912" s="46"/>
    </row>
    <row r="2913" spans="4:7">
      <c r="D2913" s="46"/>
      <c r="E2913" s="46"/>
      <c r="F2913" s="46"/>
      <c r="G2913" s="46"/>
    </row>
    <row r="2914" spans="4:7">
      <c r="D2914" s="46"/>
      <c r="E2914" s="46"/>
      <c r="F2914" s="46"/>
      <c r="G2914" s="46"/>
    </row>
    <row r="2915" spans="4:7">
      <c r="D2915" s="46"/>
      <c r="E2915" s="46"/>
      <c r="F2915" s="46"/>
      <c r="G2915" s="46"/>
    </row>
    <row r="2916" spans="4:7">
      <c r="D2916" s="46"/>
      <c r="E2916" s="46"/>
      <c r="F2916" s="46"/>
      <c r="G2916" s="46"/>
    </row>
    <row r="2917" spans="4:7">
      <c r="D2917" s="46"/>
      <c r="E2917" s="46"/>
      <c r="F2917" s="46"/>
      <c r="G2917" s="46"/>
    </row>
    <row r="2918" spans="4:7">
      <c r="D2918" s="46"/>
      <c r="E2918" s="46"/>
      <c r="F2918" s="46"/>
      <c r="G2918" s="46"/>
    </row>
    <row r="2919" spans="4:7">
      <c r="D2919" s="46"/>
      <c r="E2919" s="46"/>
      <c r="F2919" s="46"/>
      <c r="G2919" s="46"/>
    </row>
    <row r="2920" spans="4:7">
      <c r="D2920" s="46"/>
      <c r="E2920" s="46"/>
      <c r="F2920" s="46"/>
      <c r="G2920" s="46"/>
    </row>
    <row r="2921" spans="4:7">
      <c r="D2921" s="46"/>
      <c r="E2921" s="46"/>
      <c r="F2921" s="46"/>
      <c r="G2921" s="46"/>
    </row>
    <row r="2922" spans="4:7">
      <c r="D2922" s="46"/>
      <c r="E2922" s="46"/>
      <c r="F2922" s="46"/>
      <c r="G2922" s="46"/>
    </row>
    <row r="2923" spans="4:7">
      <c r="D2923" s="46"/>
      <c r="E2923" s="46"/>
      <c r="F2923" s="46"/>
      <c r="G2923" s="46"/>
    </row>
    <row r="2924" spans="4:7">
      <c r="D2924" s="46"/>
      <c r="E2924" s="46"/>
      <c r="F2924" s="46"/>
      <c r="G2924" s="46"/>
    </row>
    <row r="2925" spans="4:7">
      <c r="D2925" s="46"/>
      <c r="E2925" s="46"/>
      <c r="F2925" s="46"/>
      <c r="G2925" s="46"/>
    </row>
    <row r="2926" spans="4:7">
      <c r="D2926" s="46"/>
      <c r="E2926" s="46"/>
      <c r="F2926" s="46"/>
      <c r="G2926" s="46"/>
    </row>
    <row r="2927" spans="4:7">
      <c r="D2927" s="46"/>
      <c r="E2927" s="46"/>
      <c r="F2927" s="46"/>
      <c r="G2927" s="46"/>
    </row>
    <row r="2928" spans="4:7">
      <c r="D2928" s="46"/>
      <c r="E2928" s="46"/>
      <c r="F2928" s="46"/>
      <c r="G2928" s="46"/>
    </row>
    <row r="2929" spans="4:7">
      <c r="D2929" s="46"/>
      <c r="E2929" s="46"/>
      <c r="F2929" s="46"/>
      <c r="G2929" s="46"/>
    </row>
    <row r="2930" spans="4:7">
      <c r="D2930" s="46"/>
      <c r="E2930" s="46"/>
      <c r="F2930" s="46"/>
      <c r="G2930" s="46"/>
    </row>
    <row r="2931" spans="4:7">
      <c r="D2931" s="46"/>
      <c r="E2931" s="46"/>
      <c r="F2931" s="46"/>
      <c r="G2931" s="46"/>
    </row>
    <row r="2932" spans="4:7">
      <c r="D2932" s="46"/>
      <c r="E2932" s="46"/>
      <c r="F2932" s="46"/>
      <c r="G2932" s="46"/>
    </row>
    <row r="2933" spans="4:7">
      <c r="D2933" s="46"/>
      <c r="E2933" s="46"/>
      <c r="F2933" s="46"/>
      <c r="G2933" s="46"/>
    </row>
    <row r="2934" spans="4:7">
      <c r="D2934" s="46"/>
      <c r="E2934" s="46"/>
      <c r="F2934" s="46"/>
      <c r="G2934" s="46"/>
    </row>
    <row r="2935" spans="4:7">
      <c r="D2935" s="46"/>
      <c r="E2935" s="46"/>
      <c r="F2935" s="46"/>
      <c r="G2935" s="46"/>
    </row>
    <row r="2936" spans="4:7">
      <c r="D2936" s="46"/>
      <c r="E2936" s="46"/>
      <c r="F2936" s="46"/>
      <c r="G2936" s="46"/>
    </row>
    <row r="2937" spans="4:7">
      <c r="D2937" s="46"/>
      <c r="E2937" s="46"/>
      <c r="F2937" s="46"/>
      <c r="G2937" s="46"/>
    </row>
    <row r="2938" spans="4:7">
      <c r="D2938" s="46"/>
      <c r="E2938" s="46"/>
      <c r="F2938" s="46"/>
      <c r="G2938" s="46"/>
    </row>
    <row r="2939" spans="4:7">
      <c r="D2939" s="46"/>
      <c r="E2939" s="46"/>
      <c r="F2939" s="46"/>
      <c r="G2939" s="46"/>
    </row>
    <row r="2940" spans="4:7">
      <c r="D2940" s="46"/>
      <c r="E2940" s="46"/>
      <c r="F2940" s="46"/>
      <c r="G2940" s="46"/>
    </row>
    <row r="2941" spans="4:7">
      <c r="D2941" s="46"/>
      <c r="E2941" s="46"/>
      <c r="F2941" s="46"/>
      <c r="G2941" s="46"/>
    </row>
    <row r="2942" spans="4:7">
      <c r="D2942" s="46"/>
      <c r="E2942" s="46"/>
      <c r="F2942" s="46"/>
      <c r="G2942" s="46"/>
    </row>
    <row r="2943" spans="4:7">
      <c r="D2943" s="46"/>
      <c r="E2943" s="46"/>
      <c r="F2943" s="46"/>
      <c r="G2943" s="46"/>
    </row>
    <row r="2944" spans="4:7">
      <c r="D2944" s="46"/>
      <c r="E2944" s="46"/>
      <c r="F2944" s="46"/>
      <c r="G2944" s="46"/>
    </row>
    <row r="2945" spans="4:7">
      <c r="D2945" s="46"/>
      <c r="E2945" s="46"/>
      <c r="F2945" s="46"/>
      <c r="G2945" s="46"/>
    </row>
    <row r="2946" spans="4:7">
      <c r="D2946" s="46"/>
      <c r="E2946" s="46"/>
      <c r="F2946" s="46"/>
      <c r="G2946" s="46"/>
    </row>
    <row r="2947" spans="4:7">
      <c r="D2947" s="46"/>
      <c r="E2947" s="46"/>
      <c r="F2947" s="46"/>
      <c r="G2947" s="46"/>
    </row>
    <row r="2948" spans="4:7">
      <c r="D2948" s="46"/>
      <c r="E2948" s="46"/>
      <c r="F2948" s="46"/>
      <c r="G2948" s="46"/>
    </row>
    <row r="2949" spans="4:7">
      <c r="D2949" s="46"/>
      <c r="E2949" s="46"/>
      <c r="F2949" s="46"/>
      <c r="G2949" s="46"/>
    </row>
    <row r="2950" spans="4:7">
      <c r="D2950" s="46"/>
      <c r="E2950" s="46"/>
      <c r="F2950" s="46"/>
      <c r="G2950" s="46"/>
    </row>
    <row r="2951" spans="4:7">
      <c r="D2951" s="46"/>
      <c r="E2951" s="46"/>
      <c r="F2951" s="46"/>
      <c r="G2951" s="46"/>
    </row>
    <row r="2952" spans="4:7">
      <c r="D2952" s="46"/>
      <c r="E2952" s="46"/>
      <c r="F2952" s="46"/>
      <c r="G2952" s="46"/>
    </row>
    <row r="2953" spans="4:7">
      <c r="D2953" s="46"/>
      <c r="E2953" s="46"/>
      <c r="F2953" s="46"/>
      <c r="G2953" s="46"/>
    </row>
    <row r="2954" spans="4:7">
      <c r="D2954" s="46"/>
      <c r="E2954" s="46"/>
      <c r="F2954" s="46"/>
      <c r="G2954" s="46"/>
    </row>
    <row r="2955" spans="4:7">
      <c r="D2955" s="46"/>
      <c r="E2955" s="46"/>
      <c r="F2955" s="46"/>
      <c r="G2955" s="46"/>
    </row>
    <row r="2956" spans="4:7">
      <c r="D2956" s="46"/>
      <c r="E2956" s="46"/>
      <c r="F2956" s="46"/>
      <c r="G2956" s="46"/>
    </row>
    <row r="2957" spans="4:7">
      <c r="D2957" s="46"/>
      <c r="E2957" s="46"/>
      <c r="F2957" s="46"/>
      <c r="G2957" s="46"/>
    </row>
    <row r="2958" spans="4:7">
      <c r="D2958" s="46"/>
      <c r="E2958" s="46"/>
      <c r="F2958" s="46"/>
      <c r="G2958" s="46"/>
    </row>
    <row r="2959" spans="4:7">
      <c r="D2959" s="46"/>
      <c r="E2959" s="46"/>
      <c r="F2959" s="46"/>
      <c r="G2959" s="46"/>
    </row>
    <row r="2960" spans="4:7">
      <c r="D2960" s="46"/>
      <c r="E2960" s="46"/>
      <c r="F2960" s="46"/>
      <c r="G2960" s="46"/>
    </row>
    <row r="2961" spans="4:7">
      <c r="D2961" s="46"/>
      <c r="E2961" s="46"/>
      <c r="F2961" s="46"/>
      <c r="G2961" s="46"/>
    </row>
    <row r="2962" spans="4:7">
      <c r="D2962" s="46"/>
      <c r="E2962" s="46"/>
      <c r="F2962" s="46"/>
      <c r="G2962" s="46"/>
    </row>
    <row r="2963" spans="4:7">
      <c r="D2963" s="46"/>
      <c r="E2963" s="46"/>
      <c r="F2963" s="46"/>
      <c r="G2963" s="46"/>
    </row>
    <row r="2964" spans="4:7">
      <c r="D2964" s="46"/>
      <c r="E2964" s="46"/>
      <c r="F2964" s="46"/>
      <c r="G2964" s="46"/>
    </row>
    <row r="2965" spans="4:7">
      <c r="D2965" s="46"/>
      <c r="E2965" s="46"/>
      <c r="F2965" s="46"/>
      <c r="G2965" s="46"/>
    </row>
    <row r="2966" spans="4:7">
      <c r="D2966" s="46"/>
      <c r="E2966" s="46"/>
      <c r="F2966" s="46"/>
      <c r="G2966" s="46"/>
    </row>
    <row r="2967" spans="4:7">
      <c r="D2967" s="46"/>
      <c r="E2967" s="46"/>
      <c r="F2967" s="46"/>
      <c r="G2967" s="46"/>
    </row>
    <row r="2968" spans="4:7">
      <c r="D2968" s="46"/>
      <c r="E2968" s="46"/>
      <c r="F2968" s="46"/>
      <c r="G2968" s="46"/>
    </row>
    <row r="2969" spans="4:7">
      <c r="D2969" s="46"/>
      <c r="E2969" s="46"/>
      <c r="F2969" s="46"/>
      <c r="G2969" s="46"/>
    </row>
    <row r="2970" spans="4:7">
      <c r="D2970" s="46"/>
      <c r="E2970" s="46"/>
      <c r="F2970" s="46"/>
      <c r="G2970" s="46"/>
    </row>
    <row r="2971" spans="4:7">
      <c r="D2971" s="46"/>
      <c r="E2971" s="46"/>
      <c r="F2971" s="46"/>
      <c r="G2971" s="46"/>
    </row>
    <row r="2972" spans="4:7">
      <c r="D2972" s="46"/>
      <c r="E2972" s="46"/>
      <c r="F2972" s="46"/>
      <c r="G2972" s="46"/>
    </row>
    <row r="2973" spans="4:7">
      <c r="D2973" s="46"/>
      <c r="E2973" s="46"/>
      <c r="F2973" s="46"/>
      <c r="G2973" s="46"/>
    </row>
    <row r="2974" spans="4:7">
      <c r="D2974" s="46"/>
      <c r="E2974" s="46"/>
      <c r="F2974" s="46"/>
      <c r="G2974" s="46"/>
    </row>
    <row r="2975" spans="4:7">
      <c r="D2975" s="46"/>
      <c r="E2975" s="46"/>
      <c r="F2975" s="46"/>
      <c r="G2975" s="46"/>
    </row>
    <row r="2976" spans="4:7">
      <c r="D2976" s="46"/>
      <c r="E2976" s="46"/>
      <c r="F2976" s="46"/>
      <c r="G2976" s="46"/>
    </row>
    <row r="2977" spans="4:7">
      <c r="D2977" s="46"/>
      <c r="E2977" s="46"/>
      <c r="F2977" s="46"/>
      <c r="G2977" s="46"/>
    </row>
    <row r="2978" spans="4:7">
      <c r="D2978" s="46"/>
      <c r="E2978" s="46"/>
      <c r="F2978" s="46"/>
      <c r="G2978" s="46"/>
    </row>
    <row r="2979" spans="4:7">
      <c r="D2979" s="46"/>
      <c r="E2979" s="46"/>
      <c r="F2979" s="46"/>
      <c r="G2979" s="46"/>
    </row>
    <row r="2980" spans="4:7">
      <c r="D2980" s="46"/>
      <c r="E2980" s="46"/>
      <c r="F2980" s="46"/>
      <c r="G2980" s="46"/>
    </row>
    <row r="2981" spans="4:7">
      <c r="D2981" s="46"/>
      <c r="E2981" s="46"/>
      <c r="F2981" s="46"/>
      <c r="G2981" s="46"/>
    </row>
    <row r="2982" spans="4:7">
      <c r="D2982" s="46"/>
      <c r="E2982" s="46"/>
      <c r="F2982" s="46"/>
      <c r="G2982" s="46"/>
    </row>
    <row r="2983" spans="4:7">
      <c r="D2983" s="46"/>
      <c r="E2983" s="46"/>
      <c r="F2983" s="46"/>
      <c r="G2983" s="46"/>
    </row>
    <row r="2984" spans="4:7">
      <c r="D2984" s="46"/>
      <c r="E2984" s="46"/>
      <c r="F2984" s="46"/>
      <c r="G2984" s="46"/>
    </row>
    <row r="2985" spans="4:7">
      <c r="D2985" s="46"/>
      <c r="E2985" s="46"/>
      <c r="F2985" s="46"/>
      <c r="G2985" s="46"/>
    </row>
    <row r="2986" spans="4:7">
      <c r="D2986" s="46"/>
      <c r="E2986" s="46"/>
      <c r="F2986" s="46"/>
      <c r="G2986" s="46"/>
    </row>
    <row r="2987" spans="4:7">
      <c r="D2987" s="46"/>
      <c r="E2987" s="46"/>
      <c r="F2987" s="46"/>
      <c r="G2987" s="46"/>
    </row>
    <row r="2988" spans="4:7">
      <c r="D2988" s="46"/>
      <c r="E2988" s="46"/>
      <c r="F2988" s="46"/>
      <c r="G2988" s="46"/>
    </row>
    <row r="2989" spans="4:7">
      <c r="D2989" s="46"/>
      <c r="E2989" s="46"/>
      <c r="F2989" s="46"/>
      <c r="G2989" s="46"/>
    </row>
    <row r="2990" spans="4:7">
      <c r="D2990" s="46"/>
      <c r="E2990" s="46"/>
      <c r="F2990" s="46"/>
      <c r="G2990" s="46"/>
    </row>
    <row r="2991" spans="4:7">
      <c r="D2991" s="46"/>
      <c r="E2991" s="46"/>
      <c r="F2991" s="46"/>
      <c r="G2991" s="46"/>
    </row>
    <row r="2992" spans="4:7">
      <c r="D2992" s="46"/>
      <c r="E2992" s="46"/>
      <c r="F2992" s="46"/>
      <c r="G2992" s="46"/>
    </row>
    <row r="2993" spans="4:7">
      <c r="D2993" s="46"/>
      <c r="E2993" s="46"/>
      <c r="F2993" s="46"/>
      <c r="G2993" s="46"/>
    </row>
    <row r="2994" spans="4:7">
      <c r="D2994" s="46"/>
      <c r="E2994" s="46"/>
      <c r="F2994" s="46"/>
      <c r="G2994" s="46"/>
    </row>
    <row r="2995" spans="4:7">
      <c r="D2995" s="46"/>
      <c r="E2995" s="46"/>
      <c r="F2995" s="46"/>
      <c r="G2995" s="46"/>
    </row>
    <row r="2996" spans="4:7">
      <c r="D2996" s="46"/>
      <c r="E2996" s="46"/>
      <c r="F2996" s="46"/>
      <c r="G2996" s="46"/>
    </row>
    <row r="2997" spans="4:7">
      <c r="D2997" s="46"/>
      <c r="E2997" s="46"/>
      <c r="F2997" s="46"/>
      <c r="G2997" s="46"/>
    </row>
    <row r="2998" spans="4:7">
      <c r="D2998" s="46"/>
      <c r="E2998" s="46"/>
      <c r="F2998" s="46"/>
      <c r="G2998" s="46"/>
    </row>
    <row r="2999" spans="4:7">
      <c r="D2999" s="46"/>
      <c r="E2999" s="46"/>
      <c r="F2999" s="46"/>
      <c r="G2999" s="46"/>
    </row>
    <row r="3000" spans="4:7">
      <c r="D3000" s="46"/>
      <c r="E3000" s="46"/>
      <c r="F3000" s="46"/>
      <c r="G3000" s="46"/>
    </row>
    <row r="3001" spans="4:7">
      <c r="D3001" s="46"/>
      <c r="E3001" s="46"/>
      <c r="F3001" s="46"/>
      <c r="G3001" s="46"/>
    </row>
    <row r="3002" spans="4:7">
      <c r="D3002" s="46"/>
      <c r="E3002" s="46"/>
      <c r="F3002" s="46"/>
      <c r="G3002" s="46"/>
    </row>
    <row r="3003" spans="4:7">
      <c r="D3003" s="46"/>
      <c r="E3003" s="46"/>
      <c r="F3003" s="46"/>
      <c r="G3003" s="46"/>
    </row>
    <row r="3004" spans="4:7">
      <c r="D3004" s="46"/>
      <c r="E3004" s="46"/>
      <c r="F3004" s="46"/>
      <c r="G3004" s="46"/>
    </row>
    <row r="3005" spans="4:7">
      <c r="D3005" s="46"/>
      <c r="E3005" s="46"/>
      <c r="F3005" s="46"/>
      <c r="G3005" s="46"/>
    </row>
    <row r="3006" spans="4:7">
      <c r="D3006" s="46"/>
      <c r="E3006" s="46"/>
      <c r="F3006" s="46"/>
      <c r="G3006" s="46"/>
    </row>
    <row r="3007" spans="4:7">
      <c r="D3007" s="46"/>
      <c r="E3007" s="46"/>
      <c r="F3007" s="46"/>
      <c r="G3007" s="46"/>
    </row>
    <row r="3008" spans="4:7">
      <c r="D3008" s="46"/>
      <c r="E3008" s="46"/>
      <c r="F3008" s="46"/>
      <c r="G3008" s="46"/>
    </row>
    <row r="3009" spans="4:7">
      <c r="D3009" s="46"/>
      <c r="E3009" s="46"/>
      <c r="F3009" s="46"/>
      <c r="G3009" s="46"/>
    </row>
    <row r="3010" spans="4:7">
      <c r="D3010" s="46"/>
      <c r="E3010" s="46"/>
      <c r="F3010" s="46"/>
      <c r="G3010" s="46"/>
    </row>
    <row r="3011" spans="4:7">
      <c r="D3011" s="46"/>
      <c r="E3011" s="46"/>
      <c r="F3011" s="46"/>
      <c r="G3011" s="46"/>
    </row>
    <row r="3012" spans="4:7">
      <c r="D3012" s="46"/>
      <c r="E3012" s="46"/>
      <c r="F3012" s="46"/>
      <c r="G3012" s="46"/>
    </row>
    <row r="3013" spans="4:7">
      <c r="D3013" s="46"/>
      <c r="E3013" s="46"/>
      <c r="F3013" s="46"/>
      <c r="G3013" s="46"/>
    </row>
    <row r="3014" spans="4:7">
      <c r="D3014" s="46"/>
      <c r="E3014" s="46"/>
      <c r="F3014" s="46"/>
      <c r="G3014" s="46"/>
    </row>
    <row r="3015" spans="4:7">
      <c r="D3015" s="46"/>
      <c r="E3015" s="46"/>
      <c r="F3015" s="46"/>
      <c r="G3015" s="46"/>
    </row>
    <row r="3016" spans="4:7">
      <c r="D3016" s="46"/>
      <c r="E3016" s="46"/>
      <c r="F3016" s="46"/>
      <c r="G3016" s="46"/>
    </row>
    <row r="3017" spans="4:7">
      <c r="D3017" s="46"/>
      <c r="E3017" s="46"/>
      <c r="F3017" s="46"/>
      <c r="G3017" s="46"/>
    </row>
    <row r="3018" spans="4:7">
      <c r="D3018" s="46"/>
      <c r="E3018" s="46"/>
      <c r="F3018" s="46"/>
      <c r="G3018" s="46"/>
    </row>
    <row r="3019" spans="4:7">
      <c r="D3019" s="46"/>
      <c r="E3019" s="46"/>
      <c r="F3019" s="46"/>
      <c r="G3019" s="46"/>
    </row>
    <row r="3020" spans="4:7">
      <c r="D3020" s="46"/>
      <c r="E3020" s="46"/>
      <c r="F3020" s="46"/>
      <c r="G3020" s="46"/>
    </row>
    <row r="3021" spans="4:7">
      <c r="D3021" s="46"/>
      <c r="E3021" s="46"/>
      <c r="F3021" s="46"/>
      <c r="G3021" s="46"/>
    </row>
    <row r="3022" spans="4:7">
      <c r="D3022" s="46"/>
      <c r="E3022" s="46"/>
      <c r="F3022" s="46"/>
      <c r="G3022" s="46"/>
    </row>
    <row r="3023" spans="4:7">
      <c r="D3023" s="46"/>
      <c r="E3023" s="46"/>
      <c r="F3023" s="46"/>
      <c r="G3023" s="46"/>
    </row>
    <row r="3024" spans="4:7">
      <c r="D3024" s="46"/>
      <c r="E3024" s="46"/>
      <c r="F3024" s="46"/>
      <c r="G3024" s="46"/>
    </row>
    <row r="3025" spans="4:7">
      <c r="D3025" s="46"/>
      <c r="E3025" s="46"/>
      <c r="F3025" s="46"/>
      <c r="G3025" s="46"/>
    </row>
    <row r="3026" spans="4:7">
      <c r="D3026" s="46"/>
      <c r="E3026" s="46"/>
      <c r="F3026" s="46"/>
      <c r="G3026" s="46"/>
    </row>
    <row r="3027" spans="4:7">
      <c r="D3027" s="46"/>
      <c r="E3027" s="46"/>
      <c r="F3027" s="46"/>
      <c r="G3027" s="46"/>
    </row>
    <row r="3028" spans="4:7">
      <c r="D3028" s="46"/>
      <c r="E3028" s="46"/>
      <c r="F3028" s="46"/>
      <c r="G3028" s="46"/>
    </row>
    <row r="3029" spans="4:7">
      <c r="D3029" s="46"/>
      <c r="E3029" s="46"/>
      <c r="F3029" s="46"/>
      <c r="G3029" s="46"/>
    </row>
    <row r="3030" spans="4:7">
      <c r="D3030" s="46"/>
      <c r="E3030" s="46"/>
      <c r="F3030" s="46"/>
      <c r="G3030" s="46"/>
    </row>
    <row r="3031" spans="4:7">
      <c r="D3031" s="46"/>
      <c r="E3031" s="46"/>
      <c r="F3031" s="46"/>
      <c r="G3031" s="46"/>
    </row>
    <row r="3032" spans="4:7">
      <c r="D3032" s="46"/>
      <c r="E3032" s="46"/>
      <c r="F3032" s="46"/>
      <c r="G3032" s="46"/>
    </row>
    <row r="3033" spans="4:7">
      <c r="D3033" s="46"/>
      <c r="E3033" s="46"/>
      <c r="F3033" s="46"/>
      <c r="G3033" s="46"/>
    </row>
    <row r="3034" spans="4:7">
      <c r="D3034" s="46"/>
      <c r="E3034" s="46"/>
      <c r="F3034" s="46"/>
      <c r="G3034" s="46"/>
    </row>
    <row r="3035" spans="4:7">
      <c r="D3035" s="46"/>
      <c r="E3035" s="46"/>
      <c r="F3035" s="46"/>
      <c r="G3035" s="46"/>
    </row>
    <row r="3036" spans="4:7">
      <c r="D3036" s="46"/>
      <c r="E3036" s="46"/>
      <c r="F3036" s="46"/>
      <c r="G3036" s="46"/>
    </row>
    <row r="3037" spans="4:7">
      <c r="D3037" s="46"/>
      <c r="E3037" s="46"/>
      <c r="F3037" s="46"/>
      <c r="G3037" s="46"/>
    </row>
    <row r="3038" spans="4:7">
      <c r="D3038" s="46"/>
      <c r="E3038" s="46"/>
      <c r="F3038" s="46"/>
      <c r="G3038" s="46"/>
    </row>
    <row r="3039" spans="4:7">
      <c r="D3039" s="46"/>
      <c r="E3039" s="46"/>
      <c r="F3039" s="46"/>
      <c r="G3039" s="46"/>
    </row>
    <row r="3040" spans="4:7">
      <c r="D3040" s="46"/>
      <c r="E3040" s="46"/>
      <c r="F3040" s="46"/>
      <c r="G3040" s="46"/>
    </row>
    <row r="3041" spans="4:7">
      <c r="D3041" s="46"/>
      <c r="E3041" s="46"/>
      <c r="F3041" s="46"/>
      <c r="G3041" s="46"/>
    </row>
    <row r="3042" spans="4:7">
      <c r="D3042" s="46"/>
      <c r="E3042" s="46"/>
      <c r="F3042" s="46"/>
      <c r="G3042" s="46"/>
    </row>
    <row r="3043" spans="4:7">
      <c r="D3043" s="46"/>
      <c r="E3043" s="46"/>
      <c r="F3043" s="46"/>
      <c r="G3043" s="46"/>
    </row>
    <row r="3044" spans="4:7">
      <c r="D3044" s="46"/>
      <c r="E3044" s="46"/>
      <c r="F3044" s="46"/>
      <c r="G3044" s="46"/>
    </row>
    <row r="3045" spans="4:7">
      <c r="D3045" s="46"/>
      <c r="E3045" s="46"/>
      <c r="F3045" s="46"/>
      <c r="G3045" s="46"/>
    </row>
    <row r="3046" spans="4:7">
      <c r="D3046" s="46"/>
      <c r="E3046" s="46"/>
      <c r="F3046" s="46"/>
      <c r="G3046" s="46"/>
    </row>
    <row r="3047" spans="4:7">
      <c r="D3047" s="46"/>
      <c r="E3047" s="46"/>
      <c r="F3047" s="46"/>
      <c r="G3047" s="46"/>
    </row>
    <row r="3048" spans="4:7">
      <c r="D3048" s="46"/>
      <c r="E3048" s="46"/>
      <c r="F3048" s="46"/>
      <c r="G3048" s="46"/>
    </row>
    <row r="3049" spans="4:7">
      <c r="D3049" s="46"/>
      <c r="E3049" s="46"/>
      <c r="F3049" s="46"/>
      <c r="G3049" s="46"/>
    </row>
    <row r="3050" spans="4:7">
      <c r="D3050" s="46"/>
      <c r="E3050" s="46"/>
      <c r="F3050" s="46"/>
      <c r="G3050" s="46"/>
    </row>
    <row r="3051" spans="4:7">
      <c r="D3051" s="46"/>
      <c r="E3051" s="46"/>
      <c r="F3051" s="46"/>
      <c r="G3051" s="46"/>
    </row>
    <row r="3052" spans="4:7">
      <c r="D3052" s="46"/>
      <c r="E3052" s="46"/>
      <c r="F3052" s="46"/>
      <c r="G3052" s="46"/>
    </row>
    <row r="3053" spans="4:7">
      <c r="D3053" s="46"/>
      <c r="E3053" s="46"/>
      <c r="F3053" s="46"/>
      <c r="G3053" s="46"/>
    </row>
    <row r="3054" spans="4:7">
      <c r="D3054" s="46"/>
      <c r="E3054" s="46"/>
      <c r="F3054" s="46"/>
      <c r="G3054" s="46"/>
    </row>
    <row r="3055" spans="4:7">
      <c r="D3055" s="46"/>
      <c r="E3055" s="46"/>
      <c r="F3055" s="46"/>
      <c r="G3055" s="46"/>
    </row>
    <row r="3056" spans="4:7">
      <c r="D3056" s="46"/>
      <c r="E3056" s="46"/>
      <c r="F3056" s="46"/>
      <c r="G3056" s="46"/>
    </row>
    <row r="3057" spans="4:7">
      <c r="D3057" s="46"/>
      <c r="E3057" s="46"/>
      <c r="F3057" s="46"/>
      <c r="G3057" s="46"/>
    </row>
    <row r="3058" spans="4:7">
      <c r="D3058" s="46"/>
      <c r="E3058" s="46"/>
      <c r="F3058" s="46"/>
      <c r="G3058" s="46"/>
    </row>
    <row r="3059" spans="4:7">
      <c r="D3059" s="46"/>
      <c r="E3059" s="46"/>
      <c r="F3059" s="46"/>
      <c r="G3059" s="46"/>
    </row>
    <row r="3060" spans="4:7">
      <c r="D3060" s="46"/>
      <c r="E3060" s="46"/>
      <c r="F3060" s="46"/>
      <c r="G3060" s="46"/>
    </row>
    <row r="3061" spans="4:7">
      <c r="D3061" s="46"/>
      <c r="E3061" s="46"/>
      <c r="F3061" s="46"/>
      <c r="G3061" s="46"/>
    </row>
    <row r="3062" spans="4:7">
      <c r="D3062" s="46"/>
      <c r="E3062" s="46"/>
      <c r="F3062" s="46"/>
      <c r="G3062" s="46"/>
    </row>
    <row r="3063" spans="4:7">
      <c r="D3063" s="46"/>
      <c r="E3063" s="46"/>
      <c r="F3063" s="46"/>
      <c r="G3063" s="46"/>
    </row>
    <row r="3064" spans="4:7">
      <c r="D3064" s="46"/>
      <c r="E3064" s="46"/>
      <c r="F3064" s="46"/>
      <c r="G3064" s="46"/>
    </row>
    <row r="3065" spans="4:7">
      <c r="D3065" s="46"/>
      <c r="E3065" s="46"/>
      <c r="F3065" s="46"/>
      <c r="G3065" s="46"/>
    </row>
    <row r="3066" spans="4:7">
      <c r="D3066" s="46"/>
      <c r="E3066" s="46"/>
      <c r="F3066" s="46"/>
      <c r="G3066" s="46"/>
    </row>
    <row r="3067" spans="4:7">
      <c r="D3067" s="46"/>
      <c r="E3067" s="46"/>
      <c r="F3067" s="46"/>
      <c r="G3067" s="46"/>
    </row>
    <row r="3068" spans="4:7">
      <c r="D3068" s="46"/>
      <c r="E3068" s="46"/>
      <c r="F3068" s="46"/>
      <c r="G3068" s="46"/>
    </row>
    <row r="3069" spans="4:7">
      <c r="D3069" s="46"/>
      <c r="E3069" s="46"/>
      <c r="F3069" s="46"/>
      <c r="G3069" s="46"/>
    </row>
    <row r="3070" spans="4:7">
      <c r="D3070" s="46"/>
      <c r="E3070" s="46"/>
      <c r="F3070" s="46"/>
      <c r="G3070" s="46"/>
    </row>
    <row r="3071" spans="4:7">
      <c r="D3071" s="46"/>
      <c r="E3071" s="46"/>
      <c r="F3071" s="46"/>
      <c r="G3071" s="46"/>
    </row>
    <row r="3072" spans="4:7">
      <c r="D3072" s="46"/>
      <c r="E3072" s="46"/>
      <c r="F3072" s="46"/>
      <c r="G3072" s="46"/>
    </row>
    <row r="3073" spans="4:7">
      <c r="D3073" s="46"/>
      <c r="E3073" s="46"/>
      <c r="F3073" s="46"/>
      <c r="G3073" s="46"/>
    </row>
    <row r="3074" spans="4:7">
      <c r="D3074" s="46"/>
      <c r="E3074" s="46"/>
      <c r="F3074" s="46"/>
      <c r="G3074" s="46"/>
    </row>
    <row r="3075" spans="4:7">
      <c r="D3075" s="46"/>
      <c r="E3075" s="46"/>
      <c r="F3075" s="46"/>
      <c r="G3075" s="46"/>
    </row>
    <row r="3076" spans="4:7">
      <c r="D3076" s="46"/>
      <c r="E3076" s="46"/>
      <c r="F3076" s="46"/>
      <c r="G3076" s="46"/>
    </row>
    <row r="3077" spans="4:7">
      <c r="D3077" s="46"/>
      <c r="E3077" s="46"/>
      <c r="F3077" s="46"/>
      <c r="G3077" s="46"/>
    </row>
    <row r="3078" spans="4:7">
      <c r="D3078" s="46"/>
      <c r="E3078" s="46"/>
      <c r="F3078" s="46"/>
      <c r="G3078" s="46"/>
    </row>
    <row r="3079" spans="4:7">
      <c r="D3079" s="46"/>
      <c r="E3079" s="46"/>
      <c r="F3079" s="46"/>
      <c r="G3079" s="46"/>
    </row>
    <row r="3080" spans="4:7">
      <c r="D3080" s="46"/>
      <c r="E3080" s="46"/>
      <c r="F3080" s="46"/>
      <c r="G3080" s="46"/>
    </row>
    <row r="3081" spans="4:7">
      <c r="D3081" s="46"/>
      <c r="E3081" s="46"/>
      <c r="F3081" s="46"/>
      <c r="G3081" s="46"/>
    </row>
    <row r="3082" spans="4:7">
      <c r="D3082" s="46"/>
      <c r="E3082" s="46"/>
      <c r="F3082" s="46"/>
      <c r="G3082" s="46"/>
    </row>
    <row r="3083" spans="4:7">
      <c r="D3083" s="46"/>
      <c r="E3083" s="46"/>
      <c r="F3083" s="46"/>
      <c r="G3083" s="46"/>
    </row>
    <row r="3084" spans="4:7">
      <c r="D3084" s="46"/>
      <c r="E3084" s="46"/>
      <c r="F3084" s="46"/>
      <c r="G3084" s="46"/>
    </row>
    <row r="3085" spans="4:7">
      <c r="D3085" s="46"/>
      <c r="E3085" s="46"/>
      <c r="F3085" s="46"/>
      <c r="G3085" s="46"/>
    </row>
    <row r="3086" spans="4:7">
      <c r="D3086" s="46"/>
      <c r="E3086" s="46"/>
      <c r="F3086" s="46"/>
      <c r="G3086" s="46"/>
    </row>
    <row r="3087" spans="4:7">
      <c r="D3087" s="46"/>
      <c r="E3087" s="46"/>
      <c r="F3087" s="46"/>
      <c r="G3087" s="46"/>
    </row>
    <row r="3088" spans="4:7">
      <c r="D3088" s="46"/>
      <c r="E3088" s="46"/>
      <c r="F3088" s="46"/>
      <c r="G3088" s="46"/>
    </row>
    <row r="3089" spans="4:7">
      <c r="D3089" s="46"/>
      <c r="E3089" s="46"/>
      <c r="F3089" s="46"/>
      <c r="G3089" s="46"/>
    </row>
    <row r="3090" spans="4:7">
      <c r="D3090" s="46"/>
      <c r="E3090" s="46"/>
      <c r="F3090" s="46"/>
      <c r="G3090" s="46"/>
    </row>
    <row r="3091" spans="4:7">
      <c r="D3091" s="46"/>
      <c r="E3091" s="46"/>
      <c r="F3091" s="46"/>
      <c r="G3091" s="46"/>
    </row>
    <row r="3092" spans="4:7">
      <c r="D3092" s="46"/>
      <c r="E3092" s="46"/>
      <c r="F3092" s="46"/>
      <c r="G3092" s="46"/>
    </row>
    <row r="3093" spans="4:7">
      <c r="D3093" s="46"/>
      <c r="E3093" s="46"/>
      <c r="F3093" s="46"/>
      <c r="G3093" s="46"/>
    </row>
    <row r="3094" spans="4:7">
      <c r="D3094" s="46"/>
      <c r="E3094" s="46"/>
      <c r="F3094" s="46"/>
      <c r="G3094" s="46"/>
    </row>
    <row r="3095" spans="4:7">
      <c r="D3095" s="46"/>
      <c r="E3095" s="46"/>
      <c r="F3095" s="46"/>
      <c r="G3095" s="46"/>
    </row>
    <row r="3096" spans="4:7">
      <c r="D3096" s="46"/>
      <c r="E3096" s="46"/>
      <c r="F3096" s="46"/>
      <c r="G3096" s="46"/>
    </row>
    <row r="3097" spans="4:7">
      <c r="D3097" s="46"/>
      <c r="E3097" s="46"/>
      <c r="F3097" s="46"/>
      <c r="G3097" s="46"/>
    </row>
    <row r="3098" spans="4:7">
      <c r="D3098" s="46"/>
      <c r="E3098" s="46"/>
      <c r="F3098" s="46"/>
      <c r="G3098" s="46"/>
    </row>
    <row r="3099" spans="4:7">
      <c r="D3099" s="46"/>
      <c r="E3099" s="46"/>
      <c r="F3099" s="46"/>
      <c r="G3099" s="46"/>
    </row>
    <row r="3100" spans="4:7">
      <c r="D3100" s="46"/>
      <c r="E3100" s="46"/>
      <c r="F3100" s="46"/>
      <c r="G3100" s="46"/>
    </row>
    <row r="3101" spans="4:7">
      <c r="D3101" s="46"/>
      <c r="E3101" s="46"/>
      <c r="F3101" s="46"/>
      <c r="G3101" s="46"/>
    </row>
    <row r="3102" spans="4:7">
      <c r="D3102" s="46"/>
      <c r="E3102" s="46"/>
      <c r="F3102" s="46"/>
      <c r="G3102" s="46"/>
    </row>
    <row r="3103" spans="4:7">
      <c r="D3103" s="46"/>
      <c r="E3103" s="46"/>
      <c r="F3103" s="46"/>
      <c r="G3103" s="46"/>
    </row>
    <row r="3104" spans="4:7">
      <c r="D3104" s="46"/>
      <c r="E3104" s="46"/>
      <c r="F3104" s="46"/>
      <c r="G3104" s="46"/>
    </row>
    <row r="3105" spans="4:7">
      <c r="D3105" s="46"/>
      <c r="E3105" s="46"/>
      <c r="F3105" s="46"/>
      <c r="G3105" s="46"/>
    </row>
    <row r="3106" spans="4:7">
      <c r="D3106" s="46"/>
      <c r="E3106" s="46"/>
      <c r="F3106" s="46"/>
      <c r="G3106" s="46"/>
    </row>
    <row r="3107" spans="4:7">
      <c r="D3107" s="46"/>
      <c r="E3107" s="46"/>
      <c r="F3107" s="46"/>
      <c r="G3107" s="46"/>
    </row>
    <row r="3108" spans="4:7">
      <c r="D3108" s="46"/>
      <c r="E3108" s="46"/>
      <c r="F3108" s="46"/>
      <c r="G3108" s="46"/>
    </row>
    <row r="3109" spans="4:7">
      <c r="D3109" s="46"/>
      <c r="E3109" s="46"/>
      <c r="F3109" s="46"/>
      <c r="G3109" s="46"/>
    </row>
    <row r="3110" spans="4:7">
      <c r="D3110" s="46"/>
      <c r="E3110" s="46"/>
      <c r="F3110" s="46"/>
      <c r="G3110" s="46"/>
    </row>
    <row r="3111" spans="4:7">
      <c r="D3111" s="46"/>
      <c r="E3111" s="46"/>
      <c r="F3111" s="46"/>
      <c r="G3111" s="46"/>
    </row>
    <row r="3112" spans="4:7">
      <c r="D3112" s="46"/>
      <c r="E3112" s="46"/>
      <c r="F3112" s="46"/>
      <c r="G3112" s="46"/>
    </row>
    <row r="3113" spans="4:7">
      <c r="D3113" s="46"/>
      <c r="E3113" s="46"/>
      <c r="F3113" s="46"/>
      <c r="G3113" s="46"/>
    </row>
    <row r="3114" spans="4:7">
      <c r="D3114" s="46"/>
      <c r="E3114" s="46"/>
      <c r="F3114" s="46"/>
      <c r="G3114" s="46"/>
    </row>
    <row r="3115" spans="4:7">
      <c r="D3115" s="46"/>
      <c r="E3115" s="46"/>
      <c r="F3115" s="46"/>
      <c r="G3115" s="46"/>
    </row>
    <row r="3116" spans="4:7">
      <c r="D3116" s="46"/>
      <c r="E3116" s="46"/>
      <c r="F3116" s="46"/>
      <c r="G3116" s="46"/>
    </row>
    <row r="3117" spans="4:7">
      <c r="D3117" s="46"/>
      <c r="E3117" s="46"/>
      <c r="F3117" s="46"/>
      <c r="G3117" s="46"/>
    </row>
    <row r="3118" spans="4:7">
      <c r="D3118" s="46"/>
      <c r="E3118" s="46"/>
      <c r="F3118" s="46"/>
      <c r="G3118" s="46"/>
    </row>
    <row r="3119" spans="4:7">
      <c r="D3119" s="46"/>
      <c r="E3119" s="46"/>
      <c r="F3119" s="46"/>
      <c r="G3119" s="46"/>
    </row>
    <row r="3120" spans="4:7">
      <c r="D3120" s="46"/>
      <c r="E3120" s="46"/>
      <c r="F3120" s="46"/>
      <c r="G3120" s="46"/>
    </row>
    <row r="3121" spans="4:7">
      <c r="D3121" s="46"/>
      <c r="E3121" s="46"/>
      <c r="F3121" s="46"/>
      <c r="G3121" s="46"/>
    </row>
    <row r="3122" spans="4:7">
      <c r="D3122" s="46"/>
      <c r="E3122" s="46"/>
      <c r="F3122" s="46"/>
      <c r="G3122" s="46"/>
    </row>
    <row r="3123" spans="4:7">
      <c r="D3123" s="46"/>
      <c r="E3123" s="46"/>
      <c r="F3123" s="46"/>
      <c r="G3123" s="46"/>
    </row>
    <row r="3124" spans="4:7">
      <c r="D3124" s="46"/>
      <c r="E3124" s="46"/>
      <c r="F3124" s="46"/>
      <c r="G3124" s="46"/>
    </row>
    <row r="3125" spans="4:7">
      <c r="D3125" s="46"/>
      <c r="E3125" s="46"/>
      <c r="F3125" s="46"/>
      <c r="G3125" s="46"/>
    </row>
    <row r="3126" spans="4:7">
      <c r="D3126" s="46"/>
      <c r="E3126" s="46"/>
      <c r="F3126" s="46"/>
      <c r="G3126" s="46"/>
    </row>
    <row r="3127" spans="4:7">
      <c r="D3127" s="46"/>
      <c r="E3127" s="46"/>
      <c r="F3127" s="46"/>
      <c r="G3127" s="46"/>
    </row>
    <row r="3128" spans="4:7">
      <c r="D3128" s="46"/>
      <c r="E3128" s="46"/>
      <c r="F3128" s="46"/>
      <c r="G3128" s="46"/>
    </row>
    <row r="3129" spans="4:7">
      <c r="D3129" s="46"/>
      <c r="E3129" s="46"/>
      <c r="F3129" s="46"/>
      <c r="G3129" s="46"/>
    </row>
    <row r="3130" spans="4:7">
      <c r="D3130" s="46"/>
      <c r="E3130" s="46"/>
      <c r="F3130" s="46"/>
      <c r="G3130" s="46"/>
    </row>
    <row r="3131" spans="4:7">
      <c r="D3131" s="46"/>
      <c r="E3131" s="46"/>
      <c r="F3131" s="46"/>
      <c r="G3131" s="46"/>
    </row>
    <row r="3132" spans="4:7">
      <c r="D3132" s="46"/>
      <c r="E3132" s="46"/>
      <c r="F3132" s="46"/>
      <c r="G3132" s="46"/>
    </row>
    <row r="3133" spans="4:7">
      <c r="D3133" s="46"/>
      <c r="E3133" s="46"/>
      <c r="F3133" s="46"/>
      <c r="G3133" s="46"/>
    </row>
    <row r="3134" spans="4:7">
      <c r="D3134" s="46"/>
      <c r="E3134" s="46"/>
      <c r="F3134" s="46"/>
      <c r="G3134" s="46"/>
    </row>
    <row r="3135" spans="4:7">
      <c r="D3135" s="46"/>
      <c r="E3135" s="46"/>
      <c r="F3135" s="46"/>
      <c r="G3135" s="46"/>
    </row>
    <row r="3136" spans="4:7">
      <c r="D3136" s="46"/>
      <c r="E3136" s="46"/>
      <c r="F3136" s="46"/>
      <c r="G3136" s="46"/>
    </row>
    <row r="3137" spans="4:7">
      <c r="D3137" s="46"/>
      <c r="E3137" s="46"/>
      <c r="F3137" s="46"/>
      <c r="G3137" s="46"/>
    </row>
    <row r="3138" spans="4:7">
      <c r="D3138" s="46"/>
      <c r="E3138" s="46"/>
      <c r="F3138" s="46"/>
      <c r="G3138" s="46"/>
    </row>
    <row r="3139" spans="4:7">
      <c r="D3139" s="46"/>
      <c r="E3139" s="46"/>
      <c r="F3139" s="46"/>
      <c r="G3139" s="46"/>
    </row>
    <row r="3140" spans="4:7">
      <c r="D3140" s="46"/>
      <c r="E3140" s="46"/>
      <c r="F3140" s="46"/>
      <c r="G3140" s="46"/>
    </row>
    <row r="3141" spans="4:7">
      <c r="D3141" s="46"/>
      <c r="E3141" s="46"/>
      <c r="F3141" s="46"/>
      <c r="G3141" s="46"/>
    </row>
    <row r="3142" spans="4:7">
      <c r="D3142" s="46"/>
      <c r="E3142" s="46"/>
      <c r="F3142" s="46"/>
      <c r="G3142" s="46"/>
    </row>
    <row r="3143" spans="4:7">
      <c r="D3143" s="46"/>
      <c r="E3143" s="46"/>
      <c r="F3143" s="46"/>
      <c r="G3143" s="46"/>
    </row>
    <row r="3144" spans="4:7">
      <c r="D3144" s="46"/>
      <c r="E3144" s="46"/>
      <c r="F3144" s="46"/>
      <c r="G3144" s="46"/>
    </row>
    <row r="3145" spans="4:7">
      <c r="D3145" s="46"/>
      <c r="E3145" s="46"/>
      <c r="F3145" s="46"/>
      <c r="G3145" s="46"/>
    </row>
    <row r="3146" spans="4:7">
      <c r="D3146" s="46"/>
      <c r="E3146" s="46"/>
      <c r="F3146" s="46"/>
      <c r="G3146" s="46"/>
    </row>
    <row r="3147" spans="4:7">
      <c r="D3147" s="46"/>
      <c r="E3147" s="46"/>
      <c r="F3147" s="46"/>
      <c r="G3147" s="46"/>
    </row>
    <row r="3148" spans="4:7">
      <c r="D3148" s="46"/>
      <c r="E3148" s="46"/>
      <c r="F3148" s="46"/>
      <c r="G3148" s="46"/>
    </row>
    <row r="3149" spans="4:7">
      <c r="D3149" s="46"/>
      <c r="E3149" s="46"/>
      <c r="F3149" s="46"/>
      <c r="G3149" s="46"/>
    </row>
    <row r="3150" spans="4:7">
      <c r="D3150" s="46"/>
      <c r="E3150" s="46"/>
      <c r="F3150" s="46"/>
      <c r="G3150" s="46"/>
    </row>
    <row r="3151" spans="4:7">
      <c r="D3151" s="46"/>
      <c r="E3151" s="46"/>
      <c r="F3151" s="46"/>
      <c r="G3151" s="46"/>
    </row>
    <row r="3152" spans="4:7">
      <c r="D3152" s="46"/>
      <c r="E3152" s="46"/>
      <c r="F3152" s="46"/>
      <c r="G3152" s="46"/>
    </row>
    <row r="3153" spans="4:7">
      <c r="D3153" s="46"/>
      <c r="E3153" s="46"/>
      <c r="F3153" s="46"/>
      <c r="G3153" s="46"/>
    </row>
    <row r="3154" spans="4:7">
      <c r="D3154" s="46"/>
      <c r="E3154" s="46"/>
      <c r="F3154" s="46"/>
      <c r="G3154" s="46"/>
    </row>
    <row r="3155" spans="4:7">
      <c r="D3155" s="46"/>
      <c r="E3155" s="46"/>
      <c r="F3155" s="46"/>
      <c r="G3155" s="46"/>
    </row>
    <row r="3156" spans="4:7">
      <c r="D3156" s="46"/>
      <c r="E3156" s="46"/>
      <c r="F3156" s="46"/>
      <c r="G3156" s="46"/>
    </row>
    <row r="3157" spans="4:7">
      <c r="D3157" s="46"/>
      <c r="E3157" s="46"/>
      <c r="F3157" s="46"/>
      <c r="G3157" s="46"/>
    </row>
    <row r="3158" spans="4:7">
      <c r="D3158" s="46"/>
      <c r="E3158" s="46"/>
      <c r="F3158" s="46"/>
      <c r="G3158" s="46"/>
    </row>
    <row r="3159" spans="4:7">
      <c r="D3159" s="46"/>
      <c r="E3159" s="46"/>
      <c r="F3159" s="46"/>
      <c r="G3159" s="46"/>
    </row>
    <row r="3160" spans="4:7">
      <c r="D3160" s="46"/>
      <c r="E3160" s="46"/>
      <c r="F3160" s="46"/>
      <c r="G3160" s="46"/>
    </row>
    <row r="3161" spans="4:7">
      <c r="D3161" s="46"/>
      <c r="E3161" s="46"/>
      <c r="F3161" s="46"/>
      <c r="G3161" s="46"/>
    </row>
    <row r="3162" spans="4:7">
      <c r="D3162" s="46"/>
      <c r="E3162" s="46"/>
      <c r="F3162" s="46"/>
      <c r="G3162" s="46"/>
    </row>
    <row r="3163" spans="4:7">
      <c r="D3163" s="46"/>
      <c r="E3163" s="46"/>
      <c r="F3163" s="46"/>
      <c r="G3163" s="46"/>
    </row>
    <row r="3164" spans="4:7">
      <c r="D3164" s="46"/>
      <c r="E3164" s="46"/>
      <c r="F3164" s="46"/>
      <c r="G3164" s="46"/>
    </row>
    <row r="3165" spans="4:7">
      <c r="D3165" s="46"/>
      <c r="E3165" s="46"/>
      <c r="F3165" s="46"/>
      <c r="G3165" s="46"/>
    </row>
    <row r="3166" spans="4:7">
      <c r="D3166" s="46"/>
      <c r="E3166" s="46"/>
      <c r="F3166" s="46"/>
      <c r="G3166" s="46"/>
    </row>
    <row r="3167" spans="4:7">
      <c r="D3167" s="46"/>
      <c r="E3167" s="46"/>
      <c r="F3167" s="46"/>
      <c r="G3167" s="46"/>
    </row>
    <row r="3168" spans="4:7">
      <c r="D3168" s="46"/>
      <c r="E3168" s="46"/>
      <c r="F3168" s="46"/>
      <c r="G3168" s="46"/>
    </row>
    <row r="3169" spans="4:7">
      <c r="D3169" s="46"/>
      <c r="E3169" s="46"/>
      <c r="F3169" s="46"/>
      <c r="G3169" s="46"/>
    </row>
    <row r="3170" spans="4:7">
      <c r="D3170" s="46"/>
      <c r="E3170" s="46"/>
      <c r="F3170" s="46"/>
      <c r="G3170" s="46"/>
    </row>
    <row r="3171" spans="4:7">
      <c r="D3171" s="46"/>
      <c r="E3171" s="46"/>
      <c r="F3171" s="46"/>
      <c r="G3171" s="46"/>
    </row>
    <row r="3172" spans="4:7">
      <c r="D3172" s="46"/>
      <c r="E3172" s="46"/>
      <c r="F3172" s="46"/>
      <c r="G3172" s="46"/>
    </row>
    <row r="3173" spans="4:7">
      <c r="D3173" s="46"/>
      <c r="E3173" s="46"/>
      <c r="F3173" s="46"/>
      <c r="G3173" s="46"/>
    </row>
    <row r="3174" spans="4:7">
      <c r="D3174" s="46"/>
      <c r="E3174" s="46"/>
      <c r="F3174" s="46"/>
      <c r="G3174" s="46"/>
    </row>
    <row r="3175" spans="4:7">
      <c r="D3175" s="46"/>
      <c r="E3175" s="46"/>
      <c r="F3175" s="46"/>
      <c r="G3175" s="46"/>
    </row>
    <row r="3176" spans="4:7">
      <c r="D3176" s="46"/>
      <c r="E3176" s="46"/>
      <c r="F3176" s="46"/>
      <c r="G3176" s="46"/>
    </row>
    <row r="3177" spans="4:7">
      <c r="D3177" s="46"/>
      <c r="E3177" s="46"/>
      <c r="F3177" s="46"/>
      <c r="G3177" s="46"/>
    </row>
    <row r="3178" spans="4:7">
      <c r="D3178" s="46"/>
      <c r="E3178" s="46"/>
      <c r="F3178" s="46"/>
      <c r="G3178" s="46"/>
    </row>
    <row r="3179" spans="4:7">
      <c r="D3179" s="46"/>
      <c r="E3179" s="46"/>
      <c r="F3179" s="46"/>
      <c r="G3179" s="46"/>
    </row>
    <row r="3180" spans="4:7">
      <c r="D3180" s="46"/>
      <c r="E3180" s="46"/>
      <c r="F3180" s="46"/>
      <c r="G3180" s="46"/>
    </row>
    <row r="3181" spans="4:7">
      <c r="D3181" s="46"/>
      <c r="E3181" s="46"/>
      <c r="F3181" s="46"/>
      <c r="G3181" s="46"/>
    </row>
    <row r="3182" spans="4:7">
      <c r="D3182" s="46"/>
      <c r="E3182" s="46"/>
      <c r="F3182" s="46"/>
      <c r="G3182" s="46"/>
    </row>
    <row r="3183" spans="4:7">
      <c r="D3183" s="46"/>
      <c r="E3183" s="46"/>
      <c r="F3183" s="46"/>
      <c r="G3183" s="46"/>
    </row>
    <row r="3184" spans="4:7">
      <c r="D3184" s="46"/>
      <c r="E3184" s="46"/>
      <c r="F3184" s="46"/>
      <c r="G3184" s="46"/>
    </row>
    <row r="3185" spans="4:7">
      <c r="D3185" s="46"/>
      <c r="E3185" s="46"/>
      <c r="F3185" s="46"/>
      <c r="G3185" s="46"/>
    </row>
    <row r="3186" spans="4:7">
      <c r="D3186" s="46"/>
      <c r="E3186" s="46"/>
      <c r="F3186" s="46"/>
      <c r="G3186" s="46"/>
    </row>
    <row r="3187" spans="4:7">
      <c r="D3187" s="46"/>
      <c r="E3187" s="46"/>
      <c r="F3187" s="46"/>
      <c r="G3187" s="46"/>
    </row>
    <row r="3188" spans="4:7">
      <c r="D3188" s="46"/>
      <c r="E3188" s="46"/>
      <c r="F3188" s="46"/>
      <c r="G3188" s="46"/>
    </row>
    <row r="3189" spans="4:7">
      <c r="D3189" s="46"/>
      <c r="E3189" s="46"/>
      <c r="F3189" s="46"/>
      <c r="G3189" s="46"/>
    </row>
    <row r="3190" spans="4:7">
      <c r="D3190" s="46"/>
      <c r="E3190" s="46"/>
      <c r="F3190" s="46"/>
      <c r="G3190" s="46"/>
    </row>
    <row r="3191" spans="4:7">
      <c r="D3191" s="46"/>
      <c r="E3191" s="46"/>
      <c r="F3191" s="46"/>
      <c r="G3191" s="46"/>
    </row>
    <row r="3192" spans="4:7">
      <c r="D3192" s="46"/>
      <c r="E3192" s="46"/>
      <c r="F3192" s="46"/>
      <c r="G3192" s="46"/>
    </row>
    <row r="3193" spans="4:7">
      <c r="D3193" s="46"/>
      <c r="E3193" s="46"/>
      <c r="F3193" s="46"/>
      <c r="G3193" s="46"/>
    </row>
    <row r="3194" spans="4:7">
      <c r="D3194" s="46"/>
      <c r="E3194" s="46"/>
      <c r="F3194" s="46"/>
      <c r="G3194" s="46"/>
    </row>
    <row r="3195" spans="4:7">
      <c r="D3195" s="46"/>
      <c r="E3195" s="46"/>
      <c r="F3195" s="46"/>
      <c r="G3195" s="46"/>
    </row>
    <row r="3196" spans="4:7">
      <c r="D3196" s="46"/>
      <c r="E3196" s="46"/>
      <c r="F3196" s="46"/>
      <c r="G3196" s="46"/>
    </row>
    <row r="3197" spans="4:7">
      <c r="D3197" s="46"/>
      <c r="E3197" s="46"/>
      <c r="F3197" s="46"/>
      <c r="G3197" s="46"/>
    </row>
    <row r="3198" spans="4:7">
      <c r="D3198" s="46"/>
      <c r="E3198" s="46"/>
      <c r="F3198" s="46"/>
      <c r="G3198" s="46"/>
    </row>
    <row r="3199" spans="4:7">
      <c r="D3199" s="46"/>
      <c r="E3199" s="46"/>
      <c r="F3199" s="46"/>
      <c r="G3199" s="46"/>
    </row>
    <row r="3200" spans="4:7">
      <c r="D3200" s="46"/>
      <c r="E3200" s="46"/>
      <c r="F3200" s="46"/>
      <c r="G3200" s="46"/>
    </row>
    <row r="3201" spans="4:7">
      <c r="D3201" s="46"/>
      <c r="E3201" s="46"/>
      <c r="F3201" s="46"/>
      <c r="G3201" s="46"/>
    </row>
    <row r="3202" spans="4:7">
      <c r="D3202" s="46"/>
      <c r="E3202" s="46"/>
      <c r="F3202" s="46"/>
      <c r="G3202" s="46"/>
    </row>
    <row r="3203" spans="4:7">
      <c r="D3203" s="46"/>
      <c r="E3203" s="46"/>
      <c r="F3203" s="46"/>
      <c r="G3203" s="46"/>
    </row>
    <row r="3204" spans="4:7">
      <c r="D3204" s="46"/>
      <c r="E3204" s="46"/>
      <c r="F3204" s="46"/>
      <c r="G3204" s="46"/>
    </row>
    <row r="3205" spans="4:7">
      <c r="D3205" s="46"/>
      <c r="E3205" s="46"/>
      <c r="F3205" s="46"/>
      <c r="G3205" s="46"/>
    </row>
    <row r="3206" spans="4:7">
      <c r="D3206" s="46"/>
      <c r="E3206" s="46"/>
      <c r="F3206" s="46"/>
      <c r="G3206" s="46"/>
    </row>
    <row r="3207" spans="4:7">
      <c r="D3207" s="46"/>
      <c r="E3207" s="46"/>
      <c r="F3207" s="46"/>
      <c r="G3207" s="46"/>
    </row>
    <row r="3208" spans="4:7">
      <c r="D3208" s="46"/>
      <c r="E3208" s="46"/>
      <c r="F3208" s="46"/>
      <c r="G3208" s="46"/>
    </row>
    <row r="3209" spans="4:7">
      <c r="D3209" s="46"/>
      <c r="E3209" s="46"/>
      <c r="F3209" s="46"/>
      <c r="G3209" s="46"/>
    </row>
    <row r="3210" spans="4:7">
      <c r="D3210" s="46"/>
      <c r="E3210" s="46"/>
      <c r="F3210" s="46"/>
      <c r="G3210" s="46"/>
    </row>
    <row r="3211" spans="4:7">
      <c r="D3211" s="46"/>
      <c r="E3211" s="46"/>
      <c r="F3211" s="46"/>
      <c r="G3211" s="46"/>
    </row>
    <row r="3212" spans="4:7">
      <c r="D3212" s="46"/>
      <c r="E3212" s="46"/>
      <c r="F3212" s="46"/>
      <c r="G3212" s="46"/>
    </row>
    <row r="3213" spans="4:7">
      <c r="D3213" s="46"/>
      <c r="E3213" s="46"/>
      <c r="F3213" s="46"/>
      <c r="G3213" s="46"/>
    </row>
    <row r="3214" spans="4:7">
      <c r="D3214" s="46"/>
      <c r="E3214" s="46"/>
      <c r="F3214" s="46"/>
      <c r="G3214" s="46"/>
    </row>
    <row r="3215" spans="4:7">
      <c r="D3215" s="46"/>
      <c r="E3215" s="46"/>
      <c r="F3215" s="46"/>
      <c r="G3215" s="46"/>
    </row>
    <row r="3216" spans="4:7">
      <c r="D3216" s="46"/>
      <c r="E3216" s="46"/>
      <c r="F3216" s="46"/>
      <c r="G3216" s="46"/>
    </row>
    <row r="3217" spans="4:7">
      <c r="D3217" s="46"/>
      <c r="E3217" s="46"/>
      <c r="F3217" s="46"/>
      <c r="G3217" s="46"/>
    </row>
    <row r="3218" spans="4:7">
      <c r="D3218" s="46"/>
      <c r="E3218" s="46"/>
      <c r="F3218" s="46"/>
      <c r="G3218" s="46"/>
    </row>
    <row r="3219" spans="4:7">
      <c r="D3219" s="46"/>
      <c r="E3219" s="46"/>
      <c r="F3219" s="46"/>
      <c r="G3219" s="46"/>
    </row>
    <row r="3220" spans="4:7">
      <c r="D3220" s="46"/>
      <c r="E3220" s="46"/>
      <c r="F3220" s="46"/>
      <c r="G3220" s="46"/>
    </row>
    <row r="3221" spans="4:7">
      <c r="D3221" s="46"/>
      <c r="E3221" s="46"/>
      <c r="F3221" s="46"/>
      <c r="G3221" s="46"/>
    </row>
    <row r="3222" spans="4:7">
      <c r="D3222" s="46"/>
      <c r="E3222" s="46"/>
      <c r="F3222" s="46"/>
      <c r="G3222" s="46"/>
    </row>
    <row r="3223" spans="4:7">
      <c r="D3223" s="46"/>
      <c r="E3223" s="46"/>
      <c r="F3223" s="46"/>
      <c r="G3223" s="46"/>
    </row>
    <row r="3224" spans="4:7">
      <c r="D3224" s="46"/>
      <c r="E3224" s="46"/>
      <c r="F3224" s="46"/>
      <c r="G3224" s="46"/>
    </row>
    <row r="3225" spans="4:7">
      <c r="D3225" s="46"/>
      <c r="E3225" s="46"/>
      <c r="F3225" s="46"/>
      <c r="G3225" s="46"/>
    </row>
    <row r="3226" spans="4:7">
      <c r="D3226" s="46"/>
      <c r="E3226" s="46"/>
      <c r="F3226" s="46"/>
      <c r="G3226" s="46"/>
    </row>
    <row r="3227" spans="4:7">
      <c r="D3227" s="46"/>
      <c r="E3227" s="46"/>
      <c r="F3227" s="46"/>
      <c r="G3227" s="46"/>
    </row>
    <row r="3228" spans="4:7">
      <c r="D3228" s="46"/>
      <c r="E3228" s="46"/>
      <c r="F3228" s="46"/>
      <c r="G3228" s="46"/>
    </row>
    <row r="3229" spans="4:7">
      <c r="D3229" s="46"/>
      <c r="E3229" s="46"/>
      <c r="F3229" s="46"/>
      <c r="G3229" s="46"/>
    </row>
    <row r="3230" spans="4:7">
      <c r="D3230" s="46"/>
      <c r="E3230" s="46"/>
      <c r="F3230" s="46"/>
      <c r="G3230" s="46"/>
    </row>
    <row r="3231" spans="4:7">
      <c r="D3231" s="46"/>
      <c r="E3231" s="46"/>
      <c r="F3231" s="46"/>
      <c r="G3231" s="46"/>
    </row>
    <row r="3232" spans="4:7">
      <c r="D3232" s="46"/>
      <c r="E3232" s="46"/>
      <c r="F3232" s="46"/>
      <c r="G3232" s="46"/>
    </row>
    <row r="3233" spans="4:7">
      <c r="D3233" s="46"/>
      <c r="E3233" s="46"/>
      <c r="F3233" s="46"/>
      <c r="G3233" s="46"/>
    </row>
    <row r="3234" spans="4:7">
      <c r="D3234" s="46"/>
      <c r="E3234" s="46"/>
      <c r="F3234" s="46"/>
      <c r="G3234" s="46"/>
    </row>
    <row r="3235" spans="4:7">
      <c r="D3235" s="46"/>
      <c r="E3235" s="46"/>
      <c r="F3235" s="46"/>
      <c r="G3235" s="46"/>
    </row>
    <row r="3236" spans="4:7">
      <c r="D3236" s="46"/>
      <c r="E3236" s="46"/>
      <c r="F3236" s="46"/>
      <c r="G3236" s="46"/>
    </row>
    <row r="3237" spans="4:7">
      <c r="D3237" s="46"/>
      <c r="E3237" s="46"/>
      <c r="F3237" s="46"/>
      <c r="G3237" s="46"/>
    </row>
    <row r="3238" spans="4:7">
      <c r="D3238" s="46"/>
      <c r="E3238" s="46"/>
      <c r="F3238" s="46"/>
      <c r="G3238" s="46"/>
    </row>
    <row r="3239" spans="4:7">
      <c r="D3239" s="46"/>
      <c r="E3239" s="46"/>
      <c r="F3239" s="46"/>
      <c r="G3239" s="46"/>
    </row>
    <row r="3240" spans="4:7">
      <c r="D3240" s="46"/>
      <c r="E3240" s="46"/>
      <c r="F3240" s="46"/>
      <c r="G3240" s="46"/>
    </row>
    <row r="3241" spans="4:7">
      <c r="D3241" s="46"/>
      <c r="E3241" s="46"/>
      <c r="F3241" s="46"/>
      <c r="G3241" s="46"/>
    </row>
    <row r="3242" spans="4:7">
      <c r="D3242" s="46"/>
      <c r="E3242" s="46"/>
      <c r="F3242" s="46"/>
      <c r="G3242" s="46"/>
    </row>
    <row r="3243" spans="4:7">
      <c r="D3243" s="46"/>
      <c r="E3243" s="46"/>
      <c r="F3243" s="46"/>
      <c r="G3243" s="46"/>
    </row>
    <row r="3244" spans="4:7">
      <c r="D3244" s="46"/>
      <c r="E3244" s="46"/>
      <c r="F3244" s="46"/>
      <c r="G3244" s="46"/>
    </row>
    <row r="3245" spans="4:7">
      <c r="D3245" s="46"/>
      <c r="E3245" s="46"/>
      <c r="F3245" s="46"/>
      <c r="G3245" s="46"/>
    </row>
    <row r="3246" spans="4:7">
      <c r="D3246" s="46"/>
      <c r="E3246" s="46"/>
      <c r="F3246" s="46"/>
      <c r="G3246" s="46"/>
    </row>
    <row r="3247" spans="4:7">
      <c r="D3247" s="46"/>
      <c r="E3247" s="46"/>
      <c r="F3247" s="46"/>
      <c r="G3247" s="46"/>
    </row>
    <row r="3248" spans="4:7">
      <c r="D3248" s="46"/>
      <c r="E3248" s="46"/>
      <c r="F3248" s="46"/>
      <c r="G3248" s="46"/>
    </row>
    <row r="3249" spans="4:7">
      <c r="D3249" s="46"/>
      <c r="E3249" s="46"/>
      <c r="F3249" s="46"/>
      <c r="G3249" s="46"/>
    </row>
    <row r="3250" spans="4:7">
      <c r="D3250" s="46"/>
      <c r="E3250" s="46"/>
      <c r="F3250" s="46"/>
      <c r="G3250" s="46"/>
    </row>
    <row r="3251" spans="4:7">
      <c r="D3251" s="46"/>
      <c r="E3251" s="46"/>
      <c r="F3251" s="46"/>
      <c r="G3251" s="46"/>
    </row>
    <row r="3252" spans="4:7">
      <c r="D3252" s="46"/>
      <c r="E3252" s="46"/>
      <c r="F3252" s="46"/>
      <c r="G3252" s="46"/>
    </row>
    <row r="3253" spans="4:7">
      <c r="D3253" s="46"/>
      <c r="E3253" s="46"/>
      <c r="F3253" s="46"/>
      <c r="G3253" s="46"/>
    </row>
    <row r="3254" spans="4:7">
      <c r="D3254" s="46"/>
      <c r="E3254" s="46"/>
      <c r="F3254" s="46"/>
      <c r="G3254" s="46"/>
    </row>
    <row r="3255" spans="4:7">
      <c r="D3255" s="46"/>
      <c r="E3255" s="46"/>
      <c r="F3255" s="46"/>
      <c r="G3255" s="46"/>
    </row>
    <row r="3256" spans="4:7">
      <c r="D3256" s="46"/>
      <c r="E3256" s="46"/>
      <c r="F3256" s="46"/>
      <c r="G3256" s="46"/>
    </row>
    <row r="3257" spans="4:7">
      <c r="D3257" s="46"/>
      <c r="E3257" s="46"/>
      <c r="F3257" s="46"/>
      <c r="G3257" s="46"/>
    </row>
    <row r="3258" spans="4:7">
      <c r="D3258" s="46"/>
      <c r="E3258" s="46"/>
      <c r="F3258" s="46"/>
      <c r="G3258" s="46"/>
    </row>
    <row r="3259" spans="4:7">
      <c r="D3259" s="46"/>
      <c r="E3259" s="46"/>
      <c r="F3259" s="46"/>
      <c r="G3259" s="46"/>
    </row>
    <row r="3260" spans="4:7">
      <c r="D3260" s="46"/>
      <c r="E3260" s="46"/>
      <c r="F3260" s="46"/>
      <c r="G3260" s="46"/>
    </row>
    <row r="3261" spans="4:7">
      <c r="D3261" s="46"/>
      <c r="E3261" s="46"/>
      <c r="F3261" s="46"/>
      <c r="G3261" s="46"/>
    </row>
    <row r="3262" spans="4:7">
      <c r="D3262" s="46"/>
      <c r="E3262" s="46"/>
      <c r="F3262" s="46"/>
      <c r="G3262" s="46"/>
    </row>
    <row r="3263" spans="4:7">
      <c r="D3263" s="46"/>
      <c r="E3263" s="46"/>
      <c r="F3263" s="46"/>
      <c r="G3263" s="46"/>
    </row>
    <row r="3264" spans="4:7">
      <c r="D3264" s="46"/>
      <c r="E3264" s="46"/>
      <c r="F3264" s="46"/>
      <c r="G3264" s="46"/>
    </row>
    <row r="3265" spans="4:7">
      <c r="D3265" s="46"/>
      <c r="E3265" s="46"/>
      <c r="F3265" s="46"/>
      <c r="G3265" s="46"/>
    </row>
    <row r="3266" spans="4:7">
      <c r="D3266" s="46"/>
      <c r="E3266" s="46"/>
      <c r="F3266" s="46"/>
      <c r="G3266" s="46"/>
    </row>
    <row r="3267" spans="4:7">
      <c r="D3267" s="46"/>
      <c r="E3267" s="46"/>
      <c r="F3267" s="46"/>
      <c r="G3267" s="46"/>
    </row>
    <row r="3268" spans="4:7">
      <c r="D3268" s="46"/>
      <c r="E3268" s="46"/>
      <c r="F3268" s="46"/>
      <c r="G3268" s="46"/>
    </row>
    <row r="3269" spans="4:7">
      <c r="D3269" s="46"/>
      <c r="E3269" s="46"/>
      <c r="F3269" s="46"/>
      <c r="G3269" s="46"/>
    </row>
    <row r="3270" spans="4:7">
      <c r="D3270" s="46"/>
      <c r="E3270" s="46"/>
      <c r="F3270" s="46"/>
      <c r="G3270" s="46"/>
    </row>
    <row r="3271" spans="4:7">
      <c r="D3271" s="46"/>
      <c r="E3271" s="46"/>
      <c r="F3271" s="46"/>
      <c r="G3271" s="46"/>
    </row>
    <row r="3272" spans="4:7">
      <c r="D3272" s="46"/>
      <c r="E3272" s="46"/>
      <c r="F3272" s="46"/>
      <c r="G3272" s="46"/>
    </row>
    <row r="3273" spans="4:7">
      <c r="D3273" s="46"/>
      <c r="E3273" s="46"/>
      <c r="F3273" s="46"/>
      <c r="G3273" s="46"/>
    </row>
    <row r="3274" spans="4:7">
      <c r="D3274" s="46"/>
      <c r="E3274" s="46"/>
      <c r="F3274" s="46"/>
      <c r="G3274" s="46"/>
    </row>
    <row r="3275" spans="4:7">
      <c r="D3275" s="46"/>
      <c r="E3275" s="46"/>
      <c r="F3275" s="46"/>
      <c r="G3275" s="46"/>
    </row>
    <row r="3276" spans="4:7">
      <c r="D3276" s="46"/>
      <c r="E3276" s="46"/>
      <c r="F3276" s="46"/>
      <c r="G3276" s="46"/>
    </row>
    <row r="3277" spans="4:7">
      <c r="D3277" s="46"/>
      <c r="E3277" s="46"/>
      <c r="F3277" s="46"/>
      <c r="G3277" s="46"/>
    </row>
    <row r="3278" spans="4:7">
      <c r="D3278" s="46"/>
      <c r="E3278" s="46"/>
      <c r="F3278" s="46"/>
      <c r="G3278" s="46"/>
    </row>
    <row r="3279" spans="4:7">
      <c r="D3279" s="46"/>
      <c r="E3279" s="46"/>
      <c r="F3279" s="46"/>
      <c r="G3279" s="46"/>
    </row>
    <row r="3280" spans="4:7">
      <c r="D3280" s="46"/>
      <c r="E3280" s="46"/>
      <c r="F3280" s="46"/>
      <c r="G3280" s="46"/>
    </row>
    <row r="3281" spans="4:7">
      <c r="D3281" s="46"/>
      <c r="E3281" s="46"/>
      <c r="F3281" s="46"/>
      <c r="G3281" s="46"/>
    </row>
    <row r="3282" spans="4:7">
      <c r="D3282" s="46"/>
      <c r="E3282" s="46"/>
      <c r="F3282" s="46"/>
      <c r="G3282" s="46"/>
    </row>
    <row r="3283" spans="4:7">
      <c r="D3283" s="46"/>
      <c r="E3283" s="46"/>
      <c r="F3283" s="46"/>
      <c r="G3283" s="46"/>
    </row>
    <row r="3284" spans="4:7">
      <c r="D3284" s="46"/>
      <c r="E3284" s="46"/>
      <c r="F3284" s="46"/>
      <c r="G3284" s="46"/>
    </row>
    <row r="3285" spans="4:7">
      <c r="D3285" s="46"/>
      <c r="E3285" s="46"/>
      <c r="F3285" s="46"/>
      <c r="G3285" s="46"/>
    </row>
    <row r="3286" spans="4:7">
      <c r="D3286" s="46"/>
      <c r="E3286" s="46"/>
      <c r="F3286" s="46"/>
      <c r="G3286" s="46"/>
    </row>
    <row r="3287" spans="4:7">
      <c r="D3287" s="46"/>
      <c r="E3287" s="46"/>
      <c r="F3287" s="46"/>
      <c r="G3287" s="46"/>
    </row>
    <row r="3288" spans="4:7">
      <c r="D3288" s="46"/>
      <c r="E3288" s="46"/>
      <c r="F3288" s="46"/>
      <c r="G3288" s="46"/>
    </row>
    <row r="3289" spans="4:7">
      <c r="D3289" s="46"/>
      <c r="E3289" s="46"/>
      <c r="F3289" s="46"/>
      <c r="G3289" s="46"/>
    </row>
    <row r="3290" spans="4:7">
      <c r="D3290" s="46"/>
      <c r="E3290" s="46"/>
      <c r="F3290" s="46"/>
      <c r="G3290" s="46"/>
    </row>
    <row r="3291" spans="4:7">
      <c r="D3291" s="46"/>
      <c r="E3291" s="46"/>
      <c r="F3291" s="46"/>
      <c r="G3291" s="46"/>
    </row>
    <row r="3292" spans="4:7">
      <c r="D3292" s="46"/>
      <c r="E3292" s="46"/>
      <c r="F3292" s="46"/>
      <c r="G3292" s="46"/>
    </row>
    <row r="3293" spans="4:7">
      <c r="D3293" s="46"/>
      <c r="E3293" s="46"/>
      <c r="F3293" s="46"/>
      <c r="G3293" s="46"/>
    </row>
    <row r="3294" spans="4:7">
      <c r="D3294" s="46"/>
      <c r="E3294" s="46"/>
      <c r="F3294" s="46"/>
      <c r="G3294" s="46"/>
    </row>
    <row r="3295" spans="4:7">
      <c r="D3295" s="46"/>
      <c r="E3295" s="46"/>
      <c r="F3295" s="46"/>
      <c r="G3295" s="46"/>
    </row>
    <row r="3296" spans="4:7">
      <c r="D3296" s="46"/>
      <c r="E3296" s="46"/>
      <c r="F3296" s="46"/>
      <c r="G3296" s="46"/>
    </row>
    <row r="3297" spans="4:7">
      <c r="D3297" s="46"/>
      <c r="E3297" s="46"/>
      <c r="F3297" s="46"/>
      <c r="G3297" s="46"/>
    </row>
    <row r="3298" spans="4:7">
      <c r="D3298" s="46"/>
      <c r="E3298" s="46"/>
      <c r="F3298" s="46"/>
      <c r="G3298" s="46"/>
    </row>
    <row r="3299" spans="4:7">
      <c r="D3299" s="46"/>
      <c r="E3299" s="46"/>
      <c r="F3299" s="46"/>
      <c r="G3299" s="46"/>
    </row>
    <row r="3300" spans="4:7">
      <c r="D3300" s="46"/>
      <c r="E3300" s="46"/>
      <c r="F3300" s="46"/>
      <c r="G3300" s="46"/>
    </row>
    <row r="3301" spans="4:7">
      <c r="D3301" s="46"/>
      <c r="E3301" s="46"/>
      <c r="F3301" s="46"/>
      <c r="G3301" s="46"/>
    </row>
    <row r="3302" spans="4:7">
      <c r="D3302" s="46"/>
      <c r="E3302" s="46"/>
      <c r="F3302" s="46"/>
      <c r="G3302" s="46"/>
    </row>
    <row r="3303" spans="4:7">
      <c r="D3303" s="46"/>
      <c r="E3303" s="46"/>
      <c r="F3303" s="46"/>
      <c r="G3303" s="46"/>
    </row>
    <row r="3304" spans="4:7">
      <c r="D3304" s="46"/>
      <c r="E3304" s="46"/>
      <c r="F3304" s="46"/>
      <c r="G3304" s="46"/>
    </row>
    <row r="3305" spans="4:7">
      <c r="D3305" s="46"/>
      <c r="E3305" s="46"/>
      <c r="F3305" s="46"/>
      <c r="G3305" s="46"/>
    </row>
    <row r="3306" spans="4:7">
      <c r="D3306" s="46"/>
      <c r="E3306" s="46"/>
      <c r="F3306" s="46"/>
      <c r="G3306" s="46"/>
    </row>
    <row r="3307" spans="4:7">
      <c r="D3307" s="46"/>
      <c r="E3307" s="46"/>
      <c r="F3307" s="46"/>
      <c r="G3307" s="46"/>
    </row>
    <row r="3308" spans="4:7">
      <c r="D3308" s="46"/>
      <c r="E3308" s="46"/>
      <c r="F3308" s="46"/>
      <c r="G3308" s="46"/>
    </row>
    <row r="3309" spans="4:7">
      <c r="D3309" s="46"/>
      <c r="E3309" s="46"/>
      <c r="F3309" s="46"/>
      <c r="G3309" s="46"/>
    </row>
    <row r="3310" spans="4:7">
      <c r="D3310" s="46"/>
      <c r="E3310" s="46"/>
      <c r="F3310" s="46"/>
      <c r="G3310" s="46"/>
    </row>
    <row r="3311" spans="4:7">
      <c r="D3311" s="46"/>
      <c r="E3311" s="46"/>
      <c r="F3311" s="46"/>
      <c r="G3311" s="46"/>
    </row>
    <row r="3312" spans="4:7">
      <c r="D3312" s="46"/>
      <c r="E3312" s="46"/>
      <c r="F3312" s="46"/>
      <c r="G3312" s="46"/>
    </row>
    <row r="3313" spans="4:7">
      <c r="D3313" s="46"/>
      <c r="E3313" s="46"/>
      <c r="F3313" s="46"/>
      <c r="G3313" s="46"/>
    </row>
    <row r="3314" spans="4:7">
      <c r="D3314" s="46"/>
      <c r="E3314" s="46"/>
      <c r="F3314" s="46"/>
      <c r="G3314" s="46"/>
    </row>
    <row r="3315" spans="4:7">
      <c r="D3315" s="46"/>
      <c r="E3315" s="46"/>
      <c r="F3315" s="46"/>
      <c r="G3315" s="46"/>
    </row>
    <row r="3316" spans="4:7">
      <c r="D3316" s="46"/>
      <c r="E3316" s="46"/>
      <c r="F3316" s="46"/>
      <c r="G3316" s="46"/>
    </row>
    <row r="3317" spans="4:7">
      <c r="D3317" s="46"/>
      <c r="E3317" s="46"/>
      <c r="F3317" s="46"/>
      <c r="G3317" s="46"/>
    </row>
    <row r="3318" spans="4:7">
      <c r="D3318" s="46"/>
      <c r="E3318" s="46"/>
      <c r="F3318" s="46"/>
      <c r="G3318" s="46"/>
    </row>
    <row r="3319" spans="4:7">
      <c r="D3319" s="46"/>
      <c r="E3319" s="46"/>
      <c r="F3319" s="46"/>
      <c r="G3319" s="46"/>
    </row>
    <row r="3320" spans="4:7">
      <c r="D3320" s="46"/>
      <c r="E3320" s="46"/>
      <c r="F3320" s="46"/>
      <c r="G3320" s="46"/>
    </row>
    <row r="3321" spans="4:7">
      <c r="D3321" s="46"/>
      <c r="E3321" s="46"/>
      <c r="F3321" s="46"/>
      <c r="G3321" s="46"/>
    </row>
    <row r="3322" spans="4:7">
      <c r="D3322" s="46"/>
      <c r="E3322" s="46"/>
      <c r="F3322" s="46"/>
      <c r="G3322" s="46"/>
    </row>
    <row r="3323" spans="4:7">
      <c r="D3323" s="46"/>
      <c r="E3323" s="46"/>
      <c r="F3323" s="46"/>
      <c r="G3323" s="46"/>
    </row>
    <row r="3324" spans="4:7">
      <c r="D3324" s="46"/>
      <c r="E3324" s="46"/>
      <c r="F3324" s="46"/>
      <c r="G3324" s="46"/>
    </row>
    <row r="3325" spans="4:7">
      <c r="D3325" s="46"/>
      <c r="E3325" s="46"/>
      <c r="F3325" s="46"/>
      <c r="G3325" s="46"/>
    </row>
    <row r="3326" spans="4:7">
      <c r="D3326" s="46"/>
      <c r="E3326" s="46"/>
      <c r="F3326" s="46"/>
      <c r="G3326" s="46"/>
    </row>
    <row r="3327" spans="4:7">
      <c r="D3327" s="46"/>
      <c r="E3327" s="46"/>
      <c r="F3327" s="46"/>
      <c r="G3327" s="46"/>
    </row>
    <row r="3328" spans="4:7">
      <c r="D3328" s="46"/>
      <c r="E3328" s="46"/>
      <c r="F3328" s="46"/>
      <c r="G3328" s="46"/>
    </row>
    <row r="3329" spans="4:7">
      <c r="D3329" s="46"/>
      <c r="E3329" s="46"/>
      <c r="F3329" s="46"/>
      <c r="G3329" s="46"/>
    </row>
    <row r="3330" spans="4:7">
      <c r="D3330" s="46"/>
      <c r="E3330" s="46"/>
      <c r="F3330" s="46"/>
      <c r="G3330" s="46"/>
    </row>
    <row r="3331" spans="4:7">
      <c r="D3331" s="46"/>
      <c r="E3331" s="46"/>
      <c r="F3331" s="46"/>
      <c r="G3331" s="46"/>
    </row>
    <row r="3332" spans="4:7">
      <c r="D3332" s="46"/>
      <c r="E3332" s="46"/>
      <c r="F3332" s="46"/>
      <c r="G3332" s="46"/>
    </row>
    <row r="3333" spans="4:7">
      <c r="D3333" s="46"/>
      <c r="E3333" s="46"/>
      <c r="F3333" s="46"/>
      <c r="G3333" s="46"/>
    </row>
    <row r="3334" spans="4:7">
      <c r="D3334" s="46"/>
      <c r="E3334" s="46"/>
      <c r="F3334" s="46"/>
      <c r="G3334" s="46"/>
    </row>
    <row r="3335" spans="4:7">
      <c r="D3335" s="46"/>
      <c r="E3335" s="46"/>
      <c r="F3335" s="46"/>
      <c r="G3335" s="46"/>
    </row>
    <row r="3336" spans="4:7">
      <c r="D3336" s="46"/>
      <c r="E3336" s="46"/>
      <c r="F3336" s="46"/>
      <c r="G3336" s="46"/>
    </row>
    <row r="3337" spans="4:7">
      <c r="D3337" s="46"/>
      <c r="E3337" s="46"/>
      <c r="F3337" s="46"/>
      <c r="G3337" s="46"/>
    </row>
    <row r="3338" spans="4:7">
      <c r="D3338" s="46"/>
      <c r="E3338" s="46"/>
      <c r="F3338" s="46"/>
      <c r="G3338" s="46"/>
    </row>
    <row r="3339" spans="4:7">
      <c r="D3339" s="46"/>
      <c r="E3339" s="46"/>
      <c r="F3339" s="46"/>
      <c r="G3339" s="46"/>
    </row>
    <row r="3340" spans="4:7">
      <c r="D3340" s="46"/>
      <c r="E3340" s="46"/>
      <c r="F3340" s="46"/>
      <c r="G3340" s="46"/>
    </row>
    <row r="3341" spans="4:7">
      <c r="D3341" s="46"/>
      <c r="E3341" s="46"/>
      <c r="F3341" s="46"/>
      <c r="G3341" s="46"/>
    </row>
    <row r="3342" spans="4:7">
      <c r="D3342" s="46"/>
      <c r="E3342" s="46"/>
      <c r="F3342" s="46"/>
      <c r="G3342" s="46"/>
    </row>
    <row r="3343" spans="4:7">
      <c r="D3343" s="46"/>
      <c r="E3343" s="46"/>
      <c r="F3343" s="46"/>
      <c r="G3343" s="46"/>
    </row>
    <row r="3344" spans="4:7">
      <c r="D3344" s="46"/>
      <c r="E3344" s="46"/>
      <c r="F3344" s="46"/>
      <c r="G3344" s="46"/>
    </row>
    <row r="3345" spans="4:7">
      <c r="D3345" s="46"/>
      <c r="E3345" s="46"/>
      <c r="F3345" s="46"/>
      <c r="G3345" s="46"/>
    </row>
    <row r="3346" spans="4:7">
      <c r="D3346" s="46"/>
      <c r="E3346" s="46"/>
      <c r="F3346" s="46"/>
      <c r="G3346" s="46"/>
    </row>
    <row r="3347" spans="4:7">
      <c r="D3347" s="46"/>
      <c r="E3347" s="46"/>
      <c r="F3347" s="46"/>
      <c r="G3347" s="46"/>
    </row>
    <row r="3348" spans="4:7">
      <c r="D3348" s="46"/>
      <c r="E3348" s="46"/>
      <c r="F3348" s="46"/>
      <c r="G3348" s="46"/>
    </row>
    <row r="3349" spans="4:7">
      <c r="D3349" s="46"/>
      <c r="E3349" s="46"/>
      <c r="F3349" s="46"/>
      <c r="G3349" s="46"/>
    </row>
    <row r="3350" spans="4:7">
      <c r="D3350" s="46"/>
      <c r="E3350" s="46"/>
      <c r="F3350" s="46"/>
      <c r="G3350" s="46"/>
    </row>
    <row r="3351" spans="4:7">
      <c r="D3351" s="46"/>
      <c r="E3351" s="46"/>
      <c r="F3351" s="46"/>
      <c r="G3351" s="46"/>
    </row>
    <row r="3352" spans="4:7">
      <c r="D3352" s="46"/>
      <c r="E3352" s="46"/>
      <c r="F3352" s="46"/>
      <c r="G3352" s="46"/>
    </row>
    <row r="3353" spans="4:7">
      <c r="D3353" s="46"/>
      <c r="E3353" s="46"/>
      <c r="F3353" s="46"/>
      <c r="G3353" s="46"/>
    </row>
    <row r="3354" spans="4:7">
      <c r="D3354" s="46"/>
      <c r="E3354" s="46"/>
      <c r="F3354" s="46"/>
      <c r="G3354" s="46"/>
    </row>
    <row r="3355" spans="4:7">
      <c r="D3355" s="46"/>
      <c r="E3355" s="46"/>
      <c r="F3355" s="46"/>
      <c r="G3355" s="46"/>
    </row>
    <row r="3356" spans="4:7">
      <c r="D3356" s="46"/>
      <c r="E3356" s="46"/>
      <c r="F3356" s="46"/>
      <c r="G3356" s="46"/>
    </row>
    <row r="3357" spans="4:7">
      <c r="D3357" s="46"/>
      <c r="E3357" s="46"/>
      <c r="F3357" s="46"/>
      <c r="G3357" s="46"/>
    </row>
    <row r="3358" spans="4:7">
      <c r="D3358" s="46"/>
      <c r="E3358" s="46"/>
      <c r="F3358" s="46"/>
      <c r="G3358" s="46"/>
    </row>
    <row r="3359" spans="4:7">
      <c r="D3359" s="46"/>
      <c r="E3359" s="46"/>
      <c r="F3359" s="46"/>
      <c r="G3359" s="46"/>
    </row>
    <row r="3360" spans="4:7">
      <c r="D3360" s="46"/>
      <c r="E3360" s="46"/>
      <c r="F3360" s="46"/>
      <c r="G3360" s="46"/>
    </row>
    <row r="3361" spans="4:7">
      <c r="D3361" s="46"/>
      <c r="E3361" s="46"/>
      <c r="F3361" s="46"/>
      <c r="G3361" s="46"/>
    </row>
    <row r="3362" spans="4:7">
      <c r="D3362" s="46"/>
      <c r="E3362" s="46"/>
      <c r="F3362" s="46"/>
      <c r="G3362" s="46"/>
    </row>
    <row r="3363" spans="4:7">
      <c r="D3363" s="46"/>
      <c r="E3363" s="46"/>
      <c r="F3363" s="46"/>
      <c r="G3363" s="46"/>
    </row>
    <row r="3364" spans="4:7">
      <c r="D3364" s="46"/>
      <c r="E3364" s="46"/>
      <c r="F3364" s="46"/>
      <c r="G3364" s="46"/>
    </row>
    <row r="3365" spans="4:7">
      <c r="D3365" s="46"/>
      <c r="E3365" s="46"/>
      <c r="F3365" s="46"/>
      <c r="G3365" s="46"/>
    </row>
    <row r="3366" spans="4:7">
      <c r="D3366" s="46"/>
      <c r="E3366" s="46"/>
      <c r="F3366" s="46"/>
      <c r="G3366" s="46"/>
    </row>
    <row r="3367" spans="4:7">
      <c r="D3367" s="46"/>
      <c r="E3367" s="46"/>
      <c r="F3367" s="46"/>
      <c r="G3367" s="46"/>
    </row>
    <row r="3368" spans="4:7">
      <c r="D3368" s="46"/>
      <c r="E3368" s="46"/>
      <c r="F3368" s="46"/>
      <c r="G3368" s="46"/>
    </row>
    <row r="3369" spans="4:7">
      <c r="D3369" s="46"/>
      <c r="E3369" s="46"/>
      <c r="F3369" s="46"/>
      <c r="G3369" s="46"/>
    </row>
    <row r="3370" spans="4:7">
      <c r="D3370" s="46"/>
      <c r="E3370" s="46"/>
      <c r="F3370" s="46"/>
      <c r="G3370" s="46"/>
    </row>
    <row r="3371" spans="4:7">
      <c r="D3371" s="46"/>
      <c r="E3371" s="46"/>
      <c r="F3371" s="46"/>
      <c r="G3371" s="46"/>
    </row>
    <row r="3372" spans="4:7">
      <c r="D3372" s="46"/>
      <c r="E3372" s="46"/>
      <c r="F3372" s="46"/>
      <c r="G3372" s="46"/>
    </row>
    <row r="3373" spans="4:7">
      <c r="D3373" s="46"/>
      <c r="E3373" s="46"/>
      <c r="F3373" s="46"/>
      <c r="G3373" s="46"/>
    </row>
    <row r="3374" spans="4:7">
      <c r="D3374" s="46"/>
      <c r="E3374" s="46"/>
      <c r="F3374" s="46"/>
      <c r="G3374" s="46"/>
    </row>
    <row r="3375" spans="4:7">
      <c r="D3375" s="46"/>
      <c r="E3375" s="46"/>
      <c r="F3375" s="46"/>
      <c r="G3375" s="46"/>
    </row>
    <row r="3376" spans="4:7">
      <c r="D3376" s="46"/>
      <c r="E3376" s="46"/>
      <c r="F3376" s="46"/>
      <c r="G3376" s="46"/>
    </row>
    <row r="3377" spans="4:7">
      <c r="D3377" s="46"/>
      <c r="E3377" s="46"/>
      <c r="F3377" s="46"/>
      <c r="G3377" s="46"/>
    </row>
    <row r="3378" spans="4:7">
      <c r="D3378" s="46"/>
      <c r="E3378" s="46"/>
      <c r="F3378" s="46"/>
      <c r="G3378" s="46"/>
    </row>
    <row r="3379" spans="4:7">
      <c r="D3379" s="46"/>
      <c r="E3379" s="46"/>
      <c r="F3379" s="46"/>
      <c r="G3379" s="46"/>
    </row>
    <row r="3380" spans="4:7">
      <c r="D3380" s="46"/>
      <c r="E3380" s="46"/>
      <c r="F3380" s="46"/>
      <c r="G3380" s="46"/>
    </row>
    <row r="3381" spans="4:7">
      <c r="D3381" s="46"/>
      <c r="E3381" s="46"/>
      <c r="F3381" s="46"/>
      <c r="G3381" s="46"/>
    </row>
    <row r="3382" spans="4:7">
      <c r="D3382" s="46"/>
      <c r="E3382" s="46"/>
      <c r="F3382" s="46"/>
      <c r="G3382" s="46"/>
    </row>
    <row r="3383" spans="4:7">
      <c r="D3383" s="46"/>
      <c r="E3383" s="46"/>
      <c r="F3383" s="46"/>
      <c r="G3383" s="46"/>
    </row>
    <row r="3384" spans="4:7">
      <c r="D3384" s="46"/>
      <c r="E3384" s="46"/>
      <c r="F3384" s="46"/>
      <c r="G3384" s="46"/>
    </row>
    <row r="3385" spans="4:7">
      <c r="D3385" s="46"/>
      <c r="E3385" s="46"/>
      <c r="F3385" s="46"/>
      <c r="G3385" s="46"/>
    </row>
    <row r="3386" spans="4:7">
      <c r="D3386" s="46"/>
      <c r="E3386" s="46"/>
      <c r="F3386" s="46"/>
      <c r="G3386" s="46"/>
    </row>
    <row r="3387" spans="4:7">
      <c r="D3387" s="46"/>
      <c r="E3387" s="46"/>
      <c r="F3387" s="46"/>
      <c r="G3387" s="46"/>
    </row>
    <row r="3388" spans="4:7">
      <c r="D3388" s="46"/>
      <c r="E3388" s="46"/>
      <c r="F3388" s="46"/>
      <c r="G3388" s="46"/>
    </row>
    <row r="3389" spans="4:7">
      <c r="D3389" s="46"/>
      <c r="E3389" s="46"/>
      <c r="F3389" s="46"/>
      <c r="G3389" s="46"/>
    </row>
    <row r="3390" spans="4:7">
      <c r="D3390" s="46"/>
      <c r="E3390" s="46"/>
      <c r="F3390" s="46"/>
      <c r="G3390" s="46"/>
    </row>
    <row r="3391" spans="4:7">
      <c r="D3391" s="46"/>
      <c r="E3391" s="46"/>
      <c r="F3391" s="46"/>
      <c r="G3391" s="46"/>
    </row>
    <row r="3392" spans="4:7">
      <c r="D3392" s="46"/>
      <c r="E3392" s="46"/>
      <c r="F3392" s="46"/>
      <c r="G3392" s="46"/>
    </row>
    <row r="3393" spans="4:7">
      <c r="D3393" s="46"/>
      <c r="E3393" s="46"/>
      <c r="F3393" s="46"/>
      <c r="G3393" s="46"/>
    </row>
    <row r="3394" spans="4:7">
      <c r="D3394" s="46"/>
      <c r="E3394" s="46"/>
      <c r="F3394" s="46"/>
      <c r="G3394" s="46"/>
    </row>
    <row r="3395" spans="4:7">
      <c r="D3395" s="46"/>
      <c r="E3395" s="46"/>
      <c r="F3395" s="46"/>
      <c r="G3395" s="46"/>
    </row>
    <row r="3396" spans="4:7">
      <c r="D3396" s="46"/>
      <c r="E3396" s="46"/>
      <c r="F3396" s="46"/>
      <c r="G3396" s="46"/>
    </row>
    <row r="3397" spans="4:7">
      <c r="D3397" s="46"/>
      <c r="E3397" s="46"/>
      <c r="F3397" s="46"/>
      <c r="G3397" s="46"/>
    </row>
    <row r="3398" spans="4:7">
      <c r="D3398" s="46"/>
      <c r="E3398" s="46"/>
      <c r="F3398" s="46"/>
      <c r="G3398" s="46"/>
    </row>
    <row r="3399" spans="4:7">
      <c r="D3399" s="46"/>
      <c r="E3399" s="46"/>
      <c r="F3399" s="46"/>
      <c r="G3399" s="46"/>
    </row>
    <row r="3400" spans="4:7">
      <c r="D3400" s="46"/>
      <c r="E3400" s="46"/>
      <c r="F3400" s="46"/>
      <c r="G3400" s="46"/>
    </row>
    <row r="3401" spans="4:7">
      <c r="D3401" s="46"/>
      <c r="E3401" s="46"/>
      <c r="F3401" s="46"/>
      <c r="G3401" s="46"/>
    </row>
    <row r="3402" spans="4:7">
      <c r="D3402" s="46"/>
      <c r="E3402" s="46"/>
      <c r="F3402" s="46"/>
      <c r="G3402" s="46"/>
    </row>
    <row r="3403" spans="4:7">
      <c r="D3403" s="46"/>
      <c r="E3403" s="46"/>
      <c r="F3403" s="46"/>
      <c r="G3403" s="46"/>
    </row>
    <row r="3404" spans="4:7">
      <c r="D3404" s="46"/>
      <c r="E3404" s="46"/>
      <c r="F3404" s="46"/>
      <c r="G3404" s="46"/>
    </row>
    <row r="3405" spans="4:7">
      <c r="D3405" s="46"/>
      <c r="E3405" s="46"/>
      <c r="F3405" s="46"/>
      <c r="G3405" s="46"/>
    </row>
    <row r="3406" spans="4:7">
      <c r="D3406" s="46"/>
      <c r="E3406" s="46"/>
      <c r="F3406" s="46"/>
      <c r="G3406" s="46"/>
    </row>
    <row r="3407" spans="4:7">
      <c r="D3407" s="46"/>
      <c r="E3407" s="46"/>
      <c r="F3407" s="46"/>
      <c r="G3407" s="46"/>
    </row>
    <row r="3408" spans="4:7">
      <c r="D3408" s="46"/>
      <c r="E3408" s="46"/>
      <c r="F3408" s="46"/>
      <c r="G3408" s="46"/>
    </row>
    <row r="3409" spans="4:7">
      <c r="D3409" s="46"/>
      <c r="E3409" s="46"/>
      <c r="F3409" s="46"/>
      <c r="G3409" s="46"/>
    </row>
    <row r="3410" spans="4:7">
      <c r="D3410" s="46"/>
      <c r="E3410" s="46"/>
      <c r="F3410" s="46"/>
      <c r="G3410" s="46"/>
    </row>
    <row r="3411" spans="4:7">
      <c r="D3411" s="46"/>
      <c r="E3411" s="46"/>
      <c r="F3411" s="46"/>
      <c r="G3411" s="46"/>
    </row>
    <row r="3412" spans="4:7">
      <c r="D3412" s="46"/>
      <c r="E3412" s="46"/>
      <c r="F3412" s="46"/>
      <c r="G3412" s="46"/>
    </row>
    <row r="3413" spans="4:7">
      <c r="D3413" s="46"/>
      <c r="E3413" s="46"/>
      <c r="F3413" s="46"/>
      <c r="G3413" s="46"/>
    </row>
    <row r="3414" spans="4:7">
      <c r="D3414" s="46"/>
      <c r="E3414" s="46"/>
      <c r="F3414" s="46"/>
      <c r="G3414" s="46"/>
    </row>
    <row r="3415" spans="4:7">
      <c r="D3415" s="46"/>
      <c r="E3415" s="46"/>
      <c r="F3415" s="46"/>
      <c r="G3415" s="46"/>
    </row>
    <row r="3416" spans="4:7">
      <c r="D3416" s="46"/>
      <c r="E3416" s="46"/>
      <c r="F3416" s="46"/>
      <c r="G3416" s="46"/>
    </row>
    <row r="3417" spans="4:7">
      <c r="D3417" s="46"/>
      <c r="E3417" s="46"/>
      <c r="F3417" s="46"/>
      <c r="G3417" s="46"/>
    </row>
    <row r="3418" spans="4:7">
      <c r="D3418" s="46"/>
      <c r="E3418" s="46"/>
      <c r="F3418" s="46"/>
      <c r="G3418" s="46"/>
    </row>
    <row r="3419" spans="4:7">
      <c r="D3419" s="46"/>
      <c r="E3419" s="46"/>
      <c r="F3419" s="46"/>
      <c r="G3419" s="46"/>
    </row>
    <row r="3420" spans="4:7">
      <c r="D3420" s="46"/>
      <c r="E3420" s="46"/>
      <c r="F3420" s="46"/>
      <c r="G3420" s="46"/>
    </row>
    <row r="3421" spans="4:7">
      <c r="D3421" s="46"/>
      <c r="E3421" s="46"/>
      <c r="F3421" s="46"/>
      <c r="G3421" s="46"/>
    </row>
    <row r="3422" spans="4:7">
      <c r="D3422" s="46"/>
      <c r="E3422" s="46"/>
      <c r="F3422" s="46"/>
      <c r="G3422" s="46"/>
    </row>
    <row r="3423" spans="4:7">
      <c r="D3423" s="46"/>
      <c r="E3423" s="46"/>
      <c r="F3423" s="46"/>
      <c r="G3423" s="46"/>
    </row>
    <row r="3424" spans="4:7">
      <c r="D3424" s="46"/>
      <c r="E3424" s="46"/>
      <c r="F3424" s="46"/>
      <c r="G3424" s="46"/>
    </row>
    <row r="3425" spans="4:7">
      <c r="D3425" s="46"/>
      <c r="E3425" s="46"/>
      <c r="F3425" s="46"/>
      <c r="G3425" s="46"/>
    </row>
    <row r="3426" spans="4:7">
      <c r="D3426" s="46"/>
      <c r="E3426" s="46"/>
      <c r="F3426" s="46"/>
      <c r="G3426" s="46"/>
    </row>
    <row r="3427" spans="4:7">
      <c r="D3427" s="46"/>
      <c r="E3427" s="46"/>
      <c r="F3427" s="46"/>
      <c r="G3427" s="46"/>
    </row>
    <row r="3428" spans="4:7">
      <c r="D3428" s="46"/>
      <c r="E3428" s="46"/>
      <c r="F3428" s="46"/>
      <c r="G3428" s="46"/>
    </row>
    <row r="3429" spans="4:7">
      <c r="D3429" s="46"/>
      <c r="E3429" s="46"/>
      <c r="F3429" s="46"/>
      <c r="G3429" s="46"/>
    </row>
    <row r="3430" spans="4:7">
      <c r="D3430" s="46"/>
      <c r="E3430" s="46"/>
      <c r="F3430" s="46"/>
      <c r="G3430" s="46"/>
    </row>
    <row r="3431" spans="4:7">
      <c r="D3431" s="46"/>
      <c r="E3431" s="46"/>
      <c r="F3431" s="46"/>
      <c r="G3431" s="46"/>
    </row>
    <row r="3432" spans="4:7">
      <c r="D3432" s="46"/>
      <c r="E3432" s="46"/>
      <c r="F3432" s="46"/>
      <c r="G3432" s="46"/>
    </row>
    <row r="3433" spans="4:7">
      <c r="D3433" s="46"/>
      <c r="E3433" s="46"/>
      <c r="F3433" s="46"/>
      <c r="G3433" s="46"/>
    </row>
    <row r="3434" spans="4:7">
      <c r="D3434" s="46"/>
      <c r="E3434" s="46"/>
      <c r="F3434" s="46"/>
      <c r="G3434" s="46"/>
    </row>
    <row r="3435" spans="4:7">
      <c r="D3435" s="46"/>
      <c r="E3435" s="46"/>
      <c r="F3435" s="46"/>
      <c r="G3435" s="46"/>
    </row>
    <row r="3436" spans="4:7">
      <c r="D3436" s="46"/>
      <c r="E3436" s="46"/>
      <c r="F3436" s="46"/>
      <c r="G3436" s="46"/>
    </row>
    <row r="3437" spans="4:7">
      <c r="D3437" s="46"/>
      <c r="E3437" s="46"/>
      <c r="F3437" s="46"/>
      <c r="G3437" s="46"/>
    </row>
    <row r="3438" spans="4:7">
      <c r="D3438" s="46"/>
      <c r="E3438" s="46"/>
      <c r="F3438" s="46"/>
      <c r="G3438" s="46"/>
    </row>
    <row r="3439" spans="4:7">
      <c r="D3439" s="46"/>
      <c r="E3439" s="46"/>
      <c r="F3439" s="46"/>
      <c r="G3439" s="46"/>
    </row>
    <row r="3440" spans="4:7">
      <c r="D3440" s="46"/>
      <c r="E3440" s="46"/>
      <c r="F3440" s="46"/>
      <c r="G3440" s="46"/>
    </row>
    <row r="3441" spans="4:7">
      <c r="D3441" s="46"/>
      <c r="E3441" s="46"/>
      <c r="F3441" s="46"/>
      <c r="G3441" s="46"/>
    </row>
    <row r="3442" spans="4:7">
      <c r="D3442" s="46"/>
      <c r="E3442" s="46"/>
      <c r="F3442" s="46"/>
      <c r="G3442" s="46"/>
    </row>
    <row r="3443" spans="4:7">
      <c r="D3443" s="46"/>
      <c r="E3443" s="46"/>
      <c r="F3443" s="46"/>
      <c r="G3443" s="46"/>
    </row>
    <row r="3444" spans="4:7">
      <c r="D3444" s="46"/>
      <c r="E3444" s="46"/>
      <c r="F3444" s="46"/>
      <c r="G3444" s="46"/>
    </row>
    <row r="3445" spans="4:7">
      <c r="D3445" s="46"/>
      <c r="E3445" s="46"/>
      <c r="F3445" s="46"/>
      <c r="G3445" s="46"/>
    </row>
    <row r="3446" spans="4:7">
      <c r="D3446" s="46"/>
      <c r="E3446" s="46"/>
      <c r="F3446" s="46"/>
      <c r="G3446" s="46"/>
    </row>
    <row r="3447" spans="4:7">
      <c r="D3447" s="46"/>
      <c r="E3447" s="46"/>
      <c r="F3447" s="46"/>
      <c r="G3447" s="46"/>
    </row>
    <row r="3448" spans="4:7">
      <c r="D3448" s="46"/>
      <c r="E3448" s="46"/>
      <c r="F3448" s="46"/>
      <c r="G3448" s="46"/>
    </row>
    <row r="3449" spans="4:7">
      <c r="D3449" s="46"/>
      <c r="E3449" s="46"/>
      <c r="F3449" s="46"/>
      <c r="G3449" s="46"/>
    </row>
    <row r="3450" spans="4:7">
      <c r="D3450" s="46"/>
      <c r="E3450" s="46"/>
      <c r="F3450" s="46"/>
      <c r="G3450" s="46"/>
    </row>
    <row r="3451" spans="4:7">
      <c r="D3451" s="46"/>
      <c r="E3451" s="46"/>
      <c r="F3451" s="46"/>
      <c r="G3451" s="46"/>
    </row>
    <row r="3452" spans="4:7">
      <c r="D3452" s="46"/>
      <c r="E3452" s="46"/>
      <c r="F3452" s="46"/>
      <c r="G3452" s="46"/>
    </row>
    <row r="3453" spans="4:7">
      <c r="D3453" s="46"/>
      <c r="E3453" s="46"/>
      <c r="F3453" s="46"/>
      <c r="G3453" s="46"/>
    </row>
    <row r="3454" spans="4:7">
      <c r="D3454" s="46"/>
      <c r="E3454" s="46"/>
      <c r="F3454" s="46"/>
      <c r="G3454" s="46"/>
    </row>
    <row r="3455" spans="4:7">
      <c r="D3455" s="46"/>
      <c r="E3455" s="46"/>
      <c r="F3455" s="46"/>
      <c r="G3455" s="46"/>
    </row>
    <row r="3456" spans="4:7">
      <c r="D3456" s="46"/>
      <c r="E3456" s="46"/>
      <c r="F3456" s="46"/>
      <c r="G3456" s="46"/>
    </row>
    <row r="3457" spans="4:7">
      <c r="D3457" s="46"/>
      <c r="E3457" s="46"/>
      <c r="F3457" s="46"/>
      <c r="G3457" s="46"/>
    </row>
    <row r="3458" spans="4:7">
      <c r="D3458" s="46"/>
      <c r="E3458" s="46"/>
      <c r="F3458" s="46"/>
      <c r="G3458" s="46"/>
    </row>
    <row r="3459" spans="4:7">
      <c r="D3459" s="46"/>
      <c r="E3459" s="46"/>
      <c r="F3459" s="46"/>
      <c r="G3459" s="46"/>
    </row>
    <row r="3460" spans="4:7">
      <c r="D3460" s="46"/>
      <c r="E3460" s="46"/>
      <c r="F3460" s="46"/>
      <c r="G3460" s="46"/>
    </row>
    <row r="3461" spans="4:7">
      <c r="D3461" s="46"/>
      <c r="E3461" s="46"/>
      <c r="F3461" s="46"/>
      <c r="G3461" s="46"/>
    </row>
    <row r="3462" spans="4:7">
      <c r="D3462" s="46"/>
      <c r="E3462" s="46"/>
      <c r="F3462" s="46"/>
      <c r="G3462" s="46"/>
    </row>
    <row r="3463" spans="4:7">
      <c r="D3463" s="46"/>
      <c r="E3463" s="46"/>
      <c r="F3463" s="46"/>
      <c r="G3463" s="46"/>
    </row>
    <row r="3464" spans="4:7">
      <c r="D3464" s="46"/>
      <c r="E3464" s="46"/>
      <c r="F3464" s="46"/>
      <c r="G3464" s="46"/>
    </row>
    <row r="3465" spans="4:7">
      <c r="D3465" s="46"/>
      <c r="E3465" s="46"/>
      <c r="F3465" s="46"/>
      <c r="G3465" s="46"/>
    </row>
    <row r="3466" spans="4:7">
      <c r="D3466" s="46"/>
      <c r="E3466" s="46"/>
      <c r="F3466" s="46"/>
      <c r="G3466" s="46"/>
    </row>
    <row r="3467" spans="4:7">
      <c r="D3467" s="46"/>
      <c r="E3467" s="46"/>
      <c r="F3467" s="46"/>
      <c r="G3467" s="46"/>
    </row>
    <row r="3468" spans="4:7">
      <c r="D3468" s="46"/>
      <c r="E3468" s="46"/>
      <c r="F3468" s="46"/>
      <c r="G3468" s="46"/>
    </row>
    <row r="3469" spans="4:7">
      <c r="D3469" s="46"/>
      <c r="E3469" s="46"/>
      <c r="F3469" s="46"/>
      <c r="G3469" s="46"/>
    </row>
    <row r="3470" spans="4:7">
      <c r="D3470" s="46"/>
      <c r="E3470" s="46"/>
      <c r="F3470" s="46"/>
      <c r="G3470" s="46"/>
    </row>
    <row r="3471" spans="4:7">
      <c r="D3471" s="46"/>
      <c r="E3471" s="46"/>
      <c r="F3471" s="46"/>
      <c r="G3471" s="46"/>
    </row>
    <row r="3472" spans="4:7">
      <c r="D3472" s="46"/>
      <c r="E3472" s="46"/>
      <c r="F3472" s="46"/>
      <c r="G3472" s="46"/>
    </row>
    <row r="3473" spans="4:7">
      <c r="D3473" s="46"/>
      <c r="E3473" s="46"/>
      <c r="F3473" s="46"/>
      <c r="G3473" s="46"/>
    </row>
    <row r="3474" spans="4:7">
      <c r="D3474" s="46"/>
      <c r="E3474" s="46"/>
      <c r="F3474" s="46"/>
      <c r="G3474" s="46"/>
    </row>
    <row r="3475" spans="4:7">
      <c r="D3475" s="46"/>
      <c r="E3475" s="46"/>
      <c r="F3475" s="46"/>
      <c r="G3475" s="46"/>
    </row>
    <row r="3476" spans="4:7">
      <c r="D3476" s="46"/>
      <c r="E3476" s="46"/>
      <c r="F3476" s="46"/>
      <c r="G3476" s="46"/>
    </row>
    <row r="3477" spans="4:7">
      <c r="D3477" s="46"/>
      <c r="E3477" s="46"/>
      <c r="F3477" s="46"/>
      <c r="G3477" s="46"/>
    </row>
    <row r="3478" spans="4:7">
      <c r="D3478" s="46"/>
      <c r="E3478" s="46"/>
      <c r="F3478" s="46"/>
      <c r="G3478" s="46"/>
    </row>
    <row r="3479" spans="4:7">
      <c r="D3479" s="46"/>
      <c r="E3479" s="46"/>
      <c r="F3479" s="46"/>
      <c r="G3479" s="46"/>
    </row>
    <row r="3480" spans="4:7">
      <c r="D3480" s="46"/>
      <c r="E3480" s="46"/>
      <c r="F3480" s="46"/>
      <c r="G3480" s="46"/>
    </row>
    <row r="3481" spans="4:7">
      <c r="D3481" s="46"/>
      <c r="E3481" s="46"/>
      <c r="F3481" s="46"/>
      <c r="G3481" s="46"/>
    </row>
    <row r="3482" spans="4:7">
      <c r="D3482" s="46"/>
      <c r="E3482" s="46"/>
      <c r="F3482" s="46"/>
      <c r="G3482" s="46"/>
    </row>
    <row r="3483" spans="4:7">
      <c r="D3483" s="46"/>
      <c r="E3483" s="46"/>
      <c r="F3483" s="46"/>
      <c r="G3483" s="46"/>
    </row>
    <row r="3484" spans="4:7">
      <c r="D3484" s="46"/>
      <c r="E3484" s="46"/>
      <c r="F3484" s="46"/>
      <c r="G3484" s="46"/>
    </row>
    <row r="3485" spans="4:7">
      <c r="D3485" s="46"/>
      <c r="E3485" s="46"/>
      <c r="F3485" s="46"/>
      <c r="G3485" s="46"/>
    </row>
    <row r="3486" spans="4:7">
      <c r="D3486" s="46"/>
      <c r="E3486" s="46"/>
      <c r="F3486" s="46"/>
      <c r="G3486" s="46"/>
    </row>
    <row r="3487" spans="4:7">
      <c r="D3487" s="46"/>
      <c r="E3487" s="46"/>
      <c r="F3487" s="46"/>
      <c r="G3487" s="46"/>
    </row>
    <row r="3488" spans="4:7">
      <c r="D3488" s="46"/>
      <c r="E3488" s="46"/>
      <c r="F3488" s="46"/>
      <c r="G3488" s="46"/>
    </row>
    <row r="3489" spans="4:7">
      <c r="D3489" s="46"/>
      <c r="E3489" s="46"/>
      <c r="F3489" s="46"/>
      <c r="G3489" s="46"/>
    </row>
    <row r="3490" spans="4:7">
      <c r="D3490" s="46"/>
      <c r="E3490" s="46"/>
      <c r="F3490" s="46"/>
      <c r="G3490" s="46"/>
    </row>
    <row r="3491" spans="4:7">
      <c r="D3491" s="46"/>
      <c r="E3491" s="46"/>
      <c r="F3491" s="46"/>
      <c r="G3491" s="46"/>
    </row>
    <row r="3492" spans="4:7">
      <c r="D3492" s="46"/>
      <c r="E3492" s="46"/>
      <c r="F3492" s="46"/>
      <c r="G3492" s="46"/>
    </row>
    <row r="3493" spans="4:7">
      <c r="D3493" s="46"/>
      <c r="E3493" s="46"/>
      <c r="F3493" s="46"/>
      <c r="G3493" s="46"/>
    </row>
    <row r="3494" spans="4:7">
      <c r="D3494" s="46"/>
      <c r="E3494" s="46"/>
      <c r="F3494" s="46"/>
      <c r="G3494" s="46"/>
    </row>
    <row r="3495" spans="4:7">
      <c r="D3495" s="46"/>
      <c r="E3495" s="46"/>
      <c r="F3495" s="46"/>
      <c r="G3495" s="46"/>
    </row>
    <row r="3496" spans="4:7">
      <c r="D3496" s="46"/>
      <c r="E3496" s="46"/>
      <c r="F3496" s="46"/>
      <c r="G3496" s="46"/>
    </row>
    <row r="3497" spans="4:7">
      <c r="D3497" s="46"/>
      <c r="E3497" s="46"/>
      <c r="F3497" s="46"/>
      <c r="G3497" s="46"/>
    </row>
    <row r="3498" spans="4:7">
      <c r="D3498" s="46"/>
      <c r="E3498" s="46"/>
      <c r="F3498" s="46"/>
      <c r="G3498" s="46"/>
    </row>
    <row r="3499" spans="4:7">
      <c r="D3499" s="46"/>
      <c r="E3499" s="46"/>
      <c r="F3499" s="46"/>
      <c r="G3499" s="46"/>
    </row>
    <row r="3500" spans="4:7">
      <c r="D3500" s="46"/>
      <c r="E3500" s="46"/>
      <c r="F3500" s="46"/>
      <c r="G3500" s="46"/>
    </row>
    <row r="3501" spans="4:7">
      <c r="D3501" s="46"/>
      <c r="E3501" s="46"/>
      <c r="F3501" s="46"/>
      <c r="G3501" s="46"/>
    </row>
    <row r="3502" spans="4:7">
      <c r="D3502" s="46"/>
      <c r="E3502" s="46"/>
      <c r="F3502" s="46"/>
      <c r="G3502" s="46"/>
    </row>
    <row r="3503" spans="4:7">
      <c r="D3503" s="46"/>
      <c r="E3503" s="46"/>
      <c r="F3503" s="46"/>
      <c r="G3503" s="46"/>
    </row>
    <row r="3504" spans="4:7">
      <c r="D3504" s="46"/>
      <c r="E3504" s="46"/>
      <c r="F3504" s="46"/>
      <c r="G3504" s="46"/>
    </row>
    <row r="3505" spans="4:7">
      <c r="D3505" s="46"/>
      <c r="E3505" s="46"/>
      <c r="F3505" s="46"/>
      <c r="G3505" s="46"/>
    </row>
    <row r="3506" spans="4:7">
      <c r="D3506" s="46"/>
      <c r="E3506" s="46"/>
      <c r="F3506" s="46"/>
      <c r="G3506" s="46"/>
    </row>
    <row r="3507" spans="4:7">
      <c r="D3507" s="46"/>
      <c r="E3507" s="46"/>
      <c r="F3507" s="46"/>
      <c r="G3507" s="46"/>
    </row>
    <row r="3508" spans="4:7">
      <c r="D3508" s="46"/>
      <c r="E3508" s="46"/>
      <c r="F3508" s="46"/>
      <c r="G3508" s="46"/>
    </row>
    <row r="3509" spans="4:7">
      <c r="D3509" s="46"/>
      <c r="E3509" s="46"/>
      <c r="F3509" s="46"/>
      <c r="G3509" s="46"/>
    </row>
    <row r="3510" spans="4:7">
      <c r="D3510" s="46"/>
      <c r="E3510" s="46"/>
      <c r="F3510" s="46"/>
      <c r="G3510" s="46"/>
    </row>
    <row r="3511" spans="4:7">
      <c r="D3511" s="46"/>
      <c r="E3511" s="46"/>
      <c r="F3511" s="46"/>
      <c r="G3511" s="46"/>
    </row>
    <row r="3512" spans="4:7">
      <c r="D3512" s="46"/>
      <c r="E3512" s="46"/>
      <c r="F3512" s="46"/>
      <c r="G3512" s="46"/>
    </row>
    <row r="3513" spans="4:7">
      <c r="D3513" s="46"/>
      <c r="E3513" s="46"/>
      <c r="F3513" s="46"/>
      <c r="G3513" s="46"/>
    </row>
    <row r="3514" spans="4:7">
      <c r="D3514" s="46"/>
      <c r="E3514" s="46"/>
      <c r="F3514" s="46"/>
      <c r="G3514" s="46"/>
    </row>
    <row r="3515" spans="4:7">
      <c r="D3515" s="46"/>
      <c r="E3515" s="46"/>
      <c r="F3515" s="46"/>
      <c r="G3515" s="46"/>
    </row>
    <row r="3516" spans="4:7">
      <c r="D3516" s="46"/>
      <c r="E3516" s="46"/>
      <c r="F3516" s="46"/>
      <c r="G3516" s="46"/>
    </row>
    <row r="3517" spans="4:7">
      <c r="D3517" s="46"/>
      <c r="E3517" s="46"/>
      <c r="F3517" s="46"/>
      <c r="G3517" s="46"/>
    </row>
    <row r="3518" spans="4:7">
      <c r="D3518" s="46"/>
      <c r="E3518" s="46"/>
      <c r="F3518" s="46"/>
      <c r="G3518" s="46"/>
    </row>
    <row r="3519" spans="4:7">
      <c r="D3519" s="46"/>
      <c r="E3519" s="46"/>
      <c r="F3519" s="46"/>
      <c r="G3519" s="46"/>
    </row>
    <row r="3520" spans="4:7">
      <c r="D3520" s="46"/>
      <c r="E3520" s="46"/>
      <c r="F3520" s="46"/>
      <c r="G3520" s="46"/>
    </row>
    <row r="3521" spans="4:7">
      <c r="D3521" s="46"/>
      <c r="E3521" s="46"/>
      <c r="F3521" s="46"/>
      <c r="G3521" s="46"/>
    </row>
    <row r="3522" spans="4:7">
      <c r="D3522" s="46"/>
      <c r="E3522" s="46"/>
      <c r="F3522" s="46"/>
      <c r="G3522" s="46"/>
    </row>
    <row r="3523" spans="4:7">
      <c r="D3523" s="46"/>
      <c r="E3523" s="46"/>
      <c r="F3523" s="46"/>
      <c r="G3523" s="46"/>
    </row>
    <row r="3524" spans="4:7">
      <c r="D3524" s="46"/>
      <c r="E3524" s="46"/>
      <c r="F3524" s="46"/>
      <c r="G3524" s="46"/>
    </row>
    <row r="3525" spans="4:7">
      <c r="D3525" s="46"/>
      <c r="E3525" s="46"/>
      <c r="F3525" s="46"/>
      <c r="G3525" s="46"/>
    </row>
    <row r="3526" spans="4:7">
      <c r="D3526" s="46"/>
      <c r="E3526" s="46"/>
      <c r="F3526" s="46"/>
      <c r="G3526" s="46"/>
    </row>
    <row r="3527" spans="4:7">
      <c r="D3527" s="46"/>
      <c r="E3527" s="46"/>
      <c r="F3527" s="46"/>
      <c r="G3527" s="46"/>
    </row>
    <row r="3528" spans="4:7">
      <c r="D3528" s="46"/>
      <c r="E3528" s="46"/>
      <c r="F3528" s="46"/>
      <c r="G3528" s="46"/>
    </row>
    <row r="3529" spans="4:7">
      <c r="D3529" s="46"/>
      <c r="E3529" s="46"/>
      <c r="F3529" s="46"/>
      <c r="G3529" s="46"/>
    </row>
    <row r="3530" spans="4:7">
      <c r="D3530" s="46"/>
      <c r="E3530" s="46"/>
      <c r="F3530" s="46"/>
      <c r="G3530" s="46"/>
    </row>
    <row r="3531" spans="4:7">
      <c r="D3531" s="46"/>
      <c r="E3531" s="46"/>
      <c r="F3531" s="46"/>
      <c r="G3531" s="46"/>
    </row>
    <row r="3532" spans="4:7">
      <c r="D3532" s="46"/>
      <c r="E3532" s="46"/>
      <c r="F3532" s="46"/>
      <c r="G3532" s="46"/>
    </row>
    <row r="3533" spans="4:7">
      <c r="D3533" s="46"/>
      <c r="E3533" s="46"/>
      <c r="F3533" s="46"/>
      <c r="G3533" s="46"/>
    </row>
    <row r="3534" spans="4:7">
      <c r="D3534" s="46"/>
      <c r="E3534" s="46"/>
      <c r="F3534" s="46"/>
      <c r="G3534" s="46"/>
    </row>
    <row r="3535" spans="4:7">
      <c r="D3535" s="46"/>
      <c r="E3535" s="46"/>
      <c r="F3535" s="46"/>
      <c r="G3535" s="46"/>
    </row>
    <row r="3536" spans="4:7">
      <c r="D3536" s="46"/>
      <c r="E3536" s="46"/>
      <c r="F3536" s="46"/>
      <c r="G3536" s="46"/>
    </row>
    <row r="3537" spans="4:7">
      <c r="D3537" s="46"/>
      <c r="E3537" s="46"/>
      <c r="F3537" s="46"/>
      <c r="G3537" s="46"/>
    </row>
    <row r="3538" spans="4:7">
      <c r="D3538" s="46"/>
      <c r="E3538" s="46"/>
      <c r="F3538" s="46"/>
      <c r="G3538" s="46"/>
    </row>
    <row r="3539" spans="4:7">
      <c r="D3539" s="46"/>
      <c r="E3539" s="46"/>
      <c r="F3539" s="46"/>
      <c r="G3539" s="46"/>
    </row>
    <row r="3540" spans="4:7">
      <c r="D3540" s="46"/>
      <c r="E3540" s="46"/>
      <c r="F3540" s="46"/>
      <c r="G3540" s="46"/>
    </row>
    <row r="3541" spans="4:7">
      <c r="D3541" s="46"/>
      <c r="E3541" s="46"/>
      <c r="F3541" s="46"/>
      <c r="G3541" s="46"/>
    </row>
    <row r="3542" spans="4:7">
      <c r="D3542" s="46"/>
      <c r="E3542" s="46"/>
      <c r="F3542" s="46"/>
      <c r="G3542" s="46"/>
    </row>
    <row r="3543" spans="4:7">
      <c r="D3543" s="46"/>
      <c r="E3543" s="46"/>
      <c r="F3543" s="46"/>
      <c r="G3543" s="46"/>
    </row>
    <row r="3544" spans="4:7">
      <c r="D3544" s="46"/>
      <c r="E3544" s="46"/>
      <c r="F3544" s="46"/>
      <c r="G3544" s="46"/>
    </row>
    <row r="3545" spans="4:7">
      <c r="D3545" s="46"/>
      <c r="E3545" s="46"/>
      <c r="F3545" s="46"/>
      <c r="G3545" s="46"/>
    </row>
    <row r="3546" spans="4:7">
      <c r="D3546" s="46"/>
      <c r="E3546" s="46"/>
      <c r="F3546" s="46"/>
      <c r="G3546" s="46"/>
    </row>
    <row r="3547" spans="4:7">
      <c r="D3547" s="46"/>
      <c r="E3547" s="46"/>
      <c r="F3547" s="46"/>
      <c r="G3547" s="46"/>
    </row>
    <row r="3548" spans="4:7">
      <c r="D3548" s="46"/>
      <c r="E3548" s="46"/>
      <c r="F3548" s="46"/>
      <c r="G3548" s="46"/>
    </row>
    <row r="3549" spans="4:7">
      <c r="D3549" s="46"/>
      <c r="E3549" s="46"/>
      <c r="F3549" s="46"/>
      <c r="G3549" s="46"/>
    </row>
    <row r="3550" spans="4:7">
      <c r="D3550" s="46"/>
      <c r="E3550" s="46"/>
      <c r="F3550" s="46"/>
      <c r="G3550" s="46"/>
    </row>
    <row r="3551" spans="4:7">
      <c r="D3551" s="46"/>
      <c r="E3551" s="46"/>
      <c r="F3551" s="46"/>
      <c r="G3551" s="46"/>
    </row>
    <row r="3552" spans="4:7">
      <c r="D3552" s="46"/>
      <c r="E3552" s="46"/>
      <c r="F3552" s="46"/>
      <c r="G3552" s="46"/>
    </row>
    <row r="3553" spans="4:7">
      <c r="D3553" s="46"/>
      <c r="E3553" s="46"/>
      <c r="F3553" s="46"/>
      <c r="G3553" s="46"/>
    </row>
    <row r="3554" spans="4:7">
      <c r="D3554" s="46"/>
      <c r="E3554" s="46"/>
      <c r="F3554" s="46"/>
      <c r="G3554" s="46"/>
    </row>
    <row r="3555" spans="4:7">
      <c r="D3555" s="46"/>
      <c r="E3555" s="46"/>
      <c r="F3555" s="46"/>
      <c r="G3555" s="46"/>
    </row>
    <row r="3556" spans="4:7">
      <c r="D3556" s="46"/>
      <c r="E3556" s="46"/>
      <c r="F3556" s="46"/>
      <c r="G3556" s="46"/>
    </row>
    <row r="3557" spans="4:7">
      <c r="D3557" s="46"/>
      <c r="E3557" s="46"/>
      <c r="F3557" s="46"/>
      <c r="G3557" s="46"/>
    </row>
    <row r="3558" spans="4:7">
      <c r="D3558" s="46"/>
      <c r="E3558" s="46"/>
      <c r="F3558" s="46"/>
      <c r="G3558" s="46"/>
    </row>
    <row r="3559" spans="4:7">
      <c r="D3559" s="46"/>
      <c r="E3559" s="46"/>
      <c r="F3559" s="46"/>
      <c r="G3559" s="46"/>
    </row>
    <row r="3560" spans="4:7">
      <c r="D3560" s="46"/>
      <c r="E3560" s="46"/>
      <c r="F3560" s="46"/>
      <c r="G3560" s="46"/>
    </row>
    <row r="3561" spans="4:7">
      <c r="D3561" s="46"/>
      <c r="E3561" s="46"/>
      <c r="F3561" s="46"/>
      <c r="G3561" s="46"/>
    </row>
    <row r="3562" spans="4:7">
      <c r="D3562" s="46"/>
      <c r="E3562" s="46"/>
      <c r="F3562" s="46"/>
      <c r="G3562" s="46"/>
    </row>
    <row r="3563" spans="4:7">
      <c r="D3563" s="46"/>
      <c r="E3563" s="46"/>
      <c r="F3563" s="46"/>
      <c r="G3563" s="46"/>
    </row>
    <row r="3564" spans="4:7">
      <c r="D3564" s="46"/>
      <c r="E3564" s="46"/>
      <c r="F3564" s="46"/>
      <c r="G3564" s="46"/>
    </row>
    <row r="3565" spans="4:7">
      <c r="D3565" s="46"/>
      <c r="E3565" s="46"/>
      <c r="F3565" s="46"/>
      <c r="G3565" s="46"/>
    </row>
    <row r="3566" spans="4:7">
      <c r="D3566" s="46"/>
      <c r="E3566" s="46"/>
      <c r="F3566" s="46"/>
      <c r="G3566" s="46"/>
    </row>
    <row r="3567" spans="4:7">
      <c r="D3567" s="46"/>
      <c r="E3567" s="46"/>
      <c r="F3567" s="46"/>
      <c r="G3567" s="46"/>
    </row>
    <row r="3568" spans="4:7">
      <c r="D3568" s="46"/>
      <c r="E3568" s="46"/>
      <c r="F3568" s="46"/>
      <c r="G3568" s="46"/>
    </row>
    <row r="3569" spans="4:7">
      <c r="D3569" s="46"/>
      <c r="E3569" s="46"/>
      <c r="F3569" s="46"/>
      <c r="G3569" s="46"/>
    </row>
    <row r="3570" spans="4:7">
      <c r="D3570" s="46"/>
      <c r="E3570" s="46"/>
      <c r="F3570" s="46"/>
      <c r="G3570" s="46"/>
    </row>
    <row r="3571" spans="4:7">
      <c r="D3571" s="46"/>
      <c r="E3571" s="46"/>
      <c r="F3571" s="46"/>
      <c r="G3571" s="46"/>
    </row>
    <row r="3572" spans="4:7">
      <c r="D3572" s="46"/>
      <c r="E3572" s="46"/>
      <c r="F3572" s="46"/>
      <c r="G3572" s="46"/>
    </row>
    <row r="3573" spans="4:7">
      <c r="D3573" s="46"/>
      <c r="E3573" s="46"/>
      <c r="F3573" s="46"/>
      <c r="G3573" s="46"/>
    </row>
    <row r="3574" spans="4:7">
      <c r="D3574" s="46"/>
      <c r="E3574" s="46"/>
      <c r="F3574" s="46"/>
      <c r="G3574" s="46"/>
    </row>
    <row r="3575" spans="4:7">
      <c r="D3575" s="46"/>
      <c r="E3575" s="46"/>
      <c r="F3575" s="46"/>
      <c r="G3575" s="46"/>
    </row>
    <row r="3576" spans="4:7">
      <c r="D3576" s="46"/>
      <c r="E3576" s="46"/>
      <c r="F3576" s="46"/>
      <c r="G3576" s="46"/>
    </row>
    <row r="3577" spans="4:7">
      <c r="D3577" s="46"/>
      <c r="E3577" s="46"/>
      <c r="F3577" s="46"/>
      <c r="G3577" s="46"/>
    </row>
    <row r="3578" spans="4:7">
      <c r="D3578" s="46"/>
      <c r="E3578" s="46"/>
      <c r="F3578" s="46"/>
      <c r="G3578" s="46"/>
    </row>
    <row r="3579" spans="4:7">
      <c r="D3579" s="46"/>
      <c r="E3579" s="46"/>
      <c r="F3579" s="46"/>
      <c r="G3579" s="46"/>
    </row>
    <row r="3580" spans="4:7">
      <c r="D3580" s="46"/>
      <c r="E3580" s="46"/>
      <c r="F3580" s="46"/>
      <c r="G3580" s="46"/>
    </row>
    <row r="3581" spans="4:7">
      <c r="D3581" s="46"/>
      <c r="E3581" s="46"/>
      <c r="F3581" s="46"/>
      <c r="G3581" s="46"/>
    </row>
    <row r="3582" spans="4:7">
      <c r="D3582" s="46"/>
      <c r="E3582" s="46"/>
      <c r="F3582" s="46"/>
      <c r="G3582" s="46"/>
    </row>
    <row r="3583" spans="4:7">
      <c r="D3583" s="46"/>
      <c r="E3583" s="46"/>
      <c r="F3583" s="46"/>
      <c r="G3583" s="46"/>
    </row>
    <row r="3584" spans="4:7">
      <c r="D3584" s="46"/>
      <c r="E3584" s="46"/>
      <c r="F3584" s="46"/>
      <c r="G3584" s="46"/>
    </row>
    <row r="3585" spans="4:7">
      <c r="D3585" s="46"/>
      <c r="E3585" s="46"/>
      <c r="F3585" s="46"/>
      <c r="G3585" s="46"/>
    </row>
    <row r="3586" spans="4:7">
      <c r="D3586" s="46"/>
      <c r="E3586" s="46"/>
      <c r="F3586" s="46"/>
      <c r="G3586" s="46"/>
    </row>
    <row r="3587" spans="4:7">
      <c r="D3587" s="46"/>
      <c r="E3587" s="46"/>
      <c r="F3587" s="46"/>
      <c r="G3587" s="46"/>
    </row>
    <row r="3588" spans="4:7">
      <c r="D3588" s="46"/>
      <c r="E3588" s="46"/>
      <c r="F3588" s="46"/>
      <c r="G3588" s="46"/>
    </row>
    <row r="3589" spans="4:7">
      <c r="D3589" s="46"/>
      <c r="E3589" s="46"/>
      <c r="F3589" s="46"/>
      <c r="G3589" s="46"/>
    </row>
    <row r="3590" spans="4:7">
      <c r="D3590" s="46"/>
      <c r="E3590" s="46"/>
      <c r="F3590" s="46"/>
      <c r="G3590" s="46"/>
    </row>
    <row r="3591" spans="4:7">
      <c r="D3591" s="46"/>
      <c r="E3591" s="46"/>
      <c r="F3591" s="46"/>
      <c r="G3591" s="46"/>
    </row>
    <row r="3592" spans="4:7">
      <c r="D3592" s="46"/>
      <c r="E3592" s="46"/>
      <c r="F3592" s="46"/>
      <c r="G3592" s="46"/>
    </row>
    <row r="3593" spans="4:7">
      <c r="D3593" s="46"/>
      <c r="E3593" s="46"/>
      <c r="F3593" s="46"/>
      <c r="G3593" s="46"/>
    </row>
    <row r="3594" spans="4:7">
      <c r="D3594" s="46"/>
      <c r="E3594" s="46"/>
      <c r="F3594" s="46"/>
      <c r="G3594" s="46"/>
    </row>
    <row r="3595" spans="4:7">
      <c r="D3595" s="46"/>
      <c r="E3595" s="46"/>
      <c r="F3595" s="46"/>
      <c r="G3595" s="46"/>
    </row>
    <row r="3596" spans="4:7">
      <c r="D3596" s="46"/>
      <c r="E3596" s="46"/>
      <c r="F3596" s="46"/>
      <c r="G3596" s="46"/>
    </row>
    <row r="3597" spans="4:7">
      <c r="D3597" s="46"/>
      <c r="E3597" s="46"/>
      <c r="F3597" s="46"/>
      <c r="G3597" s="46"/>
    </row>
    <row r="3598" spans="4:7">
      <c r="D3598" s="46"/>
      <c r="E3598" s="46"/>
      <c r="F3598" s="46"/>
      <c r="G3598" s="46"/>
    </row>
    <row r="3599" spans="4:7">
      <c r="D3599" s="46"/>
      <c r="E3599" s="46"/>
      <c r="F3599" s="46"/>
      <c r="G3599" s="46"/>
    </row>
    <row r="3600" spans="4:7">
      <c r="D3600" s="46"/>
      <c r="E3600" s="46"/>
      <c r="F3600" s="46"/>
      <c r="G3600" s="46"/>
    </row>
    <row r="3601" spans="4:7">
      <c r="D3601" s="46"/>
      <c r="E3601" s="46"/>
      <c r="F3601" s="46"/>
      <c r="G3601" s="46"/>
    </row>
    <row r="3602" spans="4:7">
      <c r="D3602" s="46"/>
      <c r="E3602" s="46"/>
      <c r="F3602" s="46"/>
      <c r="G3602" s="46"/>
    </row>
    <row r="3603" spans="4:7">
      <c r="D3603" s="46"/>
      <c r="E3603" s="46"/>
      <c r="F3603" s="46"/>
      <c r="G3603" s="46"/>
    </row>
    <row r="3604" spans="4:7">
      <c r="D3604" s="46"/>
      <c r="E3604" s="46"/>
      <c r="F3604" s="46"/>
      <c r="G3604" s="46"/>
    </row>
    <row r="3605" spans="4:7">
      <c r="D3605" s="46"/>
      <c r="E3605" s="46"/>
      <c r="F3605" s="46"/>
      <c r="G3605" s="46"/>
    </row>
    <row r="3606" spans="4:7">
      <c r="D3606" s="46"/>
      <c r="E3606" s="46"/>
      <c r="F3606" s="46"/>
      <c r="G3606" s="46"/>
    </row>
    <row r="3607" spans="4:7">
      <c r="D3607" s="46"/>
      <c r="E3607" s="46"/>
      <c r="F3607" s="46"/>
      <c r="G3607" s="46"/>
    </row>
    <row r="3608" spans="4:7">
      <c r="D3608" s="46"/>
      <c r="E3608" s="46"/>
      <c r="F3608" s="46"/>
      <c r="G3608" s="46"/>
    </row>
    <row r="3609" spans="4:7">
      <c r="D3609" s="46"/>
      <c r="E3609" s="46"/>
      <c r="F3609" s="46"/>
      <c r="G3609" s="46"/>
    </row>
    <row r="3610" spans="4:7">
      <c r="D3610" s="46"/>
      <c r="E3610" s="46"/>
      <c r="F3610" s="46"/>
      <c r="G3610" s="46"/>
    </row>
    <row r="3611" spans="4:7">
      <c r="D3611" s="46"/>
      <c r="E3611" s="46"/>
      <c r="F3611" s="46"/>
      <c r="G3611" s="46"/>
    </row>
    <row r="3612" spans="4:7">
      <c r="D3612" s="46"/>
      <c r="E3612" s="46"/>
      <c r="F3612" s="46"/>
      <c r="G3612" s="46"/>
    </row>
    <row r="3613" spans="4:7">
      <c r="D3613" s="46"/>
      <c r="E3613" s="46"/>
      <c r="F3613" s="46"/>
      <c r="G3613" s="46"/>
    </row>
    <row r="3614" spans="4:7">
      <c r="D3614" s="46"/>
      <c r="E3614" s="46"/>
      <c r="F3614" s="46"/>
      <c r="G3614" s="46"/>
    </row>
    <row r="3615" spans="4:7">
      <c r="D3615" s="46"/>
      <c r="E3615" s="46"/>
      <c r="F3615" s="46"/>
      <c r="G3615" s="46"/>
    </row>
    <row r="3616" spans="4:7">
      <c r="D3616" s="46"/>
      <c r="E3616" s="46"/>
      <c r="F3616" s="46"/>
      <c r="G3616" s="46"/>
    </row>
    <row r="3617" spans="4:7">
      <c r="D3617" s="46"/>
      <c r="E3617" s="46"/>
      <c r="F3617" s="46"/>
      <c r="G3617" s="46"/>
    </row>
    <row r="3618" spans="4:7">
      <c r="D3618" s="46"/>
      <c r="E3618" s="46"/>
      <c r="F3618" s="46"/>
      <c r="G3618" s="46"/>
    </row>
    <row r="3619" spans="4:7">
      <c r="D3619" s="46"/>
      <c r="E3619" s="46"/>
      <c r="F3619" s="46"/>
      <c r="G3619" s="46"/>
    </row>
    <row r="3620" spans="4:7">
      <c r="D3620" s="46"/>
      <c r="E3620" s="46"/>
      <c r="F3620" s="46"/>
      <c r="G3620" s="46"/>
    </row>
    <row r="3621" spans="4:7">
      <c r="D3621" s="46"/>
      <c r="E3621" s="46"/>
      <c r="F3621" s="46"/>
      <c r="G3621" s="46"/>
    </row>
    <row r="3622" spans="4:7">
      <c r="D3622" s="46"/>
      <c r="E3622" s="46"/>
      <c r="F3622" s="46"/>
      <c r="G3622" s="46"/>
    </row>
    <row r="3623" spans="4:7">
      <c r="D3623" s="46"/>
      <c r="E3623" s="46"/>
      <c r="F3623" s="46"/>
      <c r="G3623" s="46"/>
    </row>
    <row r="3624" spans="4:7">
      <c r="D3624" s="46"/>
      <c r="E3624" s="46"/>
      <c r="F3624" s="46"/>
      <c r="G3624" s="46"/>
    </row>
    <row r="3625" spans="4:7">
      <c r="D3625" s="46"/>
      <c r="E3625" s="46"/>
      <c r="F3625" s="46"/>
      <c r="G3625" s="46"/>
    </row>
    <row r="3626" spans="4:7">
      <c r="D3626" s="46"/>
      <c r="E3626" s="46"/>
      <c r="F3626" s="46"/>
      <c r="G3626" s="46"/>
    </row>
    <row r="3627" spans="4:7">
      <c r="D3627" s="46"/>
      <c r="E3627" s="46"/>
      <c r="F3627" s="46"/>
      <c r="G3627" s="46"/>
    </row>
    <row r="3628" spans="4:7">
      <c r="D3628" s="46"/>
      <c r="E3628" s="46"/>
      <c r="F3628" s="46"/>
      <c r="G3628" s="46"/>
    </row>
    <row r="3629" spans="4:7">
      <c r="D3629" s="46"/>
      <c r="E3629" s="46"/>
      <c r="F3629" s="46"/>
      <c r="G3629" s="46"/>
    </row>
    <row r="3630" spans="4:7">
      <c r="D3630" s="46"/>
      <c r="E3630" s="46"/>
      <c r="F3630" s="46"/>
      <c r="G3630" s="46"/>
    </row>
    <row r="3631" spans="4:7">
      <c r="D3631" s="46"/>
      <c r="E3631" s="46"/>
      <c r="F3631" s="46"/>
      <c r="G3631" s="46"/>
    </row>
    <row r="3632" spans="4:7">
      <c r="D3632" s="46"/>
      <c r="E3632" s="46"/>
      <c r="F3632" s="46"/>
      <c r="G3632" s="46"/>
    </row>
    <row r="3633" spans="4:7">
      <c r="D3633" s="46"/>
      <c r="E3633" s="46"/>
      <c r="F3633" s="46"/>
      <c r="G3633" s="46"/>
    </row>
    <row r="3634" spans="4:7">
      <c r="D3634" s="46"/>
      <c r="E3634" s="46"/>
      <c r="F3634" s="46"/>
      <c r="G3634" s="46"/>
    </row>
    <row r="3635" spans="4:7">
      <c r="D3635" s="46"/>
      <c r="E3635" s="46"/>
      <c r="F3635" s="46"/>
      <c r="G3635" s="46"/>
    </row>
    <row r="3636" spans="4:7">
      <c r="D3636" s="46"/>
      <c r="E3636" s="46"/>
      <c r="F3636" s="46"/>
      <c r="G3636" s="46"/>
    </row>
    <row r="3637" spans="4:7">
      <c r="D3637" s="46"/>
      <c r="E3637" s="46"/>
      <c r="F3637" s="46"/>
      <c r="G3637" s="46"/>
    </row>
    <row r="3638" spans="4:7">
      <c r="D3638" s="46"/>
      <c r="E3638" s="46"/>
      <c r="F3638" s="46"/>
      <c r="G3638" s="46"/>
    </row>
    <row r="3639" spans="4:7">
      <c r="D3639" s="46"/>
      <c r="E3639" s="46"/>
      <c r="F3639" s="46"/>
      <c r="G3639" s="46"/>
    </row>
    <row r="3640" spans="4:7">
      <c r="D3640" s="46"/>
      <c r="E3640" s="46"/>
      <c r="F3640" s="46"/>
      <c r="G3640" s="46"/>
    </row>
    <row r="3641" spans="4:7">
      <c r="D3641" s="46"/>
      <c r="E3641" s="46"/>
      <c r="F3641" s="46"/>
      <c r="G3641" s="46"/>
    </row>
    <row r="3642" spans="4:7">
      <c r="D3642" s="46"/>
      <c r="E3642" s="46"/>
      <c r="F3642" s="46"/>
      <c r="G3642" s="46"/>
    </row>
    <row r="3643" spans="4:7">
      <c r="D3643" s="46"/>
      <c r="E3643" s="46"/>
      <c r="F3643" s="46"/>
      <c r="G3643" s="46"/>
    </row>
    <row r="3644" spans="4:7">
      <c r="D3644" s="46"/>
      <c r="E3644" s="46"/>
      <c r="F3644" s="46"/>
      <c r="G3644" s="46"/>
    </row>
    <row r="3645" spans="4:7">
      <c r="D3645" s="46"/>
      <c r="E3645" s="46"/>
      <c r="F3645" s="46"/>
      <c r="G3645" s="46"/>
    </row>
    <row r="3646" spans="4:7">
      <c r="D3646" s="46"/>
      <c r="E3646" s="46"/>
      <c r="F3646" s="46"/>
      <c r="G3646" s="46"/>
    </row>
    <row r="3647" spans="4:7">
      <c r="D3647" s="46"/>
      <c r="E3647" s="46"/>
      <c r="F3647" s="46"/>
      <c r="G3647" s="46"/>
    </row>
    <row r="3648" spans="4:7">
      <c r="D3648" s="46"/>
      <c r="E3648" s="46"/>
      <c r="F3648" s="46"/>
      <c r="G3648" s="46"/>
    </row>
    <row r="3649" spans="4:7">
      <c r="D3649" s="46"/>
      <c r="E3649" s="46"/>
      <c r="F3649" s="46"/>
      <c r="G3649" s="46"/>
    </row>
    <row r="3650" spans="4:7">
      <c r="D3650" s="46"/>
      <c r="E3650" s="46"/>
      <c r="F3650" s="46"/>
      <c r="G3650" s="46"/>
    </row>
    <row r="3651" spans="4:7">
      <c r="D3651" s="46"/>
      <c r="E3651" s="46"/>
      <c r="F3651" s="46"/>
      <c r="G3651" s="46"/>
    </row>
    <row r="3652" spans="4:7">
      <c r="D3652" s="46"/>
      <c r="E3652" s="46"/>
      <c r="F3652" s="46"/>
      <c r="G3652" s="46"/>
    </row>
    <row r="3653" spans="4:7">
      <c r="D3653" s="46"/>
      <c r="E3653" s="46"/>
      <c r="F3653" s="46"/>
      <c r="G3653" s="46"/>
    </row>
    <row r="3654" spans="4:7">
      <c r="D3654" s="46"/>
      <c r="E3654" s="46"/>
      <c r="F3654" s="46"/>
      <c r="G3654" s="46"/>
    </row>
    <row r="3655" spans="4:7">
      <c r="D3655" s="46"/>
      <c r="E3655" s="46"/>
      <c r="F3655" s="46"/>
      <c r="G3655" s="46"/>
    </row>
    <row r="3656" spans="4:7">
      <c r="D3656" s="46"/>
      <c r="E3656" s="46"/>
      <c r="F3656" s="46"/>
      <c r="G3656" s="46"/>
    </row>
    <row r="3657" spans="4:7">
      <c r="D3657" s="46"/>
      <c r="E3657" s="46"/>
      <c r="F3657" s="46"/>
      <c r="G3657" s="46"/>
    </row>
    <row r="3658" spans="4:7">
      <c r="D3658" s="46"/>
      <c r="E3658" s="46"/>
      <c r="F3658" s="46"/>
      <c r="G3658" s="46"/>
    </row>
    <row r="3659" spans="4:7">
      <c r="D3659" s="46"/>
      <c r="E3659" s="46"/>
      <c r="F3659" s="46"/>
      <c r="G3659" s="46"/>
    </row>
    <row r="3660" spans="4:7">
      <c r="D3660" s="46"/>
      <c r="E3660" s="46"/>
      <c r="F3660" s="46"/>
      <c r="G3660" s="46"/>
    </row>
    <row r="3661" spans="4:7">
      <c r="D3661" s="46"/>
      <c r="E3661" s="46"/>
      <c r="F3661" s="46"/>
      <c r="G3661" s="46"/>
    </row>
    <row r="3662" spans="4:7">
      <c r="D3662" s="46"/>
      <c r="E3662" s="46"/>
      <c r="F3662" s="46"/>
      <c r="G3662" s="46"/>
    </row>
    <row r="3663" spans="4:7">
      <c r="D3663" s="46"/>
      <c r="E3663" s="46"/>
      <c r="F3663" s="46"/>
      <c r="G3663" s="46"/>
    </row>
    <row r="3664" spans="4:7">
      <c r="D3664" s="46"/>
      <c r="E3664" s="46"/>
      <c r="F3664" s="46"/>
      <c r="G3664" s="46"/>
    </row>
    <row r="3665" spans="4:7">
      <c r="D3665" s="46"/>
      <c r="E3665" s="46"/>
      <c r="F3665" s="46"/>
      <c r="G3665" s="46"/>
    </row>
    <row r="3666" spans="4:7">
      <c r="D3666" s="46"/>
      <c r="E3666" s="46"/>
      <c r="F3666" s="46"/>
      <c r="G3666" s="46"/>
    </row>
    <row r="3667" spans="4:7">
      <c r="D3667" s="46"/>
      <c r="E3667" s="46"/>
      <c r="F3667" s="46"/>
      <c r="G3667" s="46"/>
    </row>
    <row r="3668" spans="4:7">
      <c r="D3668" s="46"/>
      <c r="E3668" s="46"/>
      <c r="F3668" s="46"/>
      <c r="G3668" s="46"/>
    </row>
    <row r="3669" spans="4:7">
      <c r="D3669" s="46"/>
      <c r="E3669" s="46"/>
      <c r="F3669" s="46"/>
      <c r="G3669" s="46"/>
    </row>
    <row r="3670" spans="4:7">
      <c r="D3670" s="46"/>
      <c r="E3670" s="46"/>
      <c r="F3670" s="46"/>
      <c r="G3670" s="46"/>
    </row>
    <row r="3671" spans="4:7">
      <c r="D3671" s="46"/>
      <c r="E3671" s="46"/>
      <c r="F3671" s="46"/>
      <c r="G3671" s="46"/>
    </row>
    <row r="3672" spans="4:7">
      <c r="D3672" s="46"/>
      <c r="E3672" s="46"/>
      <c r="F3672" s="46"/>
      <c r="G3672" s="46"/>
    </row>
    <row r="3673" spans="4:7">
      <c r="D3673" s="46"/>
      <c r="E3673" s="46"/>
      <c r="F3673" s="46"/>
      <c r="G3673" s="46"/>
    </row>
    <row r="3674" spans="4:7">
      <c r="D3674" s="46"/>
      <c r="E3674" s="46"/>
      <c r="F3674" s="46"/>
      <c r="G3674" s="46"/>
    </row>
    <row r="3675" spans="4:7">
      <c r="D3675" s="46"/>
      <c r="E3675" s="46"/>
      <c r="F3675" s="46"/>
      <c r="G3675" s="46"/>
    </row>
    <row r="3676" spans="4:7">
      <c r="D3676" s="46"/>
      <c r="E3676" s="46"/>
      <c r="F3676" s="46"/>
      <c r="G3676" s="46"/>
    </row>
    <row r="3677" spans="4:7">
      <c r="D3677" s="46"/>
      <c r="E3677" s="46"/>
      <c r="F3677" s="46"/>
      <c r="G3677" s="46"/>
    </row>
    <row r="3678" spans="4:7">
      <c r="D3678" s="46"/>
      <c r="E3678" s="46"/>
      <c r="F3678" s="46"/>
      <c r="G3678" s="46"/>
    </row>
    <row r="3679" spans="4:7">
      <c r="D3679" s="46"/>
      <c r="E3679" s="46"/>
      <c r="F3679" s="46"/>
      <c r="G3679" s="46"/>
    </row>
    <row r="3680" spans="4:7">
      <c r="D3680" s="46"/>
      <c r="E3680" s="46"/>
      <c r="F3680" s="46"/>
      <c r="G3680" s="46"/>
    </row>
    <row r="3681" spans="4:7">
      <c r="D3681" s="46"/>
      <c r="E3681" s="46"/>
      <c r="F3681" s="46"/>
      <c r="G3681" s="46"/>
    </row>
    <row r="3682" spans="4:7">
      <c r="D3682" s="46"/>
      <c r="E3682" s="46"/>
      <c r="F3682" s="46"/>
      <c r="G3682" s="46"/>
    </row>
    <row r="3683" spans="4:7">
      <c r="D3683" s="46"/>
      <c r="E3683" s="46"/>
      <c r="F3683" s="46"/>
      <c r="G3683" s="46"/>
    </row>
    <row r="3684" spans="4:7">
      <c r="D3684" s="46"/>
      <c r="E3684" s="46"/>
      <c r="F3684" s="46"/>
      <c r="G3684" s="46"/>
    </row>
    <row r="3685" spans="4:7">
      <c r="D3685" s="46"/>
      <c r="E3685" s="46"/>
      <c r="F3685" s="46"/>
      <c r="G3685" s="46"/>
    </row>
    <row r="3686" spans="4:7">
      <c r="D3686" s="46"/>
      <c r="E3686" s="46"/>
      <c r="F3686" s="46"/>
      <c r="G3686" s="46"/>
    </row>
    <row r="3687" spans="4:7">
      <c r="D3687" s="46"/>
      <c r="E3687" s="46"/>
      <c r="F3687" s="46"/>
      <c r="G3687" s="46"/>
    </row>
    <row r="3688" spans="4:7">
      <c r="D3688" s="46"/>
      <c r="E3688" s="46"/>
      <c r="F3688" s="46"/>
      <c r="G3688" s="46"/>
    </row>
    <row r="3689" spans="4:7">
      <c r="D3689" s="46"/>
      <c r="E3689" s="46"/>
      <c r="F3689" s="46"/>
      <c r="G3689" s="46"/>
    </row>
    <row r="3690" spans="4:7">
      <c r="D3690" s="46"/>
      <c r="E3690" s="46"/>
      <c r="F3690" s="46"/>
      <c r="G3690" s="46"/>
    </row>
    <row r="3691" spans="4:7">
      <c r="D3691" s="46"/>
      <c r="E3691" s="46"/>
      <c r="F3691" s="46"/>
      <c r="G3691" s="46"/>
    </row>
    <row r="3692" spans="4:7">
      <c r="D3692" s="46"/>
      <c r="E3692" s="46"/>
      <c r="F3692" s="46"/>
      <c r="G3692" s="46"/>
    </row>
    <row r="3693" spans="4:7">
      <c r="D3693" s="46"/>
      <c r="E3693" s="46"/>
      <c r="F3693" s="46"/>
      <c r="G3693" s="46"/>
    </row>
    <row r="3694" spans="4:7">
      <c r="D3694" s="46"/>
      <c r="E3694" s="46"/>
      <c r="F3694" s="46"/>
      <c r="G3694" s="46"/>
    </row>
    <row r="3695" spans="4:7">
      <c r="D3695" s="46"/>
      <c r="E3695" s="46"/>
      <c r="F3695" s="46"/>
      <c r="G3695" s="46"/>
    </row>
    <row r="3696" spans="4:7">
      <c r="D3696" s="46"/>
      <c r="E3696" s="46"/>
      <c r="F3696" s="46"/>
      <c r="G3696" s="46"/>
    </row>
    <row r="3697" spans="4:7">
      <c r="D3697" s="46"/>
      <c r="E3697" s="46"/>
      <c r="F3697" s="46"/>
      <c r="G3697" s="46"/>
    </row>
    <row r="3698" spans="4:7">
      <c r="D3698" s="46"/>
      <c r="E3698" s="46"/>
      <c r="F3698" s="46"/>
      <c r="G3698" s="46"/>
    </row>
    <row r="3699" spans="4:7">
      <c r="D3699" s="46"/>
      <c r="E3699" s="46"/>
      <c r="F3699" s="46"/>
      <c r="G3699" s="46"/>
    </row>
    <row r="3700" spans="4:7">
      <c r="D3700" s="46"/>
      <c r="E3700" s="46"/>
      <c r="F3700" s="46"/>
      <c r="G3700" s="46"/>
    </row>
    <row r="3701" spans="4:7">
      <c r="D3701" s="46"/>
      <c r="E3701" s="46"/>
      <c r="F3701" s="46"/>
      <c r="G3701" s="46"/>
    </row>
    <row r="3702" spans="4:7">
      <c r="D3702" s="46"/>
      <c r="E3702" s="46"/>
      <c r="F3702" s="46"/>
      <c r="G3702" s="46"/>
    </row>
    <row r="3703" spans="4:7">
      <c r="D3703" s="46"/>
      <c r="E3703" s="46"/>
      <c r="F3703" s="46"/>
      <c r="G3703" s="46"/>
    </row>
    <row r="3704" spans="4:7">
      <c r="D3704" s="46"/>
      <c r="E3704" s="46"/>
      <c r="F3704" s="46"/>
      <c r="G3704" s="46"/>
    </row>
    <row r="3705" spans="4:7">
      <c r="D3705" s="46"/>
      <c r="E3705" s="46"/>
      <c r="F3705" s="46"/>
      <c r="G3705" s="46"/>
    </row>
    <row r="3706" spans="4:7">
      <c r="D3706" s="46"/>
      <c r="E3706" s="46"/>
      <c r="F3706" s="46"/>
      <c r="G3706" s="46"/>
    </row>
    <row r="3707" spans="4:7">
      <c r="D3707" s="46"/>
      <c r="E3707" s="46"/>
      <c r="F3707" s="46"/>
      <c r="G3707" s="46"/>
    </row>
    <row r="3708" spans="4:7">
      <c r="D3708" s="46"/>
      <c r="E3708" s="46"/>
      <c r="F3708" s="46"/>
      <c r="G3708" s="46"/>
    </row>
    <row r="3709" spans="4:7">
      <c r="D3709" s="46"/>
      <c r="E3709" s="46"/>
      <c r="F3709" s="46"/>
      <c r="G3709" s="46"/>
    </row>
    <row r="3710" spans="4:7">
      <c r="D3710" s="46"/>
      <c r="E3710" s="46"/>
      <c r="F3710" s="46"/>
      <c r="G3710" s="46"/>
    </row>
    <row r="3711" spans="4:7">
      <c r="D3711" s="46"/>
      <c r="E3711" s="46"/>
      <c r="F3711" s="46"/>
      <c r="G3711" s="46"/>
    </row>
    <row r="3712" spans="4:7">
      <c r="D3712" s="46"/>
      <c r="E3712" s="46"/>
      <c r="F3712" s="46"/>
      <c r="G3712" s="46"/>
    </row>
    <row r="3713" spans="4:7">
      <c r="D3713" s="46"/>
      <c r="E3713" s="46"/>
      <c r="F3713" s="46"/>
      <c r="G3713" s="46"/>
    </row>
    <row r="3714" spans="4:7">
      <c r="D3714" s="46"/>
      <c r="E3714" s="46"/>
      <c r="F3714" s="46"/>
      <c r="G3714" s="46"/>
    </row>
    <row r="3715" spans="4:7">
      <c r="D3715" s="46"/>
      <c r="E3715" s="46"/>
      <c r="F3715" s="46"/>
      <c r="G3715" s="46"/>
    </row>
    <row r="3716" spans="4:7">
      <c r="D3716" s="46"/>
      <c r="E3716" s="46"/>
      <c r="F3716" s="46"/>
      <c r="G3716" s="46"/>
    </row>
    <row r="3717" spans="4:7">
      <c r="D3717" s="46"/>
      <c r="E3717" s="46"/>
      <c r="F3717" s="46"/>
      <c r="G3717" s="46"/>
    </row>
    <row r="3718" spans="4:7">
      <c r="D3718" s="46"/>
      <c r="E3718" s="46"/>
      <c r="F3718" s="46"/>
      <c r="G3718" s="46"/>
    </row>
    <row r="3719" spans="4:7">
      <c r="D3719" s="46"/>
      <c r="E3719" s="46"/>
      <c r="F3719" s="46"/>
      <c r="G3719" s="46"/>
    </row>
    <row r="3720" spans="4:7">
      <c r="D3720" s="46"/>
      <c r="E3720" s="46"/>
      <c r="F3720" s="46"/>
      <c r="G3720" s="46"/>
    </row>
    <row r="3721" spans="4:7">
      <c r="D3721" s="46"/>
      <c r="E3721" s="46"/>
      <c r="F3721" s="46"/>
      <c r="G3721" s="46"/>
    </row>
    <row r="3722" spans="4:7">
      <c r="D3722" s="46"/>
      <c r="E3722" s="46"/>
      <c r="F3722" s="46"/>
      <c r="G3722" s="46"/>
    </row>
    <row r="3723" spans="4:7">
      <c r="D3723" s="46"/>
      <c r="E3723" s="46"/>
      <c r="F3723" s="46"/>
      <c r="G3723" s="46"/>
    </row>
    <row r="3724" spans="4:7">
      <c r="D3724" s="46"/>
      <c r="E3724" s="46"/>
      <c r="F3724" s="46"/>
      <c r="G3724" s="46"/>
    </row>
    <row r="3725" spans="4:7">
      <c r="D3725" s="46"/>
      <c r="E3725" s="46"/>
      <c r="F3725" s="46"/>
      <c r="G3725" s="46"/>
    </row>
    <row r="3726" spans="4:7">
      <c r="D3726" s="46"/>
      <c r="E3726" s="46"/>
      <c r="F3726" s="46"/>
      <c r="G3726" s="46"/>
    </row>
    <row r="3727" spans="4:7">
      <c r="D3727" s="46"/>
      <c r="E3727" s="46"/>
      <c r="F3727" s="46"/>
      <c r="G3727" s="46"/>
    </row>
    <row r="3728" spans="4:7">
      <c r="D3728" s="46"/>
      <c r="E3728" s="46"/>
      <c r="F3728" s="46"/>
      <c r="G3728" s="46"/>
    </row>
    <row r="3729" spans="4:7">
      <c r="D3729" s="46"/>
      <c r="E3729" s="46"/>
      <c r="F3729" s="46"/>
      <c r="G3729" s="46"/>
    </row>
    <row r="3730" spans="4:7">
      <c r="D3730" s="46"/>
      <c r="E3730" s="46"/>
      <c r="F3730" s="46"/>
      <c r="G3730" s="46"/>
    </row>
    <row r="3731" spans="4:7">
      <c r="D3731" s="46"/>
      <c r="E3731" s="46"/>
      <c r="F3731" s="46"/>
      <c r="G3731" s="46"/>
    </row>
    <row r="3732" spans="4:7">
      <c r="D3732" s="46"/>
      <c r="E3732" s="46"/>
      <c r="F3732" s="46"/>
      <c r="G3732" s="46"/>
    </row>
    <row r="3733" spans="4:7">
      <c r="D3733" s="46"/>
      <c r="E3733" s="46"/>
      <c r="F3733" s="46"/>
      <c r="G3733" s="46"/>
    </row>
    <row r="3734" spans="4:7">
      <c r="D3734" s="46"/>
      <c r="E3734" s="46"/>
      <c r="F3734" s="46"/>
      <c r="G3734" s="46"/>
    </row>
    <row r="3735" spans="4:7">
      <c r="D3735" s="46"/>
      <c r="E3735" s="46"/>
      <c r="F3735" s="46"/>
      <c r="G3735" s="46"/>
    </row>
    <row r="3736" spans="4:7">
      <c r="D3736" s="46"/>
      <c r="E3736" s="46"/>
      <c r="F3736" s="46"/>
      <c r="G3736" s="46"/>
    </row>
    <row r="3737" spans="4:7">
      <c r="D3737" s="46"/>
      <c r="E3737" s="46"/>
      <c r="F3737" s="46"/>
      <c r="G3737" s="46"/>
    </row>
    <row r="3738" spans="4:7">
      <c r="D3738" s="46"/>
      <c r="E3738" s="46"/>
      <c r="F3738" s="46"/>
      <c r="G3738" s="46"/>
    </row>
    <row r="3739" spans="4:7">
      <c r="D3739" s="46"/>
      <c r="E3739" s="46"/>
      <c r="F3739" s="46"/>
      <c r="G3739" s="46"/>
    </row>
    <row r="3740" spans="4:7">
      <c r="D3740" s="46"/>
      <c r="E3740" s="46"/>
      <c r="F3740" s="46"/>
      <c r="G3740" s="46"/>
    </row>
    <row r="3741" spans="4:7">
      <c r="D3741" s="46"/>
      <c r="E3741" s="46"/>
      <c r="F3741" s="46"/>
      <c r="G3741" s="46"/>
    </row>
    <row r="3742" spans="4:7">
      <c r="D3742" s="46"/>
      <c r="E3742" s="46"/>
      <c r="F3742" s="46"/>
      <c r="G3742" s="46"/>
    </row>
    <row r="3743" spans="4:7">
      <c r="D3743" s="46"/>
      <c r="E3743" s="46"/>
      <c r="F3743" s="46"/>
      <c r="G3743" s="46"/>
    </row>
    <row r="3744" spans="4:7">
      <c r="D3744" s="46"/>
      <c r="E3744" s="46"/>
      <c r="F3744" s="46"/>
      <c r="G3744" s="46"/>
    </row>
    <row r="3745" spans="4:7">
      <c r="D3745" s="46"/>
      <c r="E3745" s="46"/>
      <c r="F3745" s="46"/>
      <c r="G3745" s="46"/>
    </row>
    <row r="3746" spans="4:7">
      <c r="D3746" s="46"/>
      <c r="E3746" s="46"/>
      <c r="F3746" s="46"/>
      <c r="G3746" s="46"/>
    </row>
    <row r="3747" spans="4:7">
      <c r="D3747" s="46"/>
      <c r="E3747" s="46"/>
      <c r="F3747" s="46"/>
      <c r="G3747" s="46"/>
    </row>
    <row r="3748" spans="4:7">
      <c r="D3748" s="46"/>
      <c r="E3748" s="46"/>
      <c r="F3748" s="46"/>
      <c r="G3748" s="46"/>
    </row>
    <row r="3749" spans="4:7">
      <c r="D3749" s="46"/>
      <c r="E3749" s="46"/>
      <c r="F3749" s="46"/>
      <c r="G3749" s="46"/>
    </row>
    <row r="3750" spans="4:7">
      <c r="D3750" s="46"/>
      <c r="E3750" s="46"/>
      <c r="F3750" s="46"/>
      <c r="G3750" s="46"/>
    </row>
    <row r="3751" spans="4:7">
      <c r="D3751" s="46"/>
      <c r="E3751" s="46"/>
      <c r="F3751" s="46"/>
      <c r="G3751" s="46"/>
    </row>
    <row r="3752" spans="4:7">
      <c r="D3752" s="46"/>
      <c r="E3752" s="46"/>
      <c r="F3752" s="46"/>
      <c r="G3752" s="46"/>
    </row>
    <row r="3753" spans="4:7">
      <c r="D3753" s="46"/>
      <c r="E3753" s="46"/>
      <c r="F3753" s="46"/>
      <c r="G3753" s="46"/>
    </row>
    <row r="3754" spans="4:7">
      <c r="D3754" s="46"/>
      <c r="E3754" s="46"/>
      <c r="F3754" s="46"/>
      <c r="G3754" s="46"/>
    </row>
    <row r="3755" spans="4:7">
      <c r="D3755" s="46"/>
      <c r="E3755" s="46"/>
      <c r="F3755" s="46"/>
      <c r="G3755" s="46"/>
    </row>
    <row r="3756" spans="4:7">
      <c r="D3756" s="46"/>
      <c r="E3756" s="46"/>
      <c r="F3756" s="46"/>
      <c r="G3756" s="46"/>
    </row>
    <row r="3757" spans="4:7">
      <c r="D3757" s="46"/>
      <c r="E3757" s="46"/>
      <c r="F3757" s="46"/>
      <c r="G3757" s="46"/>
    </row>
    <row r="3758" spans="4:7">
      <c r="D3758" s="46"/>
      <c r="E3758" s="46"/>
      <c r="F3758" s="46"/>
      <c r="G3758" s="46"/>
    </row>
    <row r="3759" spans="4:7">
      <c r="D3759" s="46"/>
      <c r="E3759" s="46"/>
      <c r="F3759" s="46"/>
      <c r="G3759" s="46"/>
    </row>
    <row r="3760" spans="4:7">
      <c r="D3760" s="46"/>
      <c r="E3760" s="46"/>
      <c r="F3760" s="46"/>
      <c r="G3760" s="46"/>
    </row>
    <row r="3761" spans="4:7">
      <c r="D3761" s="46"/>
      <c r="E3761" s="46"/>
      <c r="F3761" s="46"/>
      <c r="G3761" s="46"/>
    </row>
    <row r="3762" spans="4:7">
      <c r="D3762" s="46"/>
      <c r="E3762" s="46"/>
      <c r="F3762" s="46"/>
      <c r="G3762" s="46"/>
    </row>
    <row r="3763" spans="4:7">
      <c r="D3763" s="46"/>
      <c r="E3763" s="46"/>
      <c r="F3763" s="46"/>
      <c r="G3763" s="46"/>
    </row>
    <row r="3764" spans="4:7">
      <c r="D3764" s="46"/>
      <c r="E3764" s="46"/>
      <c r="F3764" s="46"/>
      <c r="G3764" s="46"/>
    </row>
    <row r="3765" spans="4:7">
      <c r="D3765" s="46"/>
      <c r="E3765" s="46"/>
      <c r="F3765" s="46"/>
      <c r="G3765" s="46"/>
    </row>
    <row r="3766" spans="4:7">
      <c r="D3766" s="46"/>
      <c r="E3766" s="46"/>
      <c r="F3766" s="46"/>
      <c r="G3766" s="46"/>
    </row>
    <row r="3767" spans="4:7">
      <c r="D3767" s="46"/>
      <c r="E3767" s="46"/>
      <c r="F3767" s="46"/>
      <c r="G3767" s="46"/>
    </row>
    <row r="3768" spans="4:7">
      <c r="D3768" s="46"/>
      <c r="E3768" s="46"/>
      <c r="F3768" s="46"/>
      <c r="G3768" s="46"/>
    </row>
    <row r="3769" spans="4:7">
      <c r="D3769" s="46"/>
      <c r="E3769" s="46"/>
      <c r="F3769" s="46"/>
      <c r="G3769" s="46"/>
    </row>
    <row r="3770" spans="4:7">
      <c r="D3770" s="46"/>
      <c r="E3770" s="46"/>
      <c r="F3770" s="46"/>
      <c r="G3770" s="46"/>
    </row>
    <row r="3771" spans="4:7">
      <c r="D3771" s="46"/>
      <c r="E3771" s="46"/>
      <c r="F3771" s="46"/>
      <c r="G3771" s="46"/>
    </row>
    <row r="3772" spans="4:7">
      <c r="D3772" s="46"/>
      <c r="E3772" s="46"/>
      <c r="F3772" s="46"/>
      <c r="G3772" s="46"/>
    </row>
    <row r="3773" spans="4:7">
      <c r="D3773" s="46"/>
      <c r="E3773" s="46"/>
      <c r="F3773" s="46"/>
      <c r="G3773" s="46"/>
    </row>
    <row r="3774" spans="4:7">
      <c r="D3774" s="46"/>
      <c r="E3774" s="46"/>
      <c r="F3774" s="46"/>
      <c r="G3774" s="46"/>
    </row>
    <row r="3775" spans="4:7">
      <c r="D3775" s="46"/>
      <c r="E3775" s="46"/>
      <c r="F3775" s="46"/>
      <c r="G3775" s="46"/>
    </row>
    <row r="3776" spans="4:7">
      <c r="D3776" s="46"/>
      <c r="E3776" s="46"/>
      <c r="F3776" s="46"/>
      <c r="G3776" s="46"/>
    </row>
    <row r="3777" spans="4:7">
      <c r="D3777" s="46"/>
      <c r="E3777" s="46"/>
      <c r="F3777" s="46"/>
      <c r="G3777" s="46"/>
    </row>
    <row r="3778" spans="4:7">
      <c r="D3778" s="46"/>
      <c r="E3778" s="46"/>
      <c r="F3778" s="46"/>
      <c r="G3778" s="46"/>
    </row>
    <row r="3779" spans="4:7">
      <c r="D3779" s="46"/>
      <c r="E3779" s="46"/>
      <c r="F3779" s="46"/>
      <c r="G3779" s="46"/>
    </row>
    <row r="3780" spans="4:7">
      <c r="D3780" s="46"/>
      <c r="E3780" s="46"/>
      <c r="F3780" s="46"/>
      <c r="G3780" s="46"/>
    </row>
    <row r="3781" spans="4:7">
      <c r="D3781" s="46"/>
      <c r="E3781" s="46"/>
      <c r="F3781" s="46"/>
      <c r="G3781" s="46"/>
    </row>
    <row r="3782" spans="4:7">
      <c r="D3782" s="46"/>
      <c r="E3782" s="46"/>
      <c r="F3782" s="46"/>
      <c r="G3782" s="46"/>
    </row>
    <row r="3783" spans="4:7">
      <c r="D3783" s="46"/>
      <c r="E3783" s="46"/>
      <c r="F3783" s="46"/>
      <c r="G3783" s="46"/>
    </row>
    <row r="3784" spans="4:7">
      <c r="D3784" s="46"/>
      <c r="E3784" s="46"/>
      <c r="F3784" s="46"/>
      <c r="G3784" s="46"/>
    </row>
    <row r="3785" spans="4:7">
      <c r="D3785" s="46"/>
      <c r="E3785" s="46"/>
      <c r="F3785" s="46"/>
      <c r="G3785" s="46"/>
    </row>
    <row r="3786" spans="4:7">
      <c r="D3786" s="46"/>
      <c r="E3786" s="46"/>
      <c r="F3786" s="46"/>
      <c r="G3786" s="46"/>
    </row>
    <row r="3787" spans="4:7">
      <c r="D3787" s="46"/>
      <c r="E3787" s="46"/>
      <c r="F3787" s="46"/>
      <c r="G3787" s="46"/>
    </row>
    <row r="3788" spans="4:7">
      <c r="D3788" s="46"/>
      <c r="E3788" s="46"/>
      <c r="F3788" s="46"/>
      <c r="G3788" s="46"/>
    </row>
    <row r="3789" spans="4:7">
      <c r="D3789" s="46"/>
      <c r="E3789" s="46"/>
      <c r="F3789" s="46"/>
      <c r="G3789" s="46"/>
    </row>
    <row r="3790" spans="4:7">
      <c r="D3790" s="46"/>
      <c r="E3790" s="46"/>
      <c r="F3790" s="46"/>
      <c r="G3790" s="46"/>
    </row>
    <row r="3791" spans="4:7">
      <c r="D3791" s="46"/>
      <c r="E3791" s="46"/>
      <c r="F3791" s="46"/>
      <c r="G3791" s="46"/>
    </row>
    <row r="3792" spans="4:7">
      <c r="D3792" s="46"/>
      <c r="E3792" s="46"/>
      <c r="F3792" s="46"/>
      <c r="G3792" s="46"/>
    </row>
    <row r="3793" spans="4:7">
      <c r="D3793" s="46"/>
      <c r="E3793" s="46"/>
      <c r="F3793" s="46"/>
      <c r="G3793" s="46"/>
    </row>
    <row r="3794" spans="4:7">
      <c r="D3794" s="46"/>
      <c r="E3794" s="46"/>
      <c r="F3794" s="46"/>
      <c r="G3794" s="46"/>
    </row>
    <row r="3795" spans="4:7">
      <c r="D3795" s="46"/>
      <c r="E3795" s="46"/>
      <c r="F3795" s="46"/>
      <c r="G3795" s="46"/>
    </row>
    <row r="3796" spans="4:7">
      <c r="D3796" s="46"/>
      <c r="E3796" s="46"/>
      <c r="F3796" s="46"/>
      <c r="G3796" s="46"/>
    </row>
    <row r="3797" spans="4:7">
      <c r="D3797" s="46"/>
      <c r="E3797" s="46"/>
      <c r="F3797" s="46"/>
      <c r="G3797" s="46"/>
    </row>
    <row r="3798" spans="4:7">
      <c r="D3798" s="46"/>
      <c r="E3798" s="46"/>
      <c r="F3798" s="46"/>
      <c r="G3798" s="46"/>
    </row>
    <row r="3799" spans="4:7">
      <c r="D3799" s="46"/>
      <c r="E3799" s="46"/>
      <c r="F3799" s="46"/>
      <c r="G3799" s="46"/>
    </row>
    <row r="3800" spans="4:7">
      <c r="D3800" s="46"/>
      <c r="E3800" s="46"/>
      <c r="F3800" s="46"/>
      <c r="G3800" s="46"/>
    </row>
    <row r="3801" spans="4:7">
      <c r="D3801" s="46"/>
      <c r="E3801" s="46"/>
      <c r="F3801" s="46"/>
      <c r="G3801" s="46"/>
    </row>
    <row r="3802" spans="4:7">
      <c r="D3802" s="46"/>
      <c r="E3802" s="46"/>
      <c r="F3802" s="46"/>
      <c r="G3802" s="46"/>
    </row>
    <row r="3803" spans="4:7">
      <c r="D3803" s="46"/>
      <c r="E3803" s="46"/>
      <c r="F3803" s="46"/>
      <c r="G3803" s="46"/>
    </row>
    <row r="3804" spans="4:7">
      <c r="D3804" s="46"/>
      <c r="E3804" s="46"/>
      <c r="F3804" s="46"/>
      <c r="G3804" s="46"/>
    </row>
    <row r="3805" spans="4:7">
      <c r="D3805" s="46"/>
      <c r="E3805" s="46"/>
      <c r="F3805" s="46"/>
      <c r="G3805" s="46"/>
    </row>
    <row r="3806" spans="4:7">
      <c r="D3806" s="46"/>
      <c r="E3806" s="46"/>
      <c r="F3806" s="46"/>
      <c r="G3806" s="46"/>
    </row>
    <row r="3807" spans="4:7">
      <c r="D3807" s="46"/>
      <c r="E3807" s="46"/>
      <c r="F3807" s="46"/>
      <c r="G3807" s="46"/>
    </row>
    <row r="3808" spans="4:7">
      <c r="D3808" s="46"/>
      <c r="E3808" s="46"/>
      <c r="F3808" s="46"/>
      <c r="G3808" s="46"/>
    </row>
    <row r="3809" spans="4:7">
      <c r="D3809" s="46"/>
      <c r="E3809" s="46"/>
      <c r="F3809" s="46"/>
      <c r="G3809" s="46"/>
    </row>
    <row r="3810" spans="4:7">
      <c r="D3810" s="46"/>
      <c r="E3810" s="46"/>
      <c r="F3810" s="46"/>
      <c r="G3810" s="46"/>
    </row>
    <row r="3811" spans="4:7">
      <c r="D3811" s="46"/>
      <c r="E3811" s="46"/>
      <c r="F3811" s="46"/>
      <c r="G3811" s="46"/>
    </row>
    <row r="3812" spans="4:7">
      <c r="D3812" s="46"/>
      <c r="E3812" s="46"/>
      <c r="F3812" s="46"/>
      <c r="G3812" s="46"/>
    </row>
    <row r="3813" spans="4:7">
      <c r="D3813" s="46"/>
      <c r="E3813" s="46"/>
      <c r="F3813" s="46"/>
      <c r="G3813" s="46"/>
    </row>
    <row r="3814" spans="4:7">
      <c r="D3814" s="46"/>
      <c r="E3814" s="46"/>
      <c r="F3814" s="46"/>
      <c r="G3814" s="46"/>
    </row>
    <row r="3815" spans="4:7">
      <c r="D3815" s="46"/>
      <c r="E3815" s="46"/>
      <c r="F3815" s="46"/>
      <c r="G3815" s="46"/>
    </row>
    <row r="3816" spans="4:7">
      <c r="D3816" s="46"/>
      <c r="E3816" s="46"/>
      <c r="F3816" s="46"/>
      <c r="G3816" s="46"/>
    </row>
    <row r="3817" spans="4:7">
      <c r="D3817" s="46"/>
      <c r="E3817" s="46"/>
      <c r="F3817" s="46"/>
      <c r="G3817" s="46"/>
    </row>
    <row r="3818" spans="4:7">
      <c r="D3818" s="46"/>
      <c r="E3818" s="46"/>
      <c r="F3818" s="46"/>
      <c r="G3818" s="46"/>
    </row>
    <row r="3819" spans="4:7">
      <c r="D3819" s="46"/>
      <c r="E3819" s="46"/>
      <c r="F3819" s="46"/>
      <c r="G3819" s="46"/>
    </row>
    <row r="3820" spans="4:7">
      <c r="D3820" s="46"/>
      <c r="E3820" s="46"/>
      <c r="F3820" s="46"/>
      <c r="G3820" s="46"/>
    </row>
    <row r="3821" spans="4:7">
      <c r="D3821" s="46"/>
      <c r="E3821" s="46"/>
      <c r="F3821" s="46"/>
      <c r="G3821" s="46"/>
    </row>
    <row r="3822" spans="4:7">
      <c r="D3822" s="46"/>
      <c r="E3822" s="46"/>
      <c r="F3822" s="46"/>
      <c r="G3822" s="46"/>
    </row>
    <row r="3823" spans="4:7">
      <c r="D3823" s="46"/>
      <c r="E3823" s="46"/>
      <c r="F3823" s="46"/>
      <c r="G3823" s="46"/>
    </row>
    <row r="3824" spans="4:7">
      <c r="D3824" s="46"/>
      <c r="E3824" s="46"/>
      <c r="F3824" s="46"/>
      <c r="G3824" s="46"/>
    </row>
    <row r="3825" spans="4:7">
      <c r="D3825" s="46"/>
      <c r="E3825" s="46"/>
      <c r="F3825" s="46"/>
      <c r="G3825" s="46"/>
    </row>
    <row r="3826" spans="4:7">
      <c r="D3826" s="46"/>
      <c r="E3826" s="46"/>
      <c r="F3826" s="46"/>
      <c r="G3826" s="46"/>
    </row>
    <row r="3827" spans="4:7">
      <c r="D3827" s="46"/>
      <c r="E3827" s="46"/>
      <c r="F3827" s="46"/>
      <c r="G3827" s="46"/>
    </row>
    <row r="3828" spans="4:7">
      <c r="D3828" s="46"/>
      <c r="E3828" s="46"/>
      <c r="F3828" s="46"/>
      <c r="G3828" s="46"/>
    </row>
    <row r="3829" spans="4:7">
      <c r="D3829" s="46"/>
      <c r="E3829" s="46"/>
      <c r="F3829" s="46"/>
      <c r="G3829" s="46"/>
    </row>
    <row r="3830" spans="4:7">
      <c r="D3830" s="46"/>
      <c r="E3830" s="46"/>
      <c r="F3830" s="46"/>
      <c r="G3830" s="46"/>
    </row>
    <row r="3831" spans="4:7">
      <c r="D3831" s="46"/>
      <c r="E3831" s="46"/>
      <c r="F3831" s="46"/>
      <c r="G3831" s="46"/>
    </row>
    <row r="3832" spans="4:7">
      <c r="D3832" s="46"/>
      <c r="E3832" s="46"/>
      <c r="F3832" s="46"/>
      <c r="G3832" s="46"/>
    </row>
    <row r="3833" spans="4:7">
      <c r="D3833" s="46"/>
      <c r="E3833" s="46"/>
      <c r="F3833" s="46"/>
      <c r="G3833" s="46"/>
    </row>
    <row r="3834" spans="4:7">
      <c r="D3834" s="46"/>
      <c r="E3834" s="46"/>
      <c r="F3834" s="46"/>
      <c r="G3834" s="46"/>
    </row>
    <row r="3835" spans="4:7">
      <c r="D3835" s="46"/>
      <c r="E3835" s="46"/>
      <c r="F3835" s="46"/>
      <c r="G3835" s="46"/>
    </row>
    <row r="3836" spans="4:7">
      <c r="D3836" s="46"/>
      <c r="E3836" s="46"/>
      <c r="F3836" s="46"/>
      <c r="G3836" s="46"/>
    </row>
    <row r="3837" spans="4:7">
      <c r="D3837" s="46"/>
      <c r="E3837" s="46"/>
      <c r="F3837" s="46"/>
      <c r="G3837" s="46"/>
    </row>
    <row r="3838" spans="4:7">
      <c r="D3838" s="46"/>
      <c r="E3838" s="46"/>
      <c r="F3838" s="46"/>
      <c r="G3838" s="46"/>
    </row>
    <row r="3839" spans="4:7">
      <c r="D3839" s="46"/>
      <c r="E3839" s="46"/>
      <c r="F3839" s="46"/>
      <c r="G3839" s="46"/>
    </row>
    <row r="3840" spans="4:7">
      <c r="D3840" s="46"/>
      <c r="E3840" s="46"/>
      <c r="F3840" s="46"/>
      <c r="G3840" s="46"/>
    </row>
    <row r="3841" spans="4:7">
      <c r="D3841" s="46"/>
      <c r="E3841" s="46"/>
      <c r="F3841" s="46"/>
      <c r="G3841" s="46"/>
    </row>
    <row r="3842" spans="4:7">
      <c r="D3842" s="46"/>
      <c r="E3842" s="46"/>
      <c r="F3842" s="46"/>
      <c r="G3842" s="46"/>
    </row>
    <row r="3843" spans="4:7">
      <c r="D3843" s="46"/>
      <c r="E3843" s="46"/>
      <c r="F3843" s="46"/>
      <c r="G3843" s="46"/>
    </row>
    <row r="3844" spans="4:7">
      <c r="D3844" s="46"/>
      <c r="E3844" s="46"/>
      <c r="F3844" s="46"/>
      <c r="G3844" s="46"/>
    </row>
    <row r="3845" spans="4:7">
      <c r="D3845" s="46"/>
      <c r="E3845" s="46"/>
      <c r="F3845" s="46"/>
      <c r="G3845" s="46"/>
    </row>
    <row r="3846" spans="4:7">
      <c r="D3846" s="46"/>
      <c r="E3846" s="46"/>
      <c r="F3846" s="46"/>
      <c r="G3846" s="46"/>
    </row>
    <row r="3847" spans="4:7">
      <c r="D3847" s="46"/>
      <c r="E3847" s="46"/>
      <c r="F3847" s="46"/>
      <c r="G3847" s="46"/>
    </row>
    <row r="3848" spans="4:7">
      <c r="D3848" s="46"/>
      <c r="E3848" s="46"/>
      <c r="F3848" s="46"/>
      <c r="G3848" s="46"/>
    </row>
    <row r="3849" spans="4:7">
      <c r="D3849" s="46"/>
      <c r="E3849" s="46"/>
      <c r="F3849" s="46"/>
      <c r="G3849" s="46"/>
    </row>
    <row r="3850" spans="4:7">
      <c r="D3850" s="46"/>
      <c r="E3850" s="46"/>
      <c r="F3850" s="46"/>
      <c r="G3850" s="46"/>
    </row>
    <row r="3851" spans="4:7">
      <c r="D3851" s="46"/>
      <c r="E3851" s="46"/>
      <c r="F3851" s="46"/>
      <c r="G3851" s="46"/>
    </row>
    <row r="3852" spans="4:7">
      <c r="D3852" s="46"/>
      <c r="E3852" s="46"/>
      <c r="F3852" s="46"/>
      <c r="G3852" s="46"/>
    </row>
    <row r="3853" spans="4:7">
      <c r="D3853" s="46"/>
      <c r="E3853" s="46"/>
      <c r="F3853" s="46"/>
      <c r="G3853" s="46"/>
    </row>
    <row r="3854" spans="4:7">
      <c r="D3854" s="46"/>
      <c r="E3854" s="46"/>
      <c r="F3854" s="46"/>
      <c r="G3854" s="46"/>
    </row>
    <row r="3855" spans="4:7">
      <c r="D3855" s="46"/>
      <c r="E3855" s="46"/>
      <c r="F3855" s="46"/>
      <c r="G3855" s="46"/>
    </row>
    <row r="3856" spans="4:7">
      <c r="D3856" s="46"/>
      <c r="E3856" s="46"/>
      <c r="F3856" s="46"/>
      <c r="G3856" s="46"/>
    </row>
    <row r="3857" spans="4:7">
      <c r="D3857" s="46"/>
      <c r="E3857" s="46"/>
      <c r="F3857" s="46"/>
      <c r="G3857" s="46"/>
    </row>
    <row r="3858" spans="4:7">
      <c r="D3858" s="46"/>
      <c r="E3858" s="46"/>
      <c r="F3858" s="46"/>
      <c r="G3858" s="46"/>
    </row>
    <row r="3859" spans="4:7">
      <c r="D3859" s="46"/>
      <c r="E3859" s="46"/>
      <c r="F3859" s="46"/>
      <c r="G3859" s="46"/>
    </row>
    <row r="3860" spans="4:7">
      <c r="D3860" s="46"/>
      <c r="E3860" s="46"/>
      <c r="F3860" s="46"/>
      <c r="G3860" s="46"/>
    </row>
    <row r="3861" spans="4:7">
      <c r="D3861" s="46"/>
      <c r="E3861" s="46"/>
      <c r="F3861" s="46"/>
      <c r="G3861" s="46"/>
    </row>
    <row r="3862" spans="4:7">
      <c r="D3862" s="46"/>
      <c r="E3862" s="46"/>
      <c r="F3862" s="46"/>
      <c r="G3862" s="46"/>
    </row>
    <row r="3863" spans="4:7">
      <c r="D3863" s="46"/>
      <c r="E3863" s="46"/>
      <c r="F3863" s="46"/>
      <c r="G3863" s="46"/>
    </row>
    <row r="3864" spans="4:7">
      <c r="D3864" s="46"/>
      <c r="E3864" s="46"/>
      <c r="F3864" s="46"/>
      <c r="G3864" s="46"/>
    </row>
    <row r="3865" spans="4:7">
      <c r="D3865" s="46"/>
      <c r="E3865" s="46"/>
      <c r="F3865" s="46"/>
      <c r="G3865" s="46"/>
    </row>
    <row r="3866" spans="4:7">
      <c r="D3866" s="46"/>
      <c r="E3866" s="46"/>
      <c r="F3866" s="46"/>
      <c r="G3866" s="46"/>
    </row>
    <row r="3867" spans="4:7">
      <c r="D3867" s="46"/>
      <c r="E3867" s="46"/>
      <c r="F3867" s="46"/>
      <c r="G3867" s="46"/>
    </row>
    <row r="3868" spans="4:7">
      <c r="D3868" s="46"/>
      <c r="E3868" s="46"/>
      <c r="F3868" s="46"/>
      <c r="G3868" s="46"/>
    </row>
    <row r="3869" spans="4:7">
      <c r="D3869" s="46"/>
      <c r="E3869" s="46"/>
      <c r="F3869" s="46"/>
      <c r="G3869" s="46"/>
    </row>
    <row r="3870" spans="4:7">
      <c r="D3870" s="46"/>
      <c r="E3870" s="46"/>
      <c r="F3870" s="46"/>
      <c r="G3870" s="46"/>
    </row>
    <row r="3871" spans="4:7">
      <c r="D3871" s="46"/>
      <c r="E3871" s="46"/>
      <c r="F3871" s="46"/>
      <c r="G3871" s="46"/>
    </row>
    <row r="3872" spans="4:7">
      <c r="D3872" s="46"/>
      <c r="E3872" s="46"/>
      <c r="F3872" s="46"/>
      <c r="G3872" s="46"/>
    </row>
    <row r="3873" spans="4:7">
      <c r="D3873" s="46"/>
      <c r="E3873" s="46"/>
      <c r="F3873" s="46"/>
      <c r="G3873" s="46"/>
    </row>
    <row r="3874" spans="4:7">
      <c r="D3874" s="46"/>
      <c r="E3874" s="46"/>
      <c r="F3874" s="46"/>
      <c r="G3874" s="46"/>
    </row>
    <row r="3875" spans="4:7">
      <c r="D3875" s="46"/>
      <c r="E3875" s="46"/>
      <c r="F3875" s="46"/>
      <c r="G3875" s="46"/>
    </row>
    <row r="3876" spans="4:7">
      <c r="D3876" s="46"/>
      <c r="E3876" s="46"/>
      <c r="F3876" s="46"/>
      <c r="G3876" s="46"/>
    </row>
    <row r="3877" spans="4:7">
      <c r="D3877" s="46"/>
      <c r="E3877" s="46"/>
      <c r="F3877" s="46"/>
      <c r="G3877" s="46"/>
    </row>
    <row r="3878" spans="4:7">
      <c r="D3878" s="46"/>
      <c r="E3878" s="46"/>
      <c r="F3878" s="46"/>
      <c r="G3878" s="46"/>
    </row>
    <row r="3879" spans="4:7">
      <c r="D3879" s="46"/>
      <c r="E3879" s="46"/>
      <c r="F3879" s="46"/>
      <c r="G3879" s="46"/>
    </row>
    <row r="3880" spans="4:7">
      <c r="D3880" s="46"/>
      <c r="E3880" s="46"/>
      <c r="F3880" s="46"/>
      <c r="G3880" s="46"/>
    </row>
    <row r="3881" spans="4:7">
      <c r="D3881" s="46"/>
      <c r="E3881" s="46"/>
      <c r="F3881" s="46"/>
      <c r="G3881" s="46"/>
    </row>
    <row r="3882" spans="4:7">
      <c r="D3882" s="46"/>
      <c r="E3882" s="46"/>
      <c r="F3882" s="46"/>
      <c r="G3882" s="46"/>
    </row>
    <row r="3883" spans="4:7">
      <c r="D3883" s="46"/>
      <c r="E3883" s="46"/>
      <c r="F3883" s="46"/>
      <c r="G3883" s="46"/>
    </row>
    <row r="3884" spans="4:7">
      <c r="D3884" s="46"/>
      <c r="E3884" s="46"/>
      <c r="F3884" s="46"/>
      <c r="G3884" s="46"/>
    </row>
    <row r="3885" spans="4:7">
      <c r="D3885" s="46"/>
      <c r="E3885" s="46"/>
      <c r="F3885" s="46"/>
      <c r="G3885" s="46"/>
    </row>
    <row r="3886" spans="4:7">
      <c r="D3886" s="46"/>
      <c r="E3886" s="46"/>
      <c r="F3886" s="46"/>
      <c r="G3886" s="46"/>
    </row>
    <row r="3887" spans="4:7">
      <c r="D3887" s="46"/>
      <c r="E3887" s="46"/>
      <c r="F3887" s="46"/>
      <c r="G3887" s="46"/>
    </row>
    <row r="3888" spans="4:7">
      <c r="D3888" s="46"/>
      <c r="E3888" s="46"/>
      <c r="F3888" s="46"/>
      <c r="G3888" s="46"/>
    </row>
    <row r="3889" spans="4:7">
      <c r="D3889" s="46"/>
      <c r="E3889" s="46"/>
      <c r="F3889" s="46"/>
      <c r="G3889" s="46"/>
    </row>
    <row r="3890" spans="4:7">
      <c r="D3890" s="46"/>
      <c r="E3890" s="46"/>
      <c r="F3890" s="46"/>
      <c r="G3890" s="46"/>
    </row>
    <row r="3891" spans="4:7">
      <c r="D3891" s="46"/>
      <c r="E3891" s="46"/>
      <c r="F3891" s="46"/>
      <c r="G3891" s="46"/>
    </row>
    <row r="3892" spans="4:7">
      <c r="D3892" s="46"/>
      <c r="E3892" s="46"/>
      <c r="F3892" s="46"/>
      <c r="G3892" s="46"/>
    </row>
    <row r="3893" spans="4:7">
      <c r="D3893" s="46"/>
      <c r="E3893" s="46"/>
      <c r="F3893" s="46"/>
      <c r="G3893" s="46"/>
    </row>
    <row r="3894" spans="4:7">
      <c r="D3894" s="46"/>
      <c r="E3894" s="46"/>
      <c r="F3894" s="46"/>
      <c r="G3894" s="46"/>
    </row>
    <row r="3895" spans="4:7">
      <c r="D3895" s="46"/>
      <c r="E3895" s="46"/>
      <c r="F3895" s="46"/>
      <c r="G3895" s="46"/>
    </row>
    <row r="3896" spans="4:7">
      <c r="D3896" s="46"/>
      <c r="E3896" s="46"/>
      <c r="F3896" s="46"/>
      <c r="G3896" s="46"/>
    </row>
    <row r="3897" spans="4:7">
      <c r="D3897" s="46"/>
      <c r="E3897" s="46"/>
      <c r="F3897" s="46"/>
      <c r="G3897" s="46"/>
    </row>
    <row r="3898" spans="4:7">
      <c r="D3898" s="46"/>
      <c r="E3898" s="46"/>
      <c r="F3898" s="46"/>
      <c r="G3898" s="46"/>
    </row>
    <row r="3899" spans="4:7">
      <c r="D3899" s="46"/>
      <c r="E3899" s="46"/>
      <c r="F3899" s="46"/>
      <c r="G3899" s="46"/>
    </row>
    <row r="3900" spans="4:7">
      <c r="D3900" s="46"/>
      <c r="E3900" s="46"/>
      <c r="F3900" s="46"/>
      <c r="G3900" s="46"/>
    </row>
    <row r="3901" spans="4:7">
      <c r="D3901" s="46"/>
      <c r="E3901" s="46"/>
      <c r="F3901" s="46"/>
      <c r="G3901" s="46"/>
    </row>
    <row r="3902" spans="4:7">
      <c r="D3902" s="46"/>
      <c r="E3902" s="46"/>
      <c r="F3902" s="46"/>
      <c r="G3902" s="46"/>
    </row>
    <row r="3903" spans="4:7">
      <c r="D3903" s="46"/>
      <c r="E3903" s="46"/>
      <c r="F3903" s="46"/>
      <c r="G3903" s="46"/>
    </row>
    <row r="3904" spans="4:7">
      <c r="D3904" s="46"/>
      <c r="E3904" s="46"/>
      <c r="F3904" s="46"/>
      <c r="G3904" s="46"/>
    </row>
    <row r="3905" spans="4:7">
      <c r="D3905" s="46"/>
      <c r="E3905" s="46"/>
      <c r="F3905" s="46"/>
      <c r="G3905" s="46"/>
    </row>
    <row r="3906" spans="4:7">
      <c r="D3906" s="46"/>
      <c r="E3906" s="46"/>
      <c r="F3906" s="46"/>
      <c r="G3906" s="46"/>
    </row>
    <row r="3907" spans="4:7">
      <c r="D3907" s="46"/>
      <c r="E3907" s="46"/>
      <c r="F3907" s="46"/>
      <c r="G3907" s="46"/>
    </row>
    <row r="3908" spans="4:7">
      <c r="D3908" s="46"/>
      <c r="E3908" s="46"/>
      <c r="F3908" s="46"/>
      <c r="G3908" s="46"/>
    </row>
    <row r="3909" spans="4:7">
      <c r="D3909" s="46"/>
      <c r="E3909" s="46"/>
      <c r="F3909" s="46"/>
      <c r="G3909" s="46"/>
    </row>
    <row r="3910" spans="4:7">
      <c r="D3910" s="46"/>
      <c r="E3910" s="46"/>
      <c r="F3910" s="46"/>
      <c r="G3910" s="46"/>
    </row>
    <row r="3911" spans="4:7">
      <c r="D3911" s="46"/>
      <c r="E3911" s="46"/>
      <c r="F3911" s="46"/>
      <c r="G3911" s="46"/>
    </row>
    <row r="3912" spans="4:7">
      <c r="D3912" s="46"/>
      <c r="E3912" s="46"/>
      <c r="F3912" s="46"/>
      <c r="G3912" s="46"/>
    </row>
    <row r="3913" spans="4:7">
      <c r="D3913" s="46"/>
      <c r="E3913" s="46"/>
      <c r="F3913" s="46"/>
      <c r="G3913" s="46"/>
    </row>
    <row r="3914" spans="4:7">
      <c r="D3914" s="46"/>
      <c r="E3914" s="46"/>
      <c r="F3914" s="46"/>
      <c r="G3914" s="46"/>
    </row>
    <row r="3915" spans="4:7">
      <c r="D3915" s="46"/>
      <c r="E3915" s="46"/>
      <c r="F3915" s="46"/>
      <c r="G3915" s="46"/>
    </row>
    <row r="3916" spans="4:7">
      <c r="D3916" s="46"/>
      <c r="E3916" s="46"/>
      <c r="F3916" s="46"/>
      <c r="G3916" s="46"/>
    </row>
    <row r="3917" spans="4:7">
      <c r="D3917" s="46"/>
      <c r="E3917" s="46"/>
      <c r="F3917" s="46"/>
      <c r="G3917" s="46"/>
    </row>
    <row r="3918" spans="4:7">
      <c r="D3918" s="46"/>
      <c r="E3918" s="46"/>
      <c r="F3918" s="46"/>
      <c r="G3918" s="46"/>
    </row>
    <row r="3919" spans="4:7">
      <c r="D3919" s="46"/>
      <c r="E3919" s="46"/>
      <c r="F3919" s="46"/>
      <c r="G3919" s="46"/>
    </row>
    <row r="3920" spans="4:7">
      <c r="D3920" s="46"/>
      <c r="E3920" s="46"/>
      <c r="F3920" s="46"/>
      <c r="G3920" s="46"/>
    </row>
    <row r="3921" spans="4:7">
      <c r="D3921" s="46"/>
      <c r="E3921" s="46"/>
      <c r="F3921" s="46"/>
      <c r="G3921" s="46"/>
    </row>
    <row r="3922" spans="4:7">
      <c r="D3922" s="46"/>
      <c r="E3922" s="46"/>
      <c r="F3922" s="46"/>
      <c r="G3922" s="46"/>
    </row>
    <row r="3923" spans="4:7">
      <c r="D3923" s="46"/>
      <c r="E3923" s="46"/>
      <c r="F3923" s="46"/>
      <c r="G3923" s="46"/>
    </row>
    <row r="3924" spans="4:7">
      <c r="D3924" s="46"/>
      <c r="E3924" s="46"/>
      <c r="F3924" s="46"/>
      <c r="G3924" s="46"/>
    </row>
    <row r="3925" spans="4:7">
      <c r="D3925" s="46"/>
      <c r="E3925" s="46"/>
      <c r="F3925" s="46"/>
      <c r="G3925" s="46"/>
    </row>
    <row r="3926" spans="4:7">
      <c r="D3926" s="46"/>
      <c r="E3926" s="46"/>
      <c r="F3926" s="46"/>
      <c r="G3926" s="46"/>
    </row>
    <row r="3927" spans="4:7">
      <c r="D3927" s="46"/>
      <c r="E3927" s="46"/>
      <c r="F3927" s="46"/>
      <c r="G3927" s="46"/>
    </row>
    <row r="3928" spans="4:7">
      <c r="D3928" s="46"/>
      <c r="E3928" s="46"/>
      <c r="F3928" s="46"/>
      <c r="G3928" s="46"/>
    </row>
    <row r="3929" spans="4:7">
      <c r="D3929" s="46"/>
      <c r="E3929" s="46"/>
      <c r="F3929" s="46"/>
      <c r="G3929" s="46"/>
    </row>
    <row r="3930" spans="4:7">
      <c r="D3930" s="46"/>
      <c r="E3930" s="46"/>
      <c r="F3930" s="46"/>
      <c r="G3930" s="46"/>
    </row>
    <row r="3931" spans="4:7">
      <c r="D3931" s="46"/>
      <c r="E3931" s="46"/>
      <c r="F3931" s="46"/>
      <c r="G3931" s="46"/>
    </row>
    <row r="3932" spans="4:7">
      <c r="D3932" s="46"/>
      <c r="E3932" s="46"/>
      <c r="F3932" s="46"/>
      <c r="G3932" s="46"/>
    </row>
    <row r="3933" spans="4:7">
      <c r="D3933" s="46"/>
      <c r="E3933" s="46"/>
      <c r="F3933" s="46"/>
      <c r="G3933" s="46"/>
    </row>
    <row r="3934" spans="4:7">
      <c r="D3934" s="46"/>
      <c r="E3934" s="46"/>
      <c r="F3934" s="46"/>
      <c r="G3934" s="46"/>
    </row>
    <row r="3935" spans="4:7">
      <c r="D3935" s="46"/>
      <c r="E3935" s="46"/>
      <c r="F3935" s="46"/>
      <c r="G3935" s="46"/>
    </row>
    <row r="3936" spans="4:7">
      <c r="D3936" s="46"/>
      <c r="E3936" s="46"/>
      <c r="F3936" s="46"/>
      <c r="G3936" s="46"/>
    </row>
    <row r="3937" spans="4:7">
      <c r="D3937" s="46"/>
      <c r="E3937" s="46"/>
      <c r="F3937" s="46"/>
      <c r="G3937" s="46"/>
    </row>
    <row r="3938" spans="4:7">
      <c r="D3938" s="46"/>
      <c r="E3938" s="46"/>
      <c r="F3938" s="46"/>
      <c r="G3938" s="46"/>
    </row>
    <row r="3939" spans="4:7">
      <c r="D3939" s="46"/>
      <c r="E3939" s="46"/>
      <c r="F3939" s="46"/>
      <c r="G3939" s="46"/>
    </row>
    <row r="3940" spans="4:7">
      <c r="D3940" s="46"/>
      <c r="E3940" s="46"/>
      <c r="F3940" s="46"/>
      <c r="G3940" s="46"/>
    </row>
    <row r="3941" spans="4:7">
      <c r="D3941" s="46"/>
      <c r="E3941" s="46"/>
      <c r="F3941" s="46"/>
      <c r="G3941" s="46"/>
    </row>
    <row r="3942" spans="4:7">
      <c r="D3942" s="46"/>
      <c r="E3942" s="46"/>
      <c r="F3942" s="46"/>
      <c r="G3942" s="46"/>
    </row>
    <row r="3943" spans="4:7">
      <c r="D3943" s="46"/>
      <c r="E3943" s="46"/>
      <c r="F3943" s="46"/>
      <c r="G3943" s="46"/>
    </row>
    <row r="3944" spans="4:7">
      <c r="D3944" s="46"/>
      <c r="E3944" s="46"/>
      <c r="F3944" s="46"/>
      <c r="G3944" s="46"/>
    </row>
    <row r="3945" spans="4:7">
      <c r="D3945" s="46"/>
      <c r="E3945" s="46"/>
      <c r="F3945" s="46"/>
      <c r="G3945" s="46"/>
    </row>
    <row r="3946" spans="4:7">
      <c r="D3946" s="46"/>
      <c r="E3946" s="46"/>
      <c r="F3946" s="46"/>
      <c r="G3946" s="46"/>
    </row>
    <row r="3947" spans="4:7">
      <c r="D3947" s="46"/>
      <c r="E3947" s="46"/>
      <c r="F3947" s="46"/>
      <c r="G3947" s="46"/>
    </row>
    <row r="3948" spans="4:7">
      <c r="D3948" s="46"/>
      <c r="E3948" s="46"/>
      <c r="F3948" s="46"/>
      <c r="G3948" s="46"/>
    </row>
    <row r="3949" spans="4:7">
      <c r="D3949" s="46"/>
      <c r="E3949" s="46"/>
      <c r="F3949" s="46"/>
      <c r="G3949" s="46"/>
    </row>
    <row r="3950" spans="4:7">
      <c r="D3950" s="46"/>
      <c r="E3950" s="46"/>
      <c r="F3950" s="46"/>
      <c r="G3950" s="46"/>
    </row>
    <row r="3951" spans="4:7">
      <c r="D3951" s="46"/>
      <c r="E3951" s="46"/>
      <c r="F3951" s="46"/>
      <c r="G3951" s="46"/>
    </row>
    <row r="3952" spans="4:7">
      <c r="D3952" s="46"/>
      <c r="E3952" s="46"/>
      <c r="F3952" s="46"/>
      <c r="G3952" s="46"/>
    </row>
    <row r="3953" spans="4:7">
      <c r="D3953" s="46"/>
      <c r="E3953" s="46"/>
      <c r="F3953" s="46"/>
      <c r="G3953" s="46"/>
    </row>
    <row r="3954" spans="4:7">
      <c r="D3954" s="46"/>
      <c r="E3954" s="46"/>
      <c r="F3954" s="46"/>
      <c r="G3954" s="46"/>
    </row>
    <row r="3955" spans="4:7">
      <c r="D3955" s="46"/>
      <c r="E3955" s="46"/>
      <c r="F3955" s="46"/>
      <c r="G3955" s="46"/>
    </row>
    <row r="3956" spans="4:7">
      <c r="D3956" s="46"/>
      <c r="E3956" s="46"/>
      <c r="F3956" s="46"/>
      <c r="G3956" s="46"/>
    </row>
    <row r="3957" spans="4:7">
      <c r="D3957" s="46"/>
      <c r="E3957" s="46"/>
      <c r="F3957" s="46"/>
      <c r="G3957" s="46"/>
    </row>
    <row r="3958" spans="4:7">
      <c r="D3958" s="46"/>
      <c r="E3958" s="46"/>
      <c r="F3958" s="46"/>
      <c r="G3958" s="46"/>
    </row>
    <row r="3959" spans="4:7">
      <c r="D3959" s="46"/>
      <c r="E3959" s="46"/>
      <c r="F3959" s="46"/>
      <c r="G3959" s="46"/>
    </row>
    <row r="3960" spans="4:7">
      <c r="D3960" s="46"/>
      <c r="E3960" s="46"/>
      <c r="F3960" s="46"/>
      <c r="G3960" s="46"/>
    </row>
    <row r="3961" spans="4:7">
      <c r="D3961" s="46"/>
      <c r="E3961" s="46"/>
      <c r="F3961" s="46"/>
      <c r="G3961" s="46"/>
    </row>
    <row r="3962" spans="4:7">
      <c r="D3962" s="46"/>
      <c r="E3962" s="46"/>
      <c r="F3962" s="46"/>
      <c r="G3962" s="46"/>
    </row>
    <row r="3963" spans="4:7">
      <c r="D3963" s="46"/>
      <c r="E3963" s="46"/>
      <c r="F3963" s="46"/>
      <c r="G3963" s="46"/>
    </row>
    <row r="3964" spans="4:7">
      <c r="D3964" s="46"/>
      <c r="E3964" s="46"/>
      <c r="F3964" s="46"/>
      <c r="G3964" s="46"/>
    </row>
    <row r="3965" spans="4:7">
      <c r="D3965" s="46"/>
      <c r="E3965" s="46"/>
      <c r="F3965" s="46"/>
      <c r="G3965" s="46"/>
    </row>
    <row r="3966" spans="4:7">
      <c r="D3966" s="46"/>
      <c r="E3966" s="46"/>
      <c r="F3966" s="46"/>
      <c r="G3966" s="46"/>
    </row>
    <row r="3967" spans="4:7">
      <c r="D3967" s="46"/>
      <c r="E3967" s="46"/>
      <c r="F3967" s="46"/>
      <c r="G3967" s="46"/>
    </row>
    <row r="3968" spans="4:7">
      <c r="D3968" s="46"/>
      <c r="E3968" s="46"/>
      <c r="F3968" s="46"/>
      <c r="G3968" s="46"/>
    </row>
    <row r="3969" spans="4:7">
      <c r="D3969" s="46"/>
      <c r="E3969" s="46"/>
      <c r="F3969" s="46"/>
      <c r="G3969" s="46"/>
    </row>
    <row r="3970" spans="4:7">
      <c r="D3970" s="46"/>
      <c r="E3970" s="46"/>
      <c r="F3970" s="46"/>
      <c r="G3970" s="46"/>
    </row>
    <row r="3971" spans="4:7">
      <c r="D3971" s="46"/>
      <c r="E3971" s="46"/>
      <c r="F3971" s="46"/>
      <c r="G3971" s="46"/>
    </row>
    <row r="3972" spans="4:7">
      <c r="D3972" s="46"/>
      <c r="E3972" s="46"/>
      <c r="F3972" s="46"/>
      <c r="G3972" s="46"/>
    </row>
    <row r="3973" spans="4:7">
      <c r="D3973" s="46"/>
      <c r="E3973" s="46"/>
      <c r="F3973" s="46"/>
      <c r="G3973" s="46"/>
    </row>
    <row r="3974" spans="4:7">
      <c r="D3974" s="46"/>
      <c r="E3974" s="46"/>
      <c r="F3974" s="46"/>
      <c r="G3974" s="46"/>
    </row>
    <row r="3975" spans="4:7">
      <c r="D3975" s="46"/>
      <c r="E3975" s="46"/>
      <c r="F3975" s="46"/>
      <c r="G3975" s="46"/>
    </row>
    <row r="3976" spans="4:7">
      <c r="D3976" s="46"/>
      <c r="E3976" s="46"/>
      <c r="F3976" s="46"/>
      <c r="G3976" s="46"/>
    </row>
    <row r="3977" spans="4:7">
      <c r="D3977" s="46"/>
      <c r="E3977" s="46"/>
      <c r="F3977" s="46"/>
      <c r="G3977" s="46"/>
    </row>
    <row r="3978" spans="4:7">
      <c r="D3978" s="46"/>
      <c r="E3978" s="46"/>
      <c r="F3978" s="46"/>
      <c r="G3978" s="46"/>
    </row>
    <row r="3979" spans="4:7">
      <c r="D3979" s="46"/>
      <c r="E3979" s="46"/>
      <c r="F3979" s="46"/>
      <c r="G3979" s="46"/>
    </row>
    <row r="3980" spans="4:7">
      <c r="D3980" s="46"/>
      <c r="E3980" s="46"/>
      <c r="F3980" s="46"/>
      <c r="G3980" s="46"/>
    </row>
    <row r="3981" spans="4:7">
      <c r="D3981" s="46"/>
      <c r="E3981" s="46"/>
      <c r="F3981" s="46"/>
      <c r="G3981" s="46"/>
    </row>
    <row r="3982" spans="4:7">
      <c r="D3982" s="46"/>
      <c r="E3982" s="46"/>
      <c r="F3982" s="46"/>
      <c r="G3982" s="46"/>
    </row>
    <row r="3983" spans="4:7">
      <c r="D3983" s="46"/>
      <c r="E3983" s="46"/>
      <c r="F3983" s="46"/>
      <c r="G3983" s="46"/>
    </row>
    <row r="3984" spans="4:7">
      <c r="D3984" s="46"/>
      <c r="E3984" s="46"/>
      <c r="F3984" s="46"/>
      <c r="G3984" s="46"/>
    </row>
    <row r="3985" spans="4:7">
      <c r="D3985" s="46"/>
      <c r="E3985" s="46"/>
      <c r="F3985" s="46"/>
      <c r="G3985" s="46"/>
    </row>
    <row r="3986" spans="4:7">
      <c r="D3986" s="46"/>
      <c r="E3986" s="46"/>
      <c r="F3986" s="46"/>
      <c r="G3986" s="46"/>
    </row>
    <row r="3987" spans="4:7">
      <c r="D3987" s="46"/>
      <c r="E3987" s="46"/>
      <c r="F3987" s="46"/>
      <c r="G3987" s="46"/>
    </row>
    <row r="3988" spans="4:7">
      <c r="D3988" s="46"/>
      <c r="E3988" s="46"/>
      <c r="F3988" s="46"/>
      <c r="G3988" s="46"/>
    </row>
    <row r="3989" spans="4:7">
      <c r="D3989" s="46"/>
      <c r="E3989" s="46"/>
      <c r="F3989" s="46"/>
      <c r="G3989" s="46"/>
    </row>
    <row r="3990" spans="4:7">
      <c r="D3990" s="46"/>
      <c r="E3990" s="46"/>
      <c r="F3990" s="46"/>
      <c r="G3990" s="46"/>
    </row>
    <row r="3991" spans="4:7">
      <c r="D3991" s="46"/>
      <c r="E3991" s="46"/>
      <c r="F3991" s="46"/>
      <c r="G3991" s="46"/>
    </row>
    <row r="3992" spans="4:7">
      <c r="D3992" s="46"/>
      <c r="E3992" s="46"/>
      <c r="F3992" s="46"/>
      <c r="G3992" s="46"/>
    </row>
    <row r="3993" spans="4:7">
      <c r="D3993" s="46"/>
      <c r="E3993" s="46"/>
      <c r="F3993" s="46"/>
      <c r="G3993" s="46"/>
    </row>
    <row r="3994" spans="4:7">
      <c r="D3994" s="46"/>
      <c r="E3994" s="46"/>
      <c r="F3994" s="46"/>
      <c r="G3994" s="46"/>
    </row>
    <row r="3995" spans="4:7">
      <c r="D3995" s="46"/>
      <c r="E3995" s="46"/>
      <c r="F3995" s="46"/>
      <c r="G3995" s="46"/>
    </row>
    <row r="3996" spans="4:7">
      <c r="D3996" s="46"/>
      <c r="E3996" s="46"/>
      <c r="F3996" s="46"/>
      <c r="G3996" s="46"/>
    </row>
    <row r="3997" spans="4:7">
      <c r="D3997" s="46"/>
      <c r="E3997" s="46"/>
      <c r="F3997" s="46"/>
      <c r="G3997" s="46"/>
    </row>
    <row r="3998" spans="4:7">
      <c r="D3998" s="46"/>
      <c r="E3998" s="46"/>
      <c r="F3998" s="46"/>
      <c r="G3998" s="46"/>
    </row>
    <row r="3999" spans="4:7">
      <c r="D3999" s="46"/>
      <c r="E3999" s="46"/>
      <c r="F3999" s="46"/>
      <c r="G3999" s="46"/>
    </row>
    <row r="4000" spans="4:7">
      <c r="D4000" s="46"/>
      <c r="E4000" s="46"/>
      <c r="F4000" s="46"/>
      <c r="G4000" s="46"/>
    </row>
    <row r="4001" spans="4:7">
      <c r="D4001" s="46"/>
      <c r="E4001" s="46"/>
      <c r="F4001" s="46"/>
      <c r="G4001" s="46"/>
    </row>
    <row r="4002" spans="4:7">
      <c r="D4002" s="46"/>
      <c r="E4002" s="46"/>
      <c r="F4002" s="46"/>
      <c r="G4002" s="46"/>
    </row>
    <row r="4003" spans="4:7">
      <c r="D4003" s="46"/>
      <c r="E4003" s="46"/>
      <c r="F4003" s="46"/>
      <c r="G4003" s="46"/>
    </row>
    <row r="4004" spans="4:7">
      <c r="D4004" s="46"/>
      <c r="E4004" s="46"/>
      <c r="F4004" s="46"/>
      <c r="G4004" s="46"/>
    </row>
    <row r="4005" spans="4:7">
      <c r="D4005" s="46"/>
      <c r="E4005" s="46"/>
      <c r="F4005" s="46"/>
      <c r="G4005" s="46"/>
    </row>
    <row r="4006" spans="4:7">
      <c r="D4006" s="46"/>
      <c r="E4006" s="46"/>
      <c r="F4006" s="46"/>
      <c r="G4006" s="46"/>
    </row>
    <row r="4007" spans="4:7">
      <c r="D4007" s="46"/>
      <c r="E4007" s="46"/>
      <c r="F4007" s="46"/>
      <c r="G4007" s="46"/>
    </row>
    <row r="4008" spans="4:7">
      <c r="D4008" s="46"/>
      <c r="E4008" s="46"/>
      <c r="F4008" s="46"/>
      <c r="G4008" s="46"/>
    </row>
    <row r="4009" spans="4:7">
      <c r="D4009" s="46"/>
      <c r="E4009" s="46"/>
      <c r="F4009" s="46"/>
      <c r="G4009" s="46"/>
    </row>
    <row r="4010" spans="4:7">
      <c r="D4010" s="46"/>
      <c r="E4010" s="46"/>
      <c r="F4010" s="46"/>
      <c r="G4010" s="46"/>
    </row>
    <row r="4011" spans="4:7">
      <c r="D4011" s="46"/>
      <c r="E4011" s="46"/>
      <c r="F4011" s="46"/>
      <c r="G4011" s="46"/>
    </row>
    <row r="4012" spans="4:7">
      <c r="D4012" s="46"/>
      <c r="E4012" s="46"/>
      <c r="F4012" s="46"/>
      <c r="G4012" s="46"/>
    </row>
    <row r="4013" spans="4:7">
      <c r="D4013" s="46"/>
      <c r="E4013" s="46"/>
      <c r="F4013" s="46"/>
      <c r="G4013" s="46"/>
    </row>
    <row r="4014" spans="4:7">
      <c r="D4014" s="46"/>
      <c r="E4014" s="46"/>
      <c r="F4014" s="46"/>
      <c r="G4014" s="46"/>
    </row>
    <row r="4015" spans="4:7">
      <c r="D4015" s="46"/>
      <c r="E4015" s="46"/>
      <c r="F4015" s="46"/>
      <c r="G4015" s="46"/>
    </row>
    <row r="4016" spans="4:7">
      <c r="D4016" s="46"/>
      <c r="E4016" s="46"/>
      <c r="F4016" s="46"/>
      <c r="G4016" s="46"/>
    </row>
    <row r="4017" spans="4:7">
      <c r="D4017" s="46"/>
      <c r="E4017" s="46"/>
      <c r="F4017" s="46"/>
      <c r="G4017" s="46"/>
    </row>
    <row r="4018" spans="4:7">
      <c r="D4018" s="46"/>
      <c r="E4018" s="46"/>
      <c r="F4018" s="46"/>
      <c r="G4018" s="46"/>
    </row>
    <row r="4019" spans="4:7">
      <c r="D4019" s="46"/>
      <c r="E4019" s="46"/>
      <c r="F4019" s="46"/>
      <c r="G4019" s="46"/>
    </row>
    <row r="4020" spans="4:7">
      <c r="D4020" s="46"/>
      <c r="E4020" s="46"/>
      <c r="F4020" s="46"/>
      <c r="G4020" s="46"/>
    </row>
    <row r="4021" spans="4:7">
      <c r="D4021" s="46"/>
      <c r="E4021" s="46"/>
      <c r="F4021" s="46"/>
      <c r="G4021" s="46"/>
    </row>
    <row r="4022" spans="4:7">
      <c r="D4022" s="46"/>
      <c r="E4022" s="46"/>
      <c r="F4022" s="46"/>
      <c r="G4022" s="46"/>
    </row>
    <row r="4023" spans="4:7">
      <c r="D4023" s="46"/>
      <c r="E4023" s="46"/>
      <c r="F4023" s="46"/>
      <c r="G4023" s="46"/>
    </row>
    <row r="4024" spans="4:7">
      <c r="D4024" s="46"/>
      <c r="E4024" s="46"/>
      <c r="F4024" s="46"/>
      <c r="G4024" s="46"/>
    </row>
    <row r="4025" spans="4:7">
      <c r="D4025" s="46"/>
      <c r="E4025" s="46"/>
      <c r="F4025" s="46"/>
      <c r="G4025" s="46"/>
    </row>
    <row r="4026" spans="4:7">
      <c r="D4026" s="46"/>
      <c r="E4026" s="46"/>
      <c r="F4026" s="46"/>
      <c r="G4026" s="46"/>
    </row>
    <row r="4027" spans="4:7">
      <c r="D4027" s="46"/>
      <c r="E4027" s="46"/>
      <c r="F4027" s="46"/>
      <c r="G4027" s="46"/>
    </row>
    <row r="4028" spans="4:7">
      <c r="D4028" s="46"/>
      <c r="E4028" s="46"/>
      <c r="F4028" s="46"/>
      <c r="G4028" s="46"/>
    </row>
    <row r="4029" spans="4:7">
      <c r="D4029" s="46"/>
      <c r="E4029" s="46"/>
      <c r="F4029" s="46"/>
      <c r="G4029" s="46"/>
    </row>
    <row r="4030" spans="4:7">
      <c r="D4030" s="46"/>
      <c r="E4030" s="46"/>
      <c r="F4030" s="46"/>
      <c r="G4030" s="46"/>
    </row>
    <row r="4031" spans="4:7">
      <c r="D4031" s="46"/>
      <c r="E4031" s="46"/>
      <c r="F4031" s="46"/>
      <c r="G4031" s="46"/>
    </row>
    <row r="4032" spans="4:7">
      <c r="D4032" s="46"/>
      <c r="E4032" s="46"/>
      <c r="F4032" s="46"/>
      <c r="G4032" s="46"/>
    </row>
    <row r="4033" spans="4:7">
      <c r="D4033" s="46"/>
      <c r="E4033" s="46"/>
      <c r="F4033" s="46"/>
      <c r="G4033" s="46"/>
    </row>
    <row r="4034" spans="4:7">
      <c r="D4034" s="46"/>
      <c r="E4034" s="46"/>
      <c r="F4034" s="46"/>
      <c r="G4034" s="46"/>
    </row>
    <row r="4035" spans="4:7">
      <c r="D4035" s="46"/>
      <c r="E4035" s="46"/>
      <c r="F4035" s="46"/>
      <c r="G4035" s="46"/>
    </row>
    <row r="4036" spans="4:7">
      <c r="D4036" s="46"/>
      <c r="E4036" s="46"/>
      <c r="F4036" s="46"/>
      <c r="G4036" s="46"/>
    </row>
    <row r="4037" spans="4:7">
      <c r="D4037" s="46"/>
      <c r="E4037" s="46"/>
      <c r="F4037" s="46"/>
      <c r="G4037" s="46"/>
    </row>
    <row r="4038" spans="4:7">
      <c r="D4038" s="46"/>
      <c r="E4038" s="46"/>
      <c r="F4038" s="46"/>
      <c r="G4038" s="46"/>
    </row>
    <row r="4039" spans="4:7">
      <c r="D4039" s="46"/>
      <c r="E4039" s="46"/>
      <c r="F4039" s="46"/>
      <c r="G4039" s="46"/>
    </row>
    <row r="4040" spans="4:7">
      <c r="D4040" s="46"/>
      <c r="E4040" s="46"/>
      <c r="F4040" s="46"/>
      <c r="G4040" s="46"/>
    </row>
    <row r="4041" spans="4:7">
      <c r="D4041" s="46"/>
      <c r="E4041" s="46"/>
      <c r="F4041" s="46"/>
      <c r="G4041" s="46"/>
    </row>
    <row r="4042" spans="4:7">
      <c r="D4042" s="46"/>
      <c r="E4042" s="46"/>
      <c r="F4042" s="46"/>
      <c r="G4042" s="46"/>
    </row>
    <row r="4043" spans="4:7">
      <c r="D4043" s="46"/>
      <c r="E4043" s="46"/>
      <c r="F4043" s="46"/>
      <c r="G4043" s="46"/>
    </row>
    <row r="4044" spans="4:7">
      <c r="D4044" s="46"/>
      <c r="E4044" s="46"/>
      <c r="F4044" s="46"/>
      <c r="G4044" s="46"/>
    </row>
    <row r="4045" spans="4:7">
      <c r="D4045" s="46"/>
      <c r="E4045" s="46"/>
      <c r="F4045" s="46"/>
      <c r="G4045" s="46"/>
    </row>
    <row r="4046" spans="4:7">
      <c r="D4046" s="46"/>
      <c r="E4046" s="46"/>
      <c r="F4046" s="46"/>
      <c r="G4046" s="46"/>
    </row>
    <row r="4047" spans="4:7">
      <c r="D4047" s="46"/>
      <c r="E4047" s="46"/>
      <c r="F4047" s="46"/>
      <c r="G4047" s="46"/>
    </row>
    <row r="4048" spans="4:7">
      <c r="D4048" s="46"/>
      <c r="E4048" s="46"/>
      <c r="F4048" s="46"/>
      <c r="G4048" s="46"/>
    </row>
    <row r="4049" spans="4:7">
      <c r="D4049" s="46"/>
      <c r="E4049" s="46"/>
      <c r="F4049" s="46"/>
      <c r="G4049" s="46"/>
    </row>
    <row r="4050" spans="4:7">
      <c r="D4050" s="46"/>
      <c r="E4050" s="46"/>
      <c r="F4050" s="46"/>
      <c r="G4050" s="46"/>
    </row>
    <row r="4051" spans="4:7">
      <c r="D4051" s="46"/>
      <c r="E4051" s="46"/>
      <c r="F4051" s="46"/>
      <c r="G4051" s="46"/>
    </row>
    <row r="4052" spans="4:7">
      <c r="D4052" s="46"/>
      <c r="E4052" s="46"/>
      <c r="F4052" s="46"/>
      <c r="G4052" s="46"/>
    </row>
    <row r="4053" spans="4:7">
      <c r="D4053" s="46"/>
      <c r="E4053" s="46"/>
      <c r="F4053" s="46"/>
      <c r="G4053" s="46"/>
    </row>
    <row r="4054" spans="4:7">
      <c r="D4054" s="46"/>
      <c r="E4054" s="46"/>
      <c r="F4054" s="46"/>
      <c r="G4054" s="46"/>
    </row>
    <row r="4055" spans="4:7">
      <c r="D4055" s="46"/>
      <c r="E4055" s="46"/>
      <c r="F4055" s="46"/>
      <c r="G4055" s="46"/>
    </row>
    <row r="4056" spans="4:7">
      <c r="D4056" s="46"/>
      <c r="E4056" s="46"/>
      <c r="F4056" s="46"/>
      <c r="G4056" s="46"/>
    </row>
    <row r="4057" spans="4:7">
      <c r="D4057" s="46"/>
      <c r="E4057" s="46"/>
      <c r="F4057" s="46"/>
      <c r="G4057" s="46"/>
    </row>
    <row r="4058" spans="4:7">
      <c r="D4058" s="46"/>
      <c r="E4058" s="46"/>
      <c r="F4058" s="46"/>
      <c r="G4058" s="46"/>
    </row>
    <row r="4059" spans="4:7">
      <c r="D4059" s="46"/>
      <c r="E4059" s="46"/>
      <c r="F4059" s="46"/>
      <c r="G4059" s="46"/>
    </row>
    <row r="4060" spans="4:7">
      <c r="D4060" s="46"/>
      <c r="E4060" s="46"/>
      <c r="F4060" s="46"/>
      <c r="G4060" s="46"/>
    </row>
    <row r="4061" spans="4:7">
      <c r="D4061" s="46"/>
      <c r="E4061" s="46"/>
      <c r="F4061" s="46"/>
      <c r="G4061" s="46"/>
    </row>
    <row r="4062" spans="4:7">
      <c r="D4062" s="46"/>
      <c r="E4062" s="46"/>
      <c r="F4062" s="46"/>
      <c r="G4062" s="46"/>
    </row>
    <row r="4063" spans="4:7">
      <c r="D4063" s="46"/>
      <c r="E4063" s="46"/>
      <c r="F4063" s="46"/>
      <c r="G4063" s="46"/>
    </row>
    <row r="4064" spans="4:7">
      <c r="D4064" s="46"/>
      <c r="E4064" s="46"/>
      <c r="F4064" s="46"/>
      <c r="G4064" s="46"/>
    </row>
    <row r="4065" spans="4:7">
      <c r="D4065" s="46"/>
      <c r="E4065" s="46"/>
      <c r="F4065" s="46"/>
      <c r="G4065" s="46"/>
    </row>
    <row r="4066" spans="4:7">
      <c r="D4066" s="46"/>
      <c r="E4066" s="46"/>
      <c r="F4066" s="46"/>
      <c r="G4066" s="46"/>
    </row>
    <row r="4067" spans="4:7">
      <c r="D4067" s="46"/>
      <c r="E4067" s="46"/>
      <c r="F4067" s="46"/>
      <c r="G4067" s="46"/>
    </row>
    <row r="4068" spans="4:7">
      <c r="D4068" s="46"/>
      <c r="E4068" s="46"/>
      <c r="F4068" s="46"/>
      <c r="G4068" s="46"/>
    </row>
    <row r="4069" spans="4:7">
      <c r="D4069" s="46"/>
      <c r="E4069" s="46"/>
      <c r="F4069" s="46"/>
      <c r="G4069" s="46"/>
    </row>
    <row r="4070" spans="4:7">
      <c r="D4070" s="46"/>
      <c r="E4070" s="46"/>
      <c r="F4070" s="46"/>
      <c r="G4070" s="46"/>
    </row>
    <row r="4071" spans="4:7">
      <c r="D4071" s="46"/>
      <c r="E4071" s="46"/>
      <c r="F4071" s="46"/>
      <c r="G4071" s="46"/>
    </row>
    <row r="4072" spans="4:7">
      <c r="D4072" s="46"/>
      <c r="E4072" s="46"/>
      <c r="F4072" s="46"/>
      <c r="G4072" s="46"/>
    </row>
    <row r="4073" spans="4:7">
      <c r="D4073" s="46"/>
      <c r="E4073" s="46"/>
      <c r="F4073" s="46"/>
      <c r="G4073" s="46"/>
    </row>
    <row r="4074" spans="4:7">
      <c r="D4074" s="46"/>
      <c r="E4074" s="46"/>
      <c r="F4074" s="46"/>
      <c r="G4074" s="46"/>
    </row>
    <row r="4075" spans="4:7">
      <c r="D4075" s="46"/>
      <c r="E4075" s="46"/>
      <c r="F4075" s="46"/>
      <c r="G4075" s="46"/>
    </row>
    <row r="4076" spans="4:7">
      <c r="D4076" s="46"/>
      <c r="E4076" s="46"/>
      <c r="F4076" s="46"/>
      <c r="G4076" s="46"/>
    </row>
    <row r="4077" spans="4:7">
      <c r="D4077" s="46"/>
      <c r="E4077" s="46"/>
      <c r="F4077" s="46"/>
      <c r="G4077" s="46"/>
    </row>
    <row r="4078" spans="4:7">
      <c r="D4078" s="46"/>
      <c r="E4078" s="46"/>
      <c r="F4078" s="46"/>
      <c r="G4078" s="46"/>
    </row>
    <row r="4079" spans="4:7">
      <c r="D4079" s="46"/>
      <c r="E4079" s="46"/>
      <c r="F4079" s="46"/>
      <c r="G4079" s="46"/>
    </row>
    <row r="4080" spans="4:7">
      <c r="D4080" s="46"/>
      <c r="E4080" s="46"/>
      <c r="F4080" s="46"/>
      <c r="G4080" s="46"/>
    </row>
    <row r="4081" spans="4:7">
      <c r="D4081" s="46"/>
      <c r="E4081" s="46"/>
      <c r="F4081" s="46"/>
      <c r="G4081" s="46"/>
    </row>
    <row r="4082" spans="4:7">
      <c r="D4082" s="46"/>
      <c r="E4082" s="46"/>
      <c r="F4082" s="46"/>
      <c r="G4082" s="46"/>
    </row>
    <row r="4083" spans="4:7">
      <c r="D4083" s="46"/>
      <c r="E4083" s="46"/>
      <c r="F4083" s="46"/>
      <c r="G4083" s="46"/>
    </row>
    <row r="4084" spans="4:7">
      <c r="D4084" s="46"/>
      <c r="E4084" s="46"/>
      <c r="F4084" s="46"/>
      <c r="G4084" s="46"/>
    </row>
    <row r="4085" spans="4:7">
      <c r="D4085" s="46"/>
      <c r="E4085" s="46"/>
      <c r="F4085" s="46"/>
      <c r="G4085" s="46"/>
    </row>
    <row r="4086" spans="4:7">
      <c r="D4086" s="46"/>
      <c r="E4086" s="46"/>
      <c r="F4086" s="46"/>
      <c r="G4086" s="46"/>
    </row>
    <row r="4087" spans="4:7">
      <c r="D4087" s="46"/>
      <c r="E4087" s="46"/>
      <c r="F4087" s="46"/>
      <c r="G4087" s="46"/>
    </row>
    <row r="4088" spans="4:7">
      <c r="D4088" s="46"/>
      <c r="E4088" s="46"/>
      <c r="F4088" s="46"/>
      <c r="G4088" s="46"/>
    </row>
    <row r="4089" spans="4:7">
      <c r="D4089" s="46"/>
      <c r="E4089" s="46"/>
      <c r="F4089" s="46"/>
      <c r="G4089" s="46"/>
    </row>
    <row r="4090" spans="4:7">
      <c r="D4090" s="46"/>
      <c r="E4090" s="46"/>
      <c r="F4090" s="46"/>
      <c r="G4090" s="46"/>
    </row>
    <row r="4091" spans="4:7">
      <c r="D4091" s="46"/>
      <c r="E4091" s="46"/>
      <c r="F4091" s="46"/>
      <c r="G4091" s="46"/>
    </row>
    <row r="4092" spans="4:7">
      <c r="D4092" s="46"/>
      <c r="E4092" s="46"/>
      <c r="F4092" s="46"/>
      <c r="G4092" s="46"/>
    </row>
    <row r="4093" spans="4:7">
      <c r="D4093" s="46"/>
      <c r="E4093" s="46"/>
      <c r="F4093" s="46"/>
      <c r="G4093" s="46"/>
    </row>
    <row r="4094" spans="4:7">
      <c r="D4094" s="46"/>
      <c r="E4094" s="46"/>
      <c r="F4094" s="46"/>
      <c r="G4094" s="46"/>
    </row>
    <row r="4095" spans="4:7">
      <c r="D4095" s="46"/>
      <c r="E4095" s="46"/>
      <c r="F4095" s="46"/>
      <c r="G4095" s="46"/>
    </row>
    <row r="4096" spans="4:7">
      <c r="D4096" s="46"/>
      <c r="E4096" s="46"/>
      <c r="F4096" s="46"/>
      <c r="G4096" s="46"/>
    </row>
    <row r="4097" spans="4:7">
      <c r="D4097" s="46"/>
      <c r="E4097" s="46"/>
      <c r="F4097" s="46"/>
      <c r="G4097" s="46"/>
    </row>
    <row r="4098" spans="4:7">
      <c r="D4098" s="46"/>
      <c r="E4098" s="46"/>
      <c r="F4098" s="46"/>
      <c r="G4098" s="46"/>
    </row>
    <row r="4099" spans="4:7">
      <c r="D4099" s="46"/>
      <c r="E4099" s="46"/>
      <c r="F4099" s="46"/>
      <c r="G4099" s="46"/>
    </row>
    <row r="4100" spans="4:7">
      <c r="D4100" s="46"/>
      <c r="E4100" s="46"/>
      <c r="F4100" s="46"/>
      <c r="G4100" s="46"/>
    </row>
    <row r="4101" spans="4:7">
      <c r="D4101" s="46"/>
      <c r="E4101" s="46"/>
      <c r="F4101" s="46"/>
      <c r="G4101" s="46"/>
    </row>
    <row r="4102" spans="4:7">
      <c r="D4102" s="46"/>
      <c r="E4102" s="46"/>
      <c r="F4102" s="46"/>
      <c r="G4102" s="46"/>
    </row>
    <row r="4103" spans="4:7">
      <c r="D4103" s="46"/>
      <c r="E4103" s="46"/>
      <c r="F4103" s="46"/>
      <c r="G4103" s="46"/>
    </row>
    <row r="4104" spans="4:7">
      <c r="D4104" s="46"/>
      <c r="E4104" s="46"/>
      <c r="F4104" s="46"/>
      <c r="G4104" s="46"/>
    </row>
    <row r="4105" spans="4:7">
      <c r="D4105" s="46"/>
      <c r="E4105" s="46"/>
      <c r="F4105" s="46"/>
      <c r="G4105" s="46"/>
    </row>
    <row r="4106" spans="4:7">
      <c r="D4106" s="46"/>
      <c r="E4106" s="46"/>
      <c r="F4106" s="46"/>
      <c r="G4106" s="46"/>
    </row>
    <row r="4107" spans="4:7">
      <c r="D4107" s="46"/>
      <c r="E4107" s="46"/>
      <c r="F4107" s="46"/>
      <c r="G4107" s="46"/>
    </row>
    <row r="4108" spans="4:7">
      <c r="D4108" s="46"/>
      <c r="E4108" s="46"/>
      <c r="F4108" s="46"/>
      <c r="G4108" s="46"/>
    </row>
    <row r="4109" spans="4:7">
      <c r="D4109" s="46"/>
      <c r="E4109" s="46"/>
      <c r="F4109" s="46"/>
      <c r="G4109" s="46"/>
    </row>
    <row r="4110" spans="4:7">
      <c r="D4110" s="46"/>
      <c r="E4110" s="46"/>
      <c r="F4110" s="46"/>
      <c r="G4110" s="46"/>
    </row>
    <row r="4111" spans="4:7">
      <c r="D4111" s="46"/>
      <c r="E4111" s="46"/>
      <c r="F4111" s="46"/>
      <c r="G4111" s="46"/>
    </row>
    <row r="4112" spans="4:7">
      <c r="D4112" s="46"/>
      <c r="E4112" s="46"/>
      <c r="F4112" s="46"/>
      <c r="G4112" s="46"/>
    </row>
    <row r="4113" spans="4:7">
      <c r="D4113" s="46"/>
      <c r="E4113" s="46"/>
      <c r="F4113" s="46"/>
      <c r="G4113" s="46"/>
    </row>
    <row r="4114" spans="4:7">
      <c r="D4114" s="46"/>
      <c r="E4114" s="46"/>
      <c r="F4114" s="46"/>
      <c r="G4114" s="46"/>
    </row>
    <row r="4115" spans="4:7">
      <c r="D4115" s="46"/>
      <c r="E4115" s="46"/>
      <c r="F4115" s="46"/>
      <c r="G4115" s="46"/>
    </row>
    <row r="4116" spans="4:7">
      <c r="D4116" s="46"/>
      <c r="E4116" s="46"/>
      <c r="F4116" s="46"/>
      <c r="G4116" s="46"/>
    </row>
    <row r="4117" spans="4:7">
      <c r="D4117" s="46"/>
      <c r="E4117" s="46"/>
      <c r="F4117" s="46"/>
      <c r="G4117" s="46"/>
    </row>
    <row r="4118" spans="4:7">
      <c r="D4118" s="46"/>
      <c r="E4118" s="46"/>
      <c r="F4118" s="46"/>
      <c r="G4118" s="46"/>
    </row>
    <row r="4119" spans="4:7">
      <c r="D4119" s="46"/>
      <c r="E4119" s="46"/>
      <c r="F4119" s="46"/>
      <c r="G4119" s="46"/>
    </row>
    <row r="4120" spans="4:7">
      <c r="D4120" s="46"/>
      <c r="E4120" s="46"/>
      <c r="F4120" s="46"/>
      <c r="G4120" s="46"/>
    </row>
    <row r="4121" spans="4:7">
      <c r="D4121" s="46"/>
      <c r="E4121" s="46"/>
      <c r="F4121" s="46"/>
      <c r="G4121" s="46"/>
    </row>
    <row r="4122" spans="4:7">
      <c r="D4122" s="46"/>
      <c r="E4122" s="46"/>
      <c r="F4122" s="46"/>
      <c r="G4122" s="46"/>
    </row>
    <row r="4123" spans="4:7">
      <c r="D4123" s="46"/>
      <c r="E4123" s="46"/>
      <c r="F4123" s="46"/>
      <c r="G4123" s="46"/>
    </row>
    <row r="4124" spans="4:7">
      <c r="D4124" s="46"/>
      <c r="E4124" s="46"/>
      <c r="F4124" s="46"/>
      <c r="G4124" s="46"/>
    </row>
    <row r="4125" spans="4:7">
      <c r="D4125" s="46"/>
      <c r="E4125" s="46"/>
      <c r="F4125" s="46"/>
      <c r="G4125" s="46"/>
    </row>
    <row r="4126" spans="4:7">
      <c r="D4126" s="46"/>
      <c r="E4126" s="46"/>
      <c r="F4126" s="46"/>
      <c r="G4126" s="46"/>
    </row>
    <row r="4127" spans="4:7">
      <c r="D4127" s="46"/>
      <c r="E4127" s="46"/>
      <c r="F4127" s="46"/>
      <c r="G4127" s="46"/>
    </row>
    <row r="4128" spans="4:7">
      <c r="D4128" s="46"/>
      <c r="E4128" s="46"/>
      <c r="F4128" s="46"/>
      <c r="G4128" s="46"/>
    </row>
    <row r="4129" spans="4:7">
      <c r="D4129" s="46"/>
      <c r="E4129" s="46"/>
      <c r="F4129" s="46"/>
      <c r="G4129" s="46"/>
    </row>
    <row r="4130" spans="4:7">
      <c r="D4130" s="46"/>
      <c r="E4130" s="46"/>
      <c r="F4130" s="46"/>
      <c r="G4130" s="46"/>
    </row>
    <row r="4131" spans="4:7">
      <c r="D4131" s="46"/>
      <c r="E4131" s="46"/>
      <c r="F4131" s="46"/>
      <c r="G4131" s="46"/>
    </row>
    <row r="4132" spans="4:7">
      <c r="D4132" s="46"/>
      <c r="E4132" s="46"/>
      <c r="F4132" s="46"/>
      <c r="G4132" s="46"/>
    </row>
    <row r="4133" spans="4:7">
      <c r="D4133" s="46"/>
      <c r="E4133" s="46"/>
      <c r="F4133" s="46"/>
      <c r="G4133" s="46"/>
    </row>
    <row r="4134" spans="4:7">
      <c r="D4134" s="46"/>
      <c r="E4134" s="46"/>
      <c r="F4134" s="46"/>
      <c r="G4134" s="46"/>
    </row>
    <row r="4135" spans="4:7">
      <c r="D4135" s="46"/>
      <c r="E4135" s="46"/>
      <c r="F4135" s="46"/>
      <c r="G4135" s="46"/>
    </row>
    <row r="4136" spans="4:7">
      <c r="D4136" s="46"/>
      <c r="E4136" s="46"/>
      <c r="F4136" s="46"/>
      <c r="G4136" s="46"/>
    </row>
    <row r="4137" spans="4:7">
      <c r="D4137" s="46"/>
      <c r="E4137" s="46"/>
      <c r="F4137" s="46"/>
      <c r="G4137" s="46"/>
    </row>
    <row r="4138" spans="4:7">
      <c r="D4138" s="46"/>
      <c r="E4138" s="46"/>
      <c r="F4138" s="46"/>
      <c r="G4138" s="46"/>
    </row>
    <row r="4139" spans="4:7">
      <c r="D4139" s="46"/>
      <c r="E4139" s="46"/>
      <c r="F4139" s="46"/>
      <c r="G4139" s="46"/>
    </row>
    <row r="4140" spans="4:7">
      <c r="D4140" s="46"/>
      <c r="E4140" s="46"/>
      <c r="F4140" s="46"/>
      <c r="G4140" s="46"/>
    </row>
    <row r="4141" spans="4:7">
      <c r="D4141" s="46"/>
      <c r="E4141" s="46"/>
      <c r="F4141" s="46"/>
      <c r="G4141" s="46"/>
    </row>
    <row r="4142" spans="4:7">
      <c r="D4142" s="46"/>
      <c r="E4142" s="46"/>
      <c r="F4142" s="46"/>
      <c r="G4142" s="46"/>
    </row>
    <row r="4143" spans="4:7">
      <c r="D4143" s="46"/>
      <c r="E4143" s="46"/>
      <c r="F4143" s="46"/>
      <c r="G4143" s="46"/>
    </row>
    <row r="4144" spans="4:7">
      <c r="D4144" s="46"/>
      <c r="E4144" s="46"/>
      <c r="F4144" s="46"/>
      <c r="G4144" s="46"/>
    </row>
    <row r="4145" spans="4:7">
      <c r="D4145" s="46"/>
      <c r="E4145" s="46"/>
      <c r="F4145" s="46"/>
      <c r="G4145" s="46"/>
    </row>
    <row r="4146" spans="4:7">
      <c r="D4146" s="46"/>
      <c r="E4146" s="46"/>
      <c r="F4146" s="46"/>
      <c r="G4146" s="46"/>
    </row>
    <row r="4147" spans="4:7">
      <c r="D4147" s="46"/>
      <c r="E4147" s="46"/>
      <c r="F4147" s="46"/>
      <c r="G4147" s="46"/>
    </row>
    <row r="4148" spans="4:7">
      <c r="D4148" s="46"/>
      <c r="E4148" s="46"/>
      <c r="F4148" s="46"/>
      <c r="G4148" s="46"/>
    </row>
    <row r="4149" spans="4:7">
      <c r="D4149" s="46"/>
      <c r="E4149" s="46"/>
      <c r="F4149" s="46"/>
      <c r="G4149" s="46"/>
    </row>
    <row r="4150" spans="4:7">
      <c r="D4150" s="46"/>
      <c r="E4150" s="46"/>
      <c r="F4150" s="46"/>
      <c r="G4150" s="46"/>
    </row>
    <row r="4151" spans="4:7">
      <c r="D4151" s="46"/>
      <c r="E4151" s="46"/>
      <c r="F4151" s="46"/>
      <c r="G4151" s="46"/>
    </row>
    <row r="4152" spans="4:7">
      <c r="D4152" s="46"/>
      <c r="E4152" s="46"/>
      <c r="F4152" s="46"/>
      <c r="G4152" s="46"/>
    </row>
    <row r="4153" spans="4:7">
      <c r="D4153" s="46"/>
      <c r="E4153" s="46"/>
      <c r="F4153" s="46"/>
      <c r="G4153" s="46"/>
    </row>
    <row r="4154" spans="4:7">
      <c r="D4154" s="46"/>
      <c r="E4154" s="46"/>
      <c r="F4154" s="46"/>
      <c r="G4154" s="46"/>
    </row>
    <row r="4155" spans="4:7">
      <c r="D4155" s="46"/>
      <c r="E4155" s="46"/>
      <c r="F4155" s="46"/>
      <c r="G4155" s="46"/>
    </row>
    <row r="4156" spans="4:7">
      <c r="D4156" s="46"/>
      <c r="E4156" s="46"/>
      <c r="F4156" s="46"/>
      <c r="G4156" s="46"/>
    </row>
    <row r="4157" spans="4:7">
      <c r="D4157" s="46"/>
      <c r="E4157" s="46"/>
      <c r="F4157" s="46"/>
      <c r="G4157" s="46"/>
    </row>
    <row r="4158" spans="4:7">
      <c r="D4158" s="46"/>
      <c r="E4158" s="46"/>
      <c r="F4158" s="46"/>
      <c r="G4158" s="46"/>
    </row>
    <row r="4159" spans="4:7">
      <c r="D4159" s="46"/>
      <c r="E4159" s="46"/>
      <c r="F4159" s="46"/>
      <c r="G4159" s="46"/>
    </row>
    <row r="4160" spans="4:7">
      <c r="D4160" s="46"/>
      <c r="E4160" s="46"/>
      <c r="F4160" s="46"/>
      <c r="G4160" s="46"/>
    </row>
    <row r="4161" spans="4:7">
      <c r="D4161" s="46"/>
      <c r="E4161" s="46"/>
      <c r="F4161" s="46"/>
      <c r="G4161" s="46"/>
    </row>
    <row r="4162" spans="4:7">
      <c r="D4162" s="46"/>
      <c r="E4162" s="46"/>
      <c r="F4162" s="46"/>
      <c r="G4162" s="46"/>
    </row>
    <row r="4163" spans="4:7">
      <c r="D4163" s="46"/>
      <c r="E4163" s="46"/>
      <c r="F4163" s="46"/>
      <c r="G4163" s="46"/>
    </row>
    <row r="4164" spans="4:7">
      <c r="D4164" s="46"/>
      <c r="E4164" s="46"/>
      <c r="F4164" s="46"/>
      <c r="G4164" s="46"/>
    </row>
    <row r="4165" spans="4:7">
      <c r="D4165" s="46"/>
      <c r="E4165" s="46"/>
      <c r="F4165" s="46"/>
      <c r="G4165" s="46"/>
    </row>
    <row r="4166" spans="4:7">
      <c r="D4166" s="46"/>
      <c r="E4166" s="46"/>
      <c r="F4166" s="46"/>
      <c r="G4166" s="46"/>
    </row>
    <row r="4167" spans="4:7">
      <c r="D4167" s="46"/>
      <c r="E4167" s="46"/>
      <c r="F4167" s="46"/>
      <c r="G4167" s="46"/>
    </row>
    <row r="4168" spans="4:7">
      <c r="D4168" s="46"/>
      <c r="E4168" s="46"/>
      <c r="F4168" s="46"/>
      <c r="G4168" s="46"/>
    </row>
    <row r="4169" spans="4:7">
      <c r="D4169" s="46"/>
      <c r="E4169" s="46"/>
      <c r="F4169" s="46"/>
      <c r="G4169" s="46"/>
    </row>
    <row r="4170" spans="4:7">
      <c r="D4170" s="46"/>
      <c r="E4170" s="46"/>
      <c r="F4170" s="46"/>
      <c r="G4170" s="46"/>
    </row>
    <row r="4171" spans="4:7">
      <c r="D4171" s="46"/>
      <c r="E4171" s="46"/>
      <c r="F4171" s="46"/>
      <c r="G4171" s="46"/>
    </row>
    <row r="4172" spans="4:7">
      <c r="D4172" s="46"/>
      <c r="E4172" s="46"/>
      <c r="F4172" s="46"/>
      <c r="G4172" s="46"/>
    </row>
    <row r="4173" spans="4:7">
      <c r="D4173" s="46"/>
      <c r="E4173" s="46"/>
      <c r="F4173" s="46"/>
      <c r="G4173" s="46"/>
    </row>
    <row r="4174" spans="4:7">
      <c r="D4174" s="46"/>
      <c r="E4174" s="46"/>
      <c r="F4174" s="46"/>
      <c r="G4174" s="46"/>
    </row>
    <row r="4175" spans="4:7">
      <c r="D4175" s="46"/>
      <c r="E4175" s="46"/>
      <c r="F4175" s="46"/>
      <c r="G4175" s="46"/>
    </row>
    <row r="4176" spans="4:7">
      <c r="D4176" s="46"/>
      <c r="E4176" s="46"/>
      <c r="F4176" s="46"/>
      <c r="G4176" s="46"/>
    </row>
    <row r="4177" spans="4:7">
      <c r="D4177" s="46"/>
      <c r="E4177" s="46"/>
      <c r="F4177" s="46"/>
      <c r="G4177" s="46"/>
    </row>
    <row r="4178" spans="4:7">
      <c r="D4178" s="46"/>
      <c r="E4178" s="46"/>
      <c r="F4178" s="46"/>
      <c r="G4178" s="46"/>
    </row>
    <row r="4179" spans="4:7">
      <c r="D4179" s="46"/>
      <c r="E4179" s="46"/>
      <c r="F4179" s="46"/>
      <c r="G4179" s="46"/>
    </row>
    <row r="4180" spans="4:7">
      <c r="D4180" s="46"/>
      <c r="E4180" s="46"/>
      <c r="F4180" s="46"/>
      <c r="G4180" s="46"/>
    </row>
    <row r="4181" spans="4:7">
      <c r="D4181" s="46"/>
      <c r="E4181" s="46"/>
      <c r="F4181" s="46"/>
      <c r="G4181" s="46"/>
    </row>
    <row r="4182" spans="4:7">
      <c r="D4182" s="46"/>
      <c r="E4182" s="46"/>
      <c r="F4182" s="46"/>
      <c r="G4182" s="46"/>
    </row>
    <row r="4183" spans="4:7">
      <c r="D4183" s="46"/>
      <c r="E4183" s="46"/>
      <c r="F4183" s="46"/>
      <c r="G4183" s="46"/>
    </row>
    <row r="4184" spans="4:7">
      <c r="D4184" s="46"/>
      <c r="E4184" s="46"/>
      <c r="F4184" s="46"/>
      <c r="G4184" s="46"/>
    </row>
    <row r="4185" spans="4:7">
      <c r="D4185" s="46"/>
      <c r="E4185" s="46"/>
      <c r="F4185" s="46"/>
      <c r="G4185" s="46"/>
    </row>
    <row r="4186" spans="4:7">
      <c r="D4186" s="46"/>
      <c r="E4186" s="46"/>
      <c r="F4186" s="46"/>
      <c r="G4186" s="46"/>
    </row>
    <row r="4187" spans="4:7">
      <c r="D4187" s="46"/>
      <c r="E4187" s="46"/>
      <c r="F4187" s="46"/>
      <c r="G4187" s="46"/>
    </row>
    <row r="4188" spans="4:7">
      <c r="D4188" s="46"/>
      <c r="E4188" s="46"/>
      <c r="F4188" s="46"/>
      <c r="G4188" s="46"/>
    </row>
    <row r="4189" spans="4:7">
      <c r="D4189" s="46"/>
      <c r="E4189" s="46"/>
      <c r="F4189" s="46"/>
      <c r="G4189" s="46"/>
    </row>
    <row r="4190" spans="4:7">
      <c r="D4190" s="46"/>
      <c r="E4190" s="46"/>
      <c r="F4190" s="46"/>
      <c r="G4190" s="46"/>
    </row>
    <row r="4191" spans="4:7">
      <c r="D4191" s="46"/>
      <c r="E4191" s="46"/>
      <c r="F4191" s="46"/>
      <c r="G4191" s="46"/>
    </row>
    <row r="4192" spans="4:7">
      <c r="D4192" s="46"/>
      <c r="E4192" s="46"/>
      <c r="F4192" s="46"/>
      <c r="G4192" s="46"/>
    </row>
    <row r="4193" spans="4:7">
      <c r="D4193" s="46"/>
      <c r="E4193" s="46"/>
      <c r="F4193" s="46"/>
      <c r="G4193" s="46"/>
    </row>
    <row r="4194" spans="4:7">
      <c r="D4194" s="46"/>
      <c r="E4194" s="46"/>
      <c r="F4194" s="46"/>
      <c r="G4194" s="46"/>
    </row>
    <row r="4195" spans="4:7">
      <c r="D4195" s="46"/>
      <c r="E4195" s="46"/>
      <c r="F4195" s="46"/>
      <c r="G4195" s="46"/>
    </row>
    <row r="4196" spans="4:7">
      <c r="D4196" s="46"/>
      <c r="E4196" s="46"/>
      <c r="F4196" s="46"/>
      <c r="G4196" s="46"/>
    </row>
    <row r="4197" spans="4:7">
      <c r="D4197" s="46"/>
      <c r="E4197" s="46"/>
      <c r="F4197" s="46"/>
      <c r="G4197" s="46"/>
    </row>
    <row r="4198" spans="4:7">
      <c r="D4198" s="46"/>
      <c r="E4198" s="46"/>
      <c r="F4198" s="46"/>
      <c r="G4198" s="46"/>
    </row>
    <row r="4199" spans="4:7">
      <c r="D4199" s="46"/>
      <c r="E4199" s="46"/>
      <c r="F4199" s="46"/>
      <c r="G4199" s="46"/>
    </row>
    <row r="4200" spans="4:7">
      <c r="D4200" s="46"/>
      <c r="E4200" s="46"/>
      <c r="F4200" s="46"/>
      <c r="G4200" s="46"/>
    </row>
    <row r="4201" spans="4:7">
      <c r="D4201" s="46"/>
      <c r="E4201" s="46"/>
      <c r="F4201" s="46"/>
      <c r="G4201" s="46"/>
    </row>
    <row r="4202" spans="4:7">
      <c r="D4202" s="46"/>
      <c r="E4202" s="46"/>
      <c r="F4202" s="46"/>
      <c r="G4202" s="46"/>
    </row>
    <row r="4203" spans="4:7">
      <c r="D4203" s="46"/>
      <c r="E4203" s="46"/>
      <c r="F4203" s="46"/>
      <c r="G4203" s="46"/>
    </row>
    <row r="4204" spans="4:7">
      <c r="D4204" s="46"/>
      <c r="E4204" s="46"/>
      <c r="F4204" s="46"/>
      <c r="G4204" s="46"/>
    </row>
    <row r="4205" spans="4:7">
      <c r="D4205" s="46"/>
      <c r="E4205" s="46"/>
      <c r="F4205" s="46"/>
      <c r="G4205" s="46"/>
    </row>
    <row r="4206" spans="4:7">
      <c r="D4206" s="46"/>
      <c r="E4206" s="46"/>
      <c r="F4206" s="46"/>
      <c r="G4206" s="46"/>
    </row>
    <row r="4207" spans="4:7">
      <c r="D4207" s="46"/>
      <c r="E4207" s="46"/>
      <c r="F4207" s="46"/>
      <c r="G4207" s="46"/>
    </row>
    <row r="4208" spans="4:7">
      <c r="D4208" s="46"/>
      <c r="E4208" s="46"/>
      <c r="F4208" s="46"/>
      <c r="G4208" s="46"/>
    </row>
    <row r="4209" spans="4:7">
      <c r="D4209" s="46"/>
      <c r="E4209" s="46"/>
      <c r="F4209" s="46"/>
      <c r="G4209" s="46"/>
    </row>
    <row r="4210" spans="4:7">
      <c r="D4210" s="46"/>
      <c r="E4210" s="46"/>
      <c r="F4210" s="46"/>
      <c r="G4210" s="46"/>
    </row>
    <row r="4211" spans="4:7">
      <c r="D4211" s="46"/>
      <c r="E4211" s="46"/>
      <c r="F4211" s="46"/>
      <c r="G4211" s="46"/>
    </row>
    <row r="4212" spans="4:7">
      <c r="D4212" s="46"/>
      <c r="E4212" s="46"/>
      <c r="F4212" s="46"/>
      <c r="G4212" s="46"/>
    </row>
    <row r="4213" spans="4:7">
      <c r="D4213" s="46"/>
      <c r="E4213" s="46"/>
      <c r="F4213" s="46"/>
      <c r="G4213" s="46"/>
    </row>
    <row r="4214" spans="4:7">
      <c r="D4214" s="46"/>
      <c r="E4214" s="46"/>
      <c r="F4214" s="46"/>
      <c r="G4214" s="46"/>
    </row>
    <row r="4215" spans="4:7">
      <c r="D4215" s="46"/>
      <c r="E4215" s="46"/>
      <c r="F4215" s="46"/>
      <c r="G4215" s="46"/>
    </row>
    <row r="4216" spans="4:7">
      <c r="D4216" s="46"/>
      <c r="E4216" s="46"/>
      <c r="F4216" s="46"/>
      <c r="G4216" s="46"/>
    </row>
    <row r="4217" spans="4:7">
      <c r="D4217" s="46"/>
      <c r="E4217" s="46"/>
      <c r="F4217" s="46"/>
      <c r="G4217" s="46"/>
    </row>
    <row r="4218" spans="4:7">
      <c r="D4218" s="46"/>
      <c r="E4218" s="46"/>
      <c r="F4218" s="46"/>
      <c r="G4218" s="46"/>
    </row>
    <row r="4219" spans="4:7">
      <c r="D4219" s="46"/>
      <c r="E4219" s="46"/>
      <c r="F4219" s="46"/>
      <c r="G4219" s="46"/>
    </row>
    <row r="4220" spans="4:7">
      <c r="D4220" s="46"/>
      <c r="E4220" s="46"/>
      <c r="F4220" s="46"/>
      <c r="G4220" s="46"/>
    </row>
    <row r="4221" spans="4:7">
      <c r="D4221" s="46"/>
      <c r="E4221" s="46"/>
      <c r="F4221" s="46"/>
      <c r="G4221" s="46"/>
    </row>
    <row r="4222" spans="4:7">
      <c r="D4222" s="46"/>
      <c r="E4222" s="46"/>
      <c r="F4222" s="46"/>
      <c r="G4222" s="46"/>
    </row>
    <row r="4223" spans="4:7">
      <c r="D4223" s="46"/>
      <c r="E4223" s="46"/>
      <c r="F4223" s="46"/>
      <c r="G4223" s="46"/>
    </row>
    <row r="4224" spans="4:7">
      <c r="D4224" s="46"/>
      <c r="E4224" s="46"/>
      <c r="F4224" s="46"/>
      <c r="G4224" s="46"/>
    </row>
    <row r="4225" spans="4:7">
      <c r="D4225" s="46"/>
      <c r="E4225" s="46"/>
      <c r="F4225" s="46"/>
      <c r="G4225" s="46"/>
    </row>
    <row r="4226" spans="4:7">
      <c r="D4226" s="46"/>
      <c r="E4226" s="46"/>
      <c r="F4226" s="46"/>
      <c r="G4226" s="46"/>
    </row>
    <row r="4227" spans="4:7">
      <c r="D4227" s="46"/>
      <c r="E4227" s="46"/>
      <c r="F4227" s="46"/>
      <c r="G4227" s="46"/>
    </row>
    <row r="4228" spans="4:7">
      <c r="D4228" s="46"/>
      <c r="E4228" s="46"/>
      <c r="F4228" s="46"/>
      <c r="G4228" s="46"/>
    </row>
    <row r="4229" spans="4:7">
      <c r="D4229" s="46"/>
      <c r="E4229" s="46"/>
      <c r="F4229" s="46"/>
      <c r="G4229" s="46"/>
    </row>
    <row r="4230" spans="4:7">
      <c r="D4230" s="46"/>
      <c r="E4230" s="46"/>
      <c r="F4230" s="46"/>
      <c r="G4230" s="46"/>
    </row>
    <row r="4231" spans="4:7">
      <c r="D4231" s="46"/>
      <c r="E4231" s="46"/>
      <c r="F4231" s="46"/>
      <c r="G4231" s="46"/>
    </row>
    <row r="4232" spans="4:7">
      <c r="D4232" s="46"/>
      <c r="E4232" s="46"/>
      <c r="F4232" s="46"/>
      <c r="G4232" s="46"/>
    </row>
    <row r="4233" spans="4:7">
      <c r="D4233" s="46"/>
      <c r="E4233" s="46"/>
      <c r="F4233" s="46"/>
      <c r="G4233" s="46"/>
    </row>
    <row r="4234" spans="4:7">
      <c r="D4234" s="46"/>
      <c r="E4234" s="46"/>
      <c r="F4234" s="46"/>
      <c r="G4234" s="46"/>
    </row>
    <row r="4235" spans="4:7">
      <c r="D4235" s="46"/>
      <c r="E4235" s="46"/>
      <c r="F4235" s="46"/>
      <c r="G4235" s="46"/>
    </row>
    <row r="4236" spans="4:7">
      <c r="D4236" s="46"/>
      <c r="E4236" s="46"/>
      <c r="F4236" s="46"/>
      <c r="G4236" s="46"/>
    </row>
    <row r="4237" spans="4:7">
      <c r="D4237" s="46"/>
      <c r="E4237" s="46"/>
      <c r="F4237" s="46"/>
      <c r="G4237" s="46"/>
    </row>
    <row r="4238" spans="4:7">
      <c r="D4238" s="46"/>
      <c r="E4238" s="46"/>
      <c r="F4238" s="46"/>
      <c r="G4238" s="46"/>
    </row>
    <row r="4239" spans="4:7">
      <c r="D4239" s="46"/>
      <c r="E4239" s="46"/>
      <c r="F4239" s="46"/>
      <c r="G4239" s="46"/>
    </row>
    <row r="4240" spans="4:7">
      <c r="D4240" s="46"/>
      <c r="E4240" s="46"/>
      <c r="F4240" s="46"/>
      <c r="G4240" s="46"/>
    </row>
    <row r="4241" spans="4:7">
      <c r="D4241" s="46"/>
      <c r="E4241" s="46"/>
      <c r="F4241" s="46"/>
      <c r="G4241" s="46"/>
    </row>
    <row r="4242" spans="4:7">
      <c r="D4242" s="46"/>
      <c r="E4242" s="46"/>
      <c r="F4242" s="46"/>
      <c r="G4242" s="46"/>
    </row>
    <row r="4243" spans="4:7">
      <c r="D4243" s="46"/>
      <c r="E4243" s="46"/>
      <c r="F4243" s="46"/>
      <c r="G4243" s="46"/>
    </row>
    <row r="4244" spans="4:7">
      <c r="D4244" s="46"/>
      <c r="E4244" s="46"/>
      <c r="F4244" s="46"/>
      <c r="G4244" s="46"/>
    </row>
    <row r="4245" spans="4:7">
      <c r="D4245" s="46"/>
      <c r="E4245" s="46"/>
      <c r="F4245" s="46"/>
      <c r="G4245" s="46"/>
    </row>
    <row r="4246" spans="4:7">
      <c r="D4246" s="46"/>
      <c r="E4246" s="46"/>
      <c r="F4246" s="46"/>
      <c r="G4246" s="46"/>
    </row>
    <row r="4247" spans="4:7">
      <c r="D4247" s="46"/>
      <c r="E4247" s="46"/>
      <c r="F4247" s="46"/>
      <c r="G4247" s="46"/>
    </row>
    <row r="4248" spans="4:7">
      <c r="D4248" s="46"/>
      <c r="E4248" s="46"/>
      <c r="F4248" s="46"/>
      <c r="G4248" s="46"/>
    </row>
    <row r="4249" spans="4:7">
      <c r="D4249" s="46"/>
      <c r="E4249" s="46"/>
      <c r="F4249" s="46"/>
      <c r="G4249" s="46"/>
    </row>
    <row r="4250" spans="4:7">
      <c r="D4250" s="46"/>
      <c r="E4250" s="46"/>
      <c r="F4250" s="46"/>
      <c r="G4250" s="46"/>
    </row>
    <row r="4251" spans="4:7">
      <c r="D4251" s="46"/>
      <c r="E4251" s="46"/>
      <c r="F4251" s="46"/>
      <c r="G4251" s="46"/>
    </row>
    <row r="4252" spans="4:7">
      <c r="D4252" s="46"/>
      <c r="E4252" s="46"/>
      <c r="F4252" s="46"/>
      <c r="G4252" s="46"/>
    </row>
    <row r="4253" spans="4:7">
      <c r="D4253" s="46"/>
      <c r="E4253" s="46"/>
      <c r="F4253" s="46"/>
      <c r="G4253" s="46"/>
    </row>
    <row r="4254" spans="4:7">
      <c r="D4254" s="46"/>
      <c r="E4254" s="46"/>
      <c r="F4254" s="46"/>
      <c r="G4254" s="46"/>
    </row>
    <row r="4255" spans="4:7">
      <c r="D4255" s="46"/>
      <c r="E4255" s="46"/>
      <c r="F4255" s="46"/>
      <c r="G4255" s="46"/>
    </row>
    <row r="4256" spans="4:7">
      <c r="D4256" s="46"/>
      <c r="E4256" s="46"/>
      <c r="F4256" s="46"/>
      <c r="G4256" s="46"/>
    </row>
    <row r="4257" spans="4:7">
      <c r="D4257" s="46"/>
      <c r="E4257" s="46"/>
      <c r="F4257" s="46"/>
      <c r="G4257" s="46"/>
    </row>
    <row r="4258" spans="4:7">
      <c r="D4258" s="46"/>
      <c r="E4258" s="46"/>
      <c r="F4258" s="46"/>
      <c r="G4258" s="46"/>
    </row>
    <row r="4259" spans="4:7">
      <c r="D4259" s="46"/>
      <c r="E4259" s="46"/>
      <c r="F4259" s="46"/>
      <c r="G4259" s="46"/>
    </row>
    <row r="4260" spans="4:7">
      <c r="D4260" s="46"/>
      <c r="E4260" s="46"/>
      <c r="F4260" s="46"/>
      <c r="G4260" s="46"/>
    </row>
    <row r="4261" spans="4:7">
      <c r="D4261" s="46"/>
      <c r="E4261" s="46"/>
      <c r="F4261" s="46"/>
      <c r="G4261" s="46"/>
    </row>
    <row r="4262" spans="4:7">
      <c r="D4262" s="46"/>
      <c r="E4262" s="46"/>
      <c r="F4262" s="46"/>
      <c r="G4262" s="46"/>
    </row>
    <row r="4263" spans="4:7">
      <c r="D4263" s="46"/>
      <c r="E4263" s="46"/>
      <c r="F4263" s="46"/>
      <c r="G4263" s="46"/>
    </row>
    <row r="4264" spans="4:7">
      <c r="D4264" s="46"/>
      <c r="E4264" s="46"/>
      <c r="F4264" s="46"/>
      <c r="G4264" s="46"/>
    </row>
    <row r="4265" spans="4:7">
      <c r="D4265" s="46"/>
      <c r="E4265" s="46"/>
      <c r="F4265" s="46"/>
      <c r="G4265" s="46"/>
    </row>
    <row r="4266" spans="4:7">
      <c r="D4266" s="46"/>
      <c r="E4266" s="46"/>
      <c r="F4266" s="46"/>
      <c r="G4266" s="46"/>
    </row>
    <row r="4267" spans="4:7">
      <c r="D4267" s="46"/>
      <c r="E4267" s="46"/>
      <c r="F4267" s="46"/>
      <c r="G4267" s="46"/>
    </row>
    <row r="4268" spans="4:7">
      <c r="D4268" s="46"/>
      <c r="E4268" s="46"/>
      <c r="F4268" s="46"/>
      <c r="G4268" s="46"/>
    </row>
    <row r="4269" spans="4:7">
      <c r="D4269" s="46"/>
      <c r="E4269" s="46"/>
      <c r="F4269" s="46"/>
      <c r="G4269" s="46"/>
    </row>
    <row r="4270" spans="4:7">
      <c r="D4270" s="46"/>
      <c r="E4270" s="46"/>
      <c r="F4270" s="46"/>
      <c r="G4270" s="46"/>
    </row>
    <row r="4271" spans="4:7">
      <c r="D4271" s="46"/>
      <c r="E4271" s="46"/>
      <c r="F4271" s="46"/>
      <c r="G4271" s="46"/>
    </row>
    <row r="4272" spans="4:7">
      <c r="D4272" s="46"/>
      <c r="E4272" s="46"/>
      <c r="F4272" s="46"/>
      <c r="G4272" s="46"/>
    </row>
    <row r="4273" spans="4:7">
      <c r="D4273" s="46"/>
      <c r="E4273" s="46"/>
      <c r="F4273" s="46"/>
      <c r="G4273" s="46"/>
    </row>
    <row r="4274" spans="4:7">
      <c r="D4274" s="46"/>
      <c r="E4274" s="46"/>
      <c r="F4274" s="46"/>
      <c r="G4274" s="46"/>
    </row>
    <row r="4275" spans="4:7">
      <c r="D4275" s="46"/>
      <c r="E4275" s="46"/>
      <c r="F4275" s="46"/>
      <c r="G4275" s="46"/>
    </row>
    <row r="4276" spans="4:7">
      <c r="D4276" s="46"/>
      <c r="E4276" s="46"/>
      <c r="F4276" s="46"/>
      <c r="G4276" s="46"/>
    </row>
    <row r="4277" spans="4:7">
      <c r="D4277" s="46"/>
      <c r="E4277" s="46"/>
      <c r="F4277" s="46"/>
      <c r="G4277" s="46"/>
    </row>
    <row r="4278" spans="4:7">
      <c r="D4278" s="46"/>
      <c r="E4278" s="46"/>
      <c r="F4278" s="46"/>
      <c r="G4278" s="46"/>
    </row>
    <row r="4279" spans="4:7">
      <c r="D4279" s="46"/>
      <c r="E4279" s="46"/>
      <c r="F4279" s="46"/>
      <c r="G4279" s="46"/>
    </row>
    <row r="4280" spans="4:7">
      <c r="D4280" s="46"/>
      <c r="E4280" s="46"/>
      <c r="F4280" s="46"/>
      <c r="G4280" s="46"/>
    </row>
    <row r="4281" spans="4:7">
      <c r="D4281" s="46"/>
      <c r="E4281" s="46"/>
      <c r="F4281" s="46"/>
      <c r="G4281" s="46"/>
    </row>
    <row r="4282" spans="4:7">
      <c r="D4282" s="46"/>
      <c r="E4282" s="46"/>
      <c r="F4282" s="46"/>
      <c r="G4282" s="46"/>
    </row>
    <row r="4283" spans="4:7">
      <c r="D4283" s="46"/>
      <c r="E4283" s="46"/>
      <c r="F4283" s="46"/>
      <c r="G4283" s="46"/>
    </row>
    <row r="4284" spans="4:7">
      <c r="D4284" s="46"/>
      <c r="E4284" s="46"/>
      <c r="F4284" s="46"/>
      <c r="G4284" s="46"/>
    </row>
    <row r="4285" spans="4:7">
      <c r="D4285" s="46"/>
      <c r="E4285" s="46"/>
      <c r="F4285" s="46"/>
      <c r="G4285" s="46"/>
    </row>
    <row r="4286" spans="4:7">
      <c r="D4286" s="46"/>
      <c r="E4286" s="46"/>
      <c r="F4286" s="46"/>
      <c r="G4286" s="46"/>
    </row>
    <row r="4287" spans="4:7">
      <c r="D4287" s="46"/>
      <c r="E4287" s="46"/>
      <c r="F4287" s="46"/>
      <c r="G4287" s="46"/>
    </row>
    <row r="4288" spans="4:7">
      <c r="D4288" s="46"/>
      <c r="E4288" s="46"/>
      <c r="F4288" s="46"/>
      <c r="G4288" s="46"/>
    </row>
    <row r="4289" spans="4:7">
      <c r="D4289" s="46"/>
      <c r="E4289" s="46"/>
      <c r="F4289" s="46"/>
      <c r="G4289" s="46"/>
    </row>
    <row r="4290" spans="4:7">
      <c r="D4290" s="46"/>
      <c r="E4290" s="46"/>
      <c r="F4290" s="46"/>
      <c r="G4290" s="46"/>
    </row>
    <row r="4291" spans="4:7">
      <c r="D4291" s="46"/>
      <c r="E4291" s="46"/>
      <c r="F4291" s="46"/>
      <c r="G4291" s="46"/>
    </row>
    <row r="4292" spans="4:7">
      <c r="D4292" s="46"/>
      <c r="E4292" s="46"/>
      <c r="F4292" s="46"/>
      <c r="G4292" s="46"/>
    </row>
    <row r="4293" spans="4:7">
      <c r="D4293" s="46"/>
      <c r="E4293" s="46"/>
      <c r="F4293" s="46"/>
      <c r="G4293" s="46"/>
    </row>
    <row r="4294" spans="4:7">
      <c r="D4294" s="46"/>
      <c r="E4294" s="46"/>
      <c r="F4294" s="46"/>
      <c r="G4294" s="46"/>
    </row>
    <row r="4295" spans="4:7">
      <c r="D4295" s="46"/>
      <c r="E4295" s="46"/>
      <c r="F4295" s="46"/>
      <c r="G4295" s="46"/>
    </row>
    <row r="4296" spans="4:7">
      <c r="D4296" s="46"/>
      <c r="E4296" s="46"/>
      <c r="F4296" s="46"/>
      <c r="G4296" s="46"/>
    </row>
    <row r="4297" spans="4:7">
      <c r="D4297" s="46"/>
      <c r="E4297" s="46"/>
      <c r="F4297" s="46"/>
      <c r="G4297" s="46"/>
    </row>
    <row r="4298" spans="4:7">
      <c r="D4298" s="46"/>
      <c r="E4298" s="46"/>
      <c r="F4298" s="46"/>
      <c r="G4298" s="46"/>
    </row>
    <row r="4299" spans="4:7">
      <c r="D4299" s="46"/>
      <c r="E4299" s="46"/>
      <c r="F4299" s="46"/>
      <c r="G4299" s="46"/>
    </row>
    <row r="4300" spans="4:7">
      <c r="D4300" s="46"/>
      <c r="E4300" s="46"/>
      <c r="F4300" s="46"/>
      <c r="G4300" s="46"/>
    </row>
    <row r="4301" spans="4:7">
      <c r="D4301" s="46"/>
      <c r="E4301" s="46"/>
      <c r="F4301" s="46"/>
      <c r="G4301" s="46"/>
    </row>
    <row r="4302" spans="4:7">
      <c r="D4302" s="46"/>
      <c r="E4302" s="46"/>
      <c r="F4302" s="46"/>
      <c r="G4302" s="46"/>
    </row>
    <row r="4303" spans="4:7">
      <c r="D4303" s="46"/>
      <c r="E4303" s="46"/>
      <c r="F4303" s="46"/>
      <c r="G4303" s="46"/>
    </row>
    <row r="4304" spans="4:7">
      <c r="D4304" s="46"/>
      <c r="E4304" s="46"/>
      <c r="F4304" s="46"/>
      <c r="G4304" s="46"/>
    </row>
    <row r="4305" spans="4:7">
      <c r="D4305" s="46"/>
      <c r="E4305" s="46"/>
      <c r="F4305" s="46"/>
      <c r="G4305" s="46"/>
    </row>
    <row r="4306" spans="4:7">
      <c r="D4306" s="46"/>
      <c r="E4306" s="46"/>
      <c r="F4306" s="46"/>
      <c r="G4306" s="46"/>
    </row>
    <row r="4307" spans="4:7">
      <c r="D4307" s="46"/>
      <c r="E4307" s="46"/>
      <c r="F4307" s="46"/>
      <c r="G4307" s="46"/>
    </row>
    <row r="4308" spans="4:7">
      <c r="D4308" s="46"/>
      <c r="E4308" s="46"/>
      <c r="F4308" s="46"/>
      <c r="G4308" s="46"/>
    </row>
    <row r="4309" spans="4:7">
      <c r="D4309" s="46"/>
      <c r="E4309" s="46"/>
      <c r="F4309" s="46"/>
      <c r="G4309" s="46"/>
    </row>
    <row r="4310" spans="4:7">
      <c r="D4310" s="46"/>
      <c r="E4310" s="46"/>
      <c r="F4310" s="46"/>
      <c r="G4310" s="46"/>
    </row>
    <row r="4311" spans="4:7">
      <c r="D4311" s="46"/>
      <c r="E4311" s="46"/>
      <c r="F4311" s="46"/>
      <c r="G4311" s="46"/>
    </row>
    <row r="4312" spans="4:7">
      <c r="D4312" s="46"/>
      <c r="E4312" s="46"/>
      <c r="F4312" s="46"/>
      <c r="G4312" s="46"/>
    </row>
    <row r="4313" spans="4:7">
      <c r="D4313" s="46"/>
      <c r="E4313" s="46"/>
      <c r="F4313" s="46"/>
      <c r="G4313" s="46"/>
    </row>
    <row r="4314" spans="4:7">
      <c r="D4314" s="46"/>
      <c r="E4314" s="46"/>
      <c r="F4314" s="46"/>
      <c r="G4314" s="46"/>
    </row>
    <row r="4315" spans="4:7">
      <c r="D4315" s="46"/>
      <c r="E4315" s="46"/>
      <c r="F4315" s="46"/>
      <c r="G4315" s="46"/>
    </row>
    <row r="4316" spans="4:7">
      <c r="D4316" s="46"/>
      <c r="E4316" s="46"/>
      <c r="F4316" s="46"/>
      <c r="G4316" s="46"/>
    </row>
    <row r="4317" spans="4:7">
      <c r="D4317" s="46"/>
      <c r="E4317" s="46"/>
      <c r="F4317" s="46"/>
      <c r="G4317" s="46"/>
    </row>
    <row r="4318" spans="4:7">
      <c r="D4318" s="46"/>
      <c r="E4318" s="46"/>
      <c r="F4318" s="46"/>
      <c r="G4318" s="46"/>
    </row>
    <row r="4319" spans="4:7">
      <c r="D4319" s="46"/>
      <c r="E4319" s="46"/>
      <c r="F4319" s="46"/>
      <c r="G4319" s="46"/>
    </row>
    <row r="4320" spans="4:7">
      <c r="D4320" s="46"/>
      <c r="E4320" s="46"/>
      <c r="F4320" s="46"/>
      <c r="G4320" s="46"/>
    </row>
    <row r="4321" spans="4:7">
      <c r="D4321" s="46"/>
      <c r="E4321" s="46"/>
      <c r="F4321" s="46"/>
      <c r="G4321" s="46"/>
    </row>
    <row r="4322" spans="4:7">
      <c r="D4322" s="46"/>
      <c r="E4322" s="46"/>
      <c r="F4322" s="46"/>
      <c r="G4322" s="46"/>
    </row>
    <row r="4323" spans="4:7">
      <c r="D4323" s="46"/>
      <c r="E4323" s="46"/>
      <c r="F4323" s="46"/>
      <c r="G4323" s="46"/>
    </row>
    <row r="4324" spans="4:7">
      <c r="D4324" s="46"/>
      <c r="E4324" s="46"/>
      <c r="F4324" s="46"/>
      <c r="G4324" s="46"/>
    </row>
    <row r="4325" spans="4:7">
      <c r="D4325" s="46"/>
      <c r="E4325" s="46"/>
      <c r="F4325" s="46"/>
      <c r="G4325" s="46"/>
    </row>
    <row r="4326" spans="4:7">
      <c r="D4326" s="46"/>
      <c r="E4326" s="46"/>
      <c r="F4326" s="46"/>
      <c r="G4326" s="46"/>
    </row>
    <row r="4327" spans="4:7">
      <c r="D4327" s="46"/>
      <c r="E4327" s="46"/>
      <c r="F4327" s="46"/>
      <c r="G4327" s="46"/>
    </row>
    <row r="4328" spans="4:7">
      <c r="D4328" s="46"/>
      <c r="E4328" s="46"/>
      <c r="F4328" s="46"/>
      <c r="G4328" s="46"/>
    </row>
    <row r="4329" spans="4:7">
      <c r="D4329" s="46"/>
      <c r="E4329" s="46"/>
      <c r="F4329" s="46"/>
      <c r="G4329" s="46"/>
    </row>
    <row r="4330" spans="4:7">
      <c r="D4330" s="46"/>
      <c r="E4330" s="46"/>
      <c r="F4330" s="46"/>
      <c r="G4330" s="46"/>
    </row>
    <row r="4331" spans="4:7">
      <c r="D4331" s="46"/>
      <c r="E4331" s="46"/>
      <c r="F4331" s="46"/>
      <c r="G4331" s="46"/>
    </row>
    <row r="4332" spans="4:7">
      <c r="D4332" s="46"/>
      <c r="E4332" s="46"/>
      <c r="F4332" s="46"/>
      <c r="G4332" s="46"/>
    </row>
    <row r="4333" spans="4:7">
      <c r="D4333" s="46"/>
      <c r="E4333" s="46"/>
      <c r="F4333" s="46"/>
      <c r="G4333" s="46"/>
    </row>
    <row r="4334" spans="4:7">
      <c r="D4334" s="46"/>
      <c r="E4334" s="46"/>
      <c r="F4334" s="46"/>
      <c r="G4334" s="46"/>
    </row>
    <row r="4335" spans="4:7">
      <c r="D4335" s="46"/>
      <c r="E4335" s="46"/>
      <c r="F4335" s="46"/>
      <c r="G4335" s="46"/>
    </row>
    <row r="4336" spans="4:7">
      <c r="D4336" s="46"/>
      <c r="E4336" s="46"/>
      <c r="F4336" s="46"/>
      <c r="G4336" s="46"/>
    </row>
    <row r="4337" spans="4:7">
      <c r="D4337" s="46"/>
      <c r="E4337" s="46"/>
      <c r="F4337" s="46"/>
      <c r="G4337" s="46"/>
    </row>
    <row r="4338" spans="4:7">
      <c r="D4338" s="46"/>
      <c r="E4338" s="46"/>
      <c r="F4338" s="46"/>
      <c r="G4338" s="46"/>
    </row>
    <row r="4339" spans="4:7">
      <c r="D4339" s="46"/>
      <c r="E4339" s="46"/>
      <c r="F4339" s="46"/>
      <c r="G4339" s="46"/>
    </row>
    <row r="4340" spans="4:7">
      <c r="D4340" s="46"/>
      <c r="E4340" s="46"/>
      <c r="F4340" s="46"/>
      <c r="G4340" s="46"/>
    </row>
    <row r="4341" spans="4:7">
      <c r="D4341" s="46"/>
      <c r="E4341" s="46"/>
      <c r="F4341" s="46"/>
      <c r="G4341" s="46"/>
    </row>
    <row r="4342" spans="4:7">
      <c r="D4342" s="46"/>
      <c r="E4342" s="46"/>
      <c r="F4342" s="46"/>
      <c r="G4342" s="46"/>
    </row>
    <row r="4343" spans="4:7">
      <c r="D4343" s="46"/>
      <c r="E4343" s="46"/>
      <c r="F4343" s="46"/>
      <c r="G4343" s="46"/>
    </row>
    <row r="4344" spans="4:7">
      <c r="D4344" s="46"/>
      <c r="E4344" s="46"/>
      <c r="F4344" s="46"/>
      <c r="G4344" s="46"/>
    </row>
    <row r="4345" spans="4:7">
      <c r="D4345" s="46"/>
      <c r="E4345" s="46"/>
      <c r="F4345" s="46"/>
      <c r="G4345" s="46"/>
    </row>
    <row r="4346" spans="4:7">
      <c r="D4346" s="46"/>
      <c r="E4346" s="46"/>
      <c r="F4346" s="46"/>
      <c r="G4346" s="46"/>
    </row>
    <row r="4347" spans="4:7">
      <c r="D4347" s="46"/>
      <c r="E4347" s="46"/>
      <c r="F4347" s="46"/>
      <c r="G4347" s="46"/>
    </row>
    <row r="4348" spans="4:7">
      <c r="D4348" s="46"/>
      <c r="E4348" s="46"/>
      <c r="F4348" s="46"/>
      <c r="G4348" s="46"/>
    </row>
    <row r="4349" spans="4:7">
      <c r="D4349" s="46"/>
      <c r="E4349" s="46"/>
      <c r="F4349" s="46"/>
      <c r="G4349" s="46"/>
    </row>
    <row r="4350" spans="4:7">
      <c r="D4350" s="46"/>
      <c r="E4350" s="46"/>
      <c r="F4350" s="46"/>
      <c r="G4350" s="46"/>
    </row>
    <row r="4351" spans="4:7">
      <c r="D4351" s="46"/>
      <c r="E4351" s="46"/>
      <c r="F4351" s="46"/>
      <c r="G4351" s="46"/>
    </row>
    <row r="4352" spans="4:7">
      <c r="D4352" s="46"/>
      <c r="E4352" s="46"/>
      <c r="F4352" s="46"/>
      <c r="G4352" s="46"/>
    </row>
    <row r="4353" spans="4:7">
      <c r="D4353" s="46"/>
      <c r="E4353" s="46"/>
      <c r="F4353" s="46"/>
      <c r="G4353" s="46"/>
    </row>
    <row r="4354" spans="4:7">
      <c r="D4354" s="46"/>
      <c r="E4354" s="46"/>
      <c r="F4354" s="46"/>
      <c r="G4354" s="46"/>
    </row>
    <row r="4355" spans="4:7">
      <c r="D4355" s="46"/>
      <c r="E4355" s="46"/>
      <c r="F4355" s="46"/>
      <c r="G4355" s="46"/>
    </row>
    <row r="4356" spans="4:7">
      <c r="D4356" s="46"/>
      <c r="E4356" s="46"/>
      <c r="F4356" s="46"/>
      <c r="G4356" s="46"/>
    </row>
    <row r="4357" spans="4:7">
      <c r="D4357" s="46"/>
      <c r="E4357" s="46"/>
      <c r="F4357" s="46"/>
      <c r="G4357" s="46"/>
    </row>
    <row r="4358" spans="4:7">
      <c r="D4358" s="46"/>
      <c r="E4358" s="46"/>
      <c r="F4358" s="46"/>
      <c r="G4358" s="46"/>
    </row>
    <row r="4359" spans="4:7">
      <c r="D4359" s="46"/>
      <c r="E4359" s="46"/>
      <c r="F4359" s="46"/>
      <c r="G4359" s="46"/>
    </row>
    <row r="4360" spans="4:7">
      <c r="D4360" s="46"/>
      <c r="E4360" s="46"/>
      <c r="F4360" s="46"/>
      <c r="G4360" s="46"/>
    </row>
    <row r="4361" spans="4:7">
      <c r="D4361" s="46"/>
      <c r="E4361" s="46"/>
      <c r="F4361" s="46"/>
      <c r="G4361" s="46"/>
    </row>
    <row r="4362" spans="4:7">
      <c r="D4362" s="46"/>
      <c r="E4362" s="46"/>
      <c r="F4362" s="46"/>
      <c r="G4362" s="46"/>
    </row>
    <row r="4363" spans="4:7">
      <c r="D4363" s="46"/>
      <c r="E4363" s="46"/>
      <c r="F4363" s="46"/>
      <c r="G4363" s="46"/>
    </row>
    <row r="4364" spans="4:7">
      <c r="D4364" s="46"/>
      <c r="E4364" s="46"/>
      <c r="F4364" s="46"/>
      <c r="G4364" s="46"/>
    </row>
    <row r="4365" spans="4:7">
      <c r="D4365" s="46"/>
      <c r="E4365" s="46"/>
      <c r="F4365" s="46"/>
      <c r="G4365" s="46"/>
    </row>
    <row r="4366" spans="4:7">
      <c r="D4366" s="46"/>
      <c r="E4366" s="46"/>
      <c r="F4366" s="46"/>
      <c r="G4366" s="46"/>
    </row>
    <row r="4367" spans="4:7">
      <c r="D4367" s="46"/>
      <c r="E4367" s="46"/>
      <c r="F4367" s="46"/>
      <c r="G4367" s="46"/>
    </row>
    <row r="4368" spans="4:7">
      <c r="D4368" s="46"/>
      <c r="E4368" s="46"/>
      <c r="F4368" s="46"/>
      <c r="G4368" s="46"/>
    </row>
    <row r="4369" spans="4:7">
      <c r="D4369" s="46"/>
      <c r="E4369" s="46"/>
      <c r="F4369" s="46"/>
      <c r="G4369" s="46"/>
    </row>
    <row r="4370" spans="4:7">
      <c r="D4370" s="46"/>
      <c r="E4370" s="46"/>
      <c r="F4370" s="46"/>
      <c r="G4370" s="46"/>
    </row>
    <row r="4371" spans="4:7">
      <c r="D4371" s="46"/>
      <c r="E4371" s="46"/>
      <c r="F4371" s="46"/>
      <c r="G4371" s="46"/>
    </row>
    <row r="4372" spans="4:7">
      <c r="D4372" s="46"/>
      <c r="E4372" s="46"/>
      <c r="F4372" s="46"/>
      <c r="G4372" s="46"/>
    </row>
    <row r="4373" spans="4:7">
      <c r="D4373" s="46"/>
      <c r="E4373" s="46"/>
      <c r="F4373" s="46"/>
      <c r="G4373" s="46"/>
    </row>
    <row r="4374" spans="4:7">
      <c r="D4374" s="46"/>
      <c r="E4374" s="46"/>
      <c r="F4374" s="46"/>
      <c r="G4374" s="46"/>
    </row>
    <row r="4375" spans="4:7">
      <c r="D4375" s="46"/>
      <c r="E4375" s="46"/>
      <c r="F4375" s="46"/>
      <c r="G4375" s="46"/>
    </row>
    <row r="4376" spans="4:7">
      <c r="D4376" s="46"/>
      <c r="E4376" s="46"/>
      <c r="F4376" s="46"/>
      <c r="G4376" s="46"/>
    </row>
    <row r="4377" spans="4:7">
      <c r="D4377" s="46"/>
      <c r="E4377" s="46"/>
      <c r="F4377" s="46"/>
      <c r="G4377" s="46"/>
    </row>
    <row r="4378" spans="4:7">
      <c r="D4378" s="46"/>
      <c r="E4378" s="46"/>
      <c r="F4378" s="46"/>
      <c r="G4378" s="46"/>
    </row>
    <row r="4379" spans="4:7">
      <c r="D4379" s="46"/>
      <c r="E4379" s="46"/>
      <c r="F4379" s="46"/>
      <c r="G4379" s="46"/>
    </row>
    <row r="4380" spans="4:7">
      <c r="D4380" s="46"/>
      <c r="E4380" s="46"/>
      <c r="F4380" s="46"/>
      <c r="G4380" s="46"/>
    </row>
    <row r="4381" spans="4:7">
      <c r="D4381" s="46"/>
      <c r="E4381" s="46"/>
      <c r="F4381" s="46"/>
      <c r="G4381" s="46"/>
    </row>
    <row r="4382" spans="4:7">
      <c r="D4382" s="46"/>
      <c r="E4382" s="46"/>
      <c r="F4382" s="46"/>
      <c r="G4382" s="46"/>
    </row>
    <row r="4383" spans="4:7">
      <c r="D4383" s="46"/>
      <c r="E4383" s="46"/>
      <c r="F4383" s="46"/>
      <c r="G4383" s="46"/>
    </row>
    <row r="4384" spans="4:7">
      <c r="D4384" s="46"/>
      <c r="E4384" s="46"/>
      <c r="F4384" s="46"/>
      <c r="G4384" s="46"/>
    </row>
    <row r="4385" spans="4:7">
      <c r="D4385" s="46"/>
      <c r="E4385" s="46"/>
      <c r="F4385" s="46"/>
      <c r="G4385" s="46"/>
    </row>
    <row r="4386" spans="4:7">
      <c r="D4386" s="46"/>
      <c r="E4386" s="46"/>
      <c r="F4386" s="46"/>
      <c r="G4386" s="46"/>
    </row>
    <row r="4387" spans="4:7">
      <c r="D4387" s="46"/>
      <c r="E4387" s="46"/>
      <c r="F4387" s="46"/>
      <c r="G4387" s="46"/>
    </row>
    <row r="4388" spans="4:7">
      <c r="D4388" s="46"/>
      <c r="E4388" s="46"/>
      <c r="F4388" s="46"/>
      <c r="G4388" s="46"/>
    </row>
    <row r="4389" spans="4:7">
      <c r="D4389" s="46"/>
      <c r="E4389" s="46"/>
      <c r="F4389" s="46"/>
      <c r="G4389" s="46"/>
    </row>
    <row r="4390" spans="4:7">
      <c r="D4390" s="46"/>
      <c r="E4390" s="46"/>
      <c r="F4390" s="46"/>
      <c r="G4390" s="46"/>
    </row>
    <row r="4391" spans="4:7">
      <c r="D4391" s="46"/>
      <c r="E4391" s="46"/>
      <c r="F4391" s="46"/>
      <c r="G4391" s="46"/>
    </row>
    <row r="4392" spans="4:7">
      <c r="D4392" s="46"/>
      <c r="E4392" s="46"/>
      <c r="F4392" s="46"/>
      <c r="G4392" s="46"/>
    </row>
    <row r="4393" spans="4:7">
      <c r="D4393" s="46"/>
      <c r="E4393" s="46"/>
      <c r="F4393" s="46"/>
      <c r="G4393" s="46"/>
    </row>
    <row r="4394" spans="4:7">
      <c r="D4394" s="46"/>
      <c r="E4394" s="46"/>
      <c r="F4394" s="46"/>
      <c r="G4394" s="46"/>
    </row>
    <row r="4395" spans="4:7">
      <c r="D4395" s="46"/>
      <c r="E4395" s="46"/>
      <c r="F4395" s="46"/>
      <c r="G4395" s="46"/>
    </row>
    <row r="4396" spans="4:7">
      <c r="D4396" s="46"/>
      <c r="E4396" s="46"/>
      <c r="F4396" s="46"/>
      <c r="G4396" s="46"/>
    </row>
    <row r="4397" spans="4:7">
      <c r="D4397" s="46"/>
      <c r="E4397" s="46"/>
      <c r="F4397" s="46"/>
      <c r="G4397" s="46"/>
    </row>
    <row r="4398" spans="4:7">
      <c r="D4398" s="46"/>
      <c r="E4398" s="46"/>
      <c r="F4398" s="46"/>
      <c r="G4398" s="46"/>
    </row>
    <row r="4399" spans="4:7">
      <c r="D4399" s="46"/>
      <c r="E4399" s="46"/>
      <c r="F4399" s="46"/>
      <c r="G4399" s="46"/>
    </row>
    <row r="4400" spans="4:7">
      <c r="D4400" s="46"/>
      <c r="E4400" s="46"/>
      <c r="F4400" s="46"/>
      <c r="G4400" s="46"/>
    </row>
    <row r="4401" spans="4:7">
      <c r="D4401" s="46"/>
      <c r="E4401" s="46"/>
      <c r="F4401" s="46"/>
      <c r="G4401" s="46"/>
    </row>
    <row r="4402" spans="4:7">
      <c r="D4402" s="46"/>
      <c r="E4402" s="46"/>
      <c r="F4402" s="46"/>
      <c r="G4402" s="46"/>
    </row>
    <row r="4403" spans="4:7">
      <c r="D4403" s="46"/>
      <c r="E4403" s="46"/>
      <c r="F4403" s="46"/>
      <c r="G4403" s="46"/>
    </row>
    <row r="4404" spans="4:7">
      <c r="D4404" s="46"/>
      <c r="E4404" s="46"/>
      <c r="F4404" s="46"/>
      <c r="G4404" s="46"/>
    </row>
    <row r="4405" spans="4:7">
      <c r="D4405" s="46"/>
      <c r="E4405" s="46"/>
      <c r="F4405" s="46"/>
      <c r="G4405" s="46"/>
    </row>
    <row r="4406" spans="4:7">
      <c r="D4406" s="46"/>
      <c r="E4406" s="46"/>
      <c r="F4406" s="46"/>
      <c r="G4406" s="46"/>
    </row>
    <row r="4407" spans="4:7">
      <c r="D4407" s="46"/>
      <c r="E4407" s="46"/>
      <c r="F4407" s="46"/>
      <c r="G4407" s="46"/>
    </row>
    <row r="4408" spans="4:7">
      <c r="D4408" s="46"/>
      <c r="E4408" s="46"/>
      <c r="F4408" s="46"/>
      <c r="G4408" s="46"/>
    </row>
    <row r="4409" spans="4:7">
      <c r="D4409" s="46"/>
      <c r="E4409" s="46"/>
      <c r="F4409" s="46"/>
      <c r="G4409" s="46"/>
    </row>
    <row r="4410" spans="4:7">
      <c r="D4410" s="46"/>
      <c r="E4410" s="46"/>
      <c r="F4410" s="46"/>
      <c r="G4410" s="46"/>
    </row>
    <row r="4411" spans="4:7">
      <c r="D4411" s="46"/>
      <c r="E4411" s="46"/>
      <c r="F4411" s="46"/>
      <c r="G4411" s="46"/>
    </row>
    <row r="4412" spans="4:7">
      <c r="D4412" s="46"/>
      <c r="E4412" s="46"/>
      <c r="F4412" s="46"/>
      <c r="G4412" s="46"/>
    </row>
    <row r="4413" spans="4:7">
      <c r="D4413" s="46"/>
      <c r="E4413" s="46"/>
      <c r="F4413" s="46"/>
      <c r="G4413" s="46"/>
    </row>
    <row r="4414" spans="4:7">
      <c r="D4414" s="46"/>
      <c r="E4414" s="46"/>
      <c r="F4414" s="46"/>
      <c r="G4414" s="46"/>
    </row>
    <row r="4415" spans="4:7">
      <c r="D4415" s="46"/>
      <c r="E4415" s="46"/>
      <c r="F4415" s="46"/>
      <c r="G4415" s="46"/>
    </row>
    <row r="4416" spans="4:7">
      <c r="D4416" s="46"/>
      <c r="E4416" s="46"/>
      <c r="F4416" s="46"/>
      <c r="G4416" s="46"/>
    </row>
    <row r="4417" spans="4:7">
      <c r="D4417" s="46"/>
      <c r="E4417" s="46"/>
      <c r="F4417" s="46"/>
      <c r="G4417" s="46"/>
    </row>
    <row r="4418" spans="4:7">
      <c r="D4418" s="46"/>
      <c r="E4418" s="46"/>
      <c r="F4418" s="46"/>
      <c r="G4418" s="46"/>
    </row>
    <row r="4419" spans="4:7">
      <c r="D4419" s="46"/>
      <c r="E4419" s="46"/>
      <c r="F4419" s="46"/>
      <c r="G4419" s="46"/>
    </row>
    <row r="4420" spans="4:7">
      <c r="D4420" s="46"/>
      <c r="E4420" s="46"/>
      <c r="F4420" s="46"/>
      <c r="G4420" s="46"/>
    </row>
    <row r="4421" spans="4:7">
      <c r="D4421" s="46"/>
      <c r="E4421" s="46"/>
      <c r="F4421" s="46"/>
      <c r="G4421" s="46"/>
    </row>
    <row r="4422" spans="4:7">
      <c r="D4422" s="46"/>
      <c r="E4422" s="46"/>
      <c r="F4422" s="46"/>
      <c r="G4422" s="46"/>
    </row>
    <row r="4423" spans="4:7">
      <c r="D4423" s="46"/>
      <c r="E4423" s="46"/>
      <c r="F4423" s="46"/>
      <c r="G4423" s="46"/>
    </row>
    <row r="4424" spans="4:7">
      <c r="D4424" s="46"/>
      <c r="E4424" s="46"/>
      <c r="F4424" s="46"/>
      <c r="G4424" s="46"/>
    </row>
    <row r="4425" spans="4:7">
      <c r="D4425" s="46"/>
      <c r="E4425" s="46"/>
      <c r="F4425" s="46"/>
      <c r="G4425" s="46"/>
    </row>
    <row r="4426" spans="4:7">
      <c r="D4426" s="46"/>
      <c r="E4426" s="46"/>
      <c r="F4426" s="46"/>
      <c r="G4426" s="46"/>
    </row>
    <row r="4427" spans="4:7">
      <c r="D4427" s="46"/>
      <c r="E4427" s="46"/>
      <c r="F4427" s="46"/>
      <c r="G4427" s="46"/>
    </row>
    <row r="4428" spans="4:7">
      <c r="D4428" s="46"/>
      <c r="E4428" s="46"/>
      <c r="F4428" s="46"/>
      <c r="G4428" s="46"/>
    </row>
    <row r="4429" spans="4:7">
      <c r="D4429" s="46"/>
      <c r="E4429" s="46"/>
      <c r="F4429" s="46"/>
      <c r="G4429" s="46"/>
    </row>
    <row r="4430" spans="4:7">
      <c r="D4430" s="46"/>
      <c r="E4430" s="46"/>
      <c r="F4430" s="46"/>
      <c r="G4430" s="46"/>
    </row>
    <row r="4431" spans="4:7">
      <c r="D4431" s="46"/>
      <c r="E4431" s="46"/>
      <c r="F4431" s="46"/>
      <c r="G4431" s="46"/>
    </row>
    <row r="4432" spans="4:7">
      <c r="D4432" s="46"/>
      <c r="E4432" s="46"/>
      <c r="F4432" s="46"/>
      <c r="G4432" s="46"/>
    </row>
    <row r="4433" spans="4:7">
      <c r="D4433" s="46"/>
      <c r="E4433" s="46"/>
      <c r="F4433" s="46"/>
      <c r="G4433" s="46"/>
    </row>
    <row r="4434" spans="4:7">
      <c r="D4434" s="46"/>
      <c r="E4434" s="46"/>
      <c r="F4434" s="46"/>
      <c r="G4434" s="46"/>
    </row>
    <row r="4435" spans="4:7">
      <c r="D4435" s="46"/>
      <c r="E4435" s="46"/>
      <c r="F4435" s="46"/>
      <c r="G4435" s="46"/>
    </row>
    <row r="4436" spans="4:7">
      <c r="D4436" s="46"/>
      <c r="E4436" s="46"/>
      <c r="F4436" s="46"/>
      <c r="G4436" s="46"/>
    </row>
    <row r="4437" spans="4:7">
      <c r="D4437" s="46"/>
      <c r="E4437" s="46"/>
      <c r="F4437" s="46"/>
      <c r="G4437" s="46"/>
    </row>
    <row r="4438" spans="4:7">
      <c r="D4438" s="46"/>
      <c r="E4438" s="46"/>
      <c r="F4438" s="46"/>
      <c r="G4438" s="46"/>
    </row>
    <row r="4439" spans="4:7">
      <c r="D4439" s="46"/>
      <c r="E4439" s="46"/>
      <c r="F4439" s="46"/>
      <c r="G4439" s="46"/>
    </row>
    <row r="4440" spans="4:7">
      <c r="D4440" s="46"/>
      <c r="E4440" s="46"/>
      <c r="F4440" s="46"/>
      <c r="G4440" s="46"/>
    </row>
    <row r="4441" spans="4:7">
      <c r="D4441" s="46"/>
      <c r="E4441" s="46"/>
      <c r="F4441" s="46"/>
      <c r="G4441" s="46"/>
    </row>
    <row r="4442" spans="4:7">
      <c r="D4442" s="46"/>
      <c r="E4442" s="46"/>
      <c r="F4442" s="46"/>
      <c r="G4442" s="46"/>
    </row>
    <row r="4443" spans="4:7">
      <c r="D4443" s="46"/>
      <c r="E4443" s="46"/>
      <c r="F4443" s="46"/>
      <c r="G4443" s="46"/>
    </row>
    <row r="4444" spans="4:7">
      <c r="D4444" s="46"/>
      <c r="E4444" s="46"/>
      <c r="F4444" s="46"/>
      <c r="G4444" s="46"/>
    </row>
    <row r="4445" spans="4:7">
      <c r="D4445" s="46"/>
      <c r="E4445" s="46"/>
      <c r="F4445" s="46"/>
      <c r="G4445" s="46"/>
    </row>
    <row r="4446" spans="4:7">
      <c r="D4446" s="46"/>
      <c r="E4446" s="46"/>
      <c r="F4446" s="46"/>
      <c r="G4446" s="46"/>
    </row>
    <row r="4447" spans="4:7">
      <c r="D4447" s="46"/>
      <c r="E4447" s="46"/>
      <c r="F4447" s="46"/>
      <c r="G4447" s="46"/>
    </row>
    <row r="4448" spans="4:7">
      <c r="D4448" s="46"/>
      <c r="E4448" s="46"/>
      <c r="F4448" s="46"/>
      <c r="G4448" s="46"/>
    </row>
    <row r="4449" spans="4:7">
      <c r="D4449" s="46"/>
      <c r="E4449" s="46"/>
      <c r="F4449" s="46"/>
      <c r="G4449" s="46"/>
    </row>
    <row r="4450" spans="4:7">
      <c r="D4450" s="46"/>
      <c r="E4450" s="46"/>
      <c r="F4450" s="46"/>
      <c r="G4450" s="46"/>
    </row>
    <row r="4451" spans="4:7">
      <c r="D4451" s="46"/>
      <c r="E4451" s="46"/>
      <c r="F4451" s="46"/>
      <c r="G4451" s="46"/>
    </row>
    <row r="4452" spans="4:7">
      <c r="D4452" s="46"/>
      <c r="E4452" s="46"/>
      <c r="F4452" s="46"/>
      <c r="G4452" s="46"/>
    </row>
    <row r="4453" spans="4:7">
      <c r="D4453" s="46"/>
      <c r="E4453" s="46"/>
      <c r="F4453" s="46"/>
      <c r="G4453" s="46"/>
    </row>
    <row r="4454" spans="4:7">
      <c r="D4454" s="46"/>
      <c r="E4454" s="46"/>
      <c r="F4454" s="46"/>
      <c r="G4454" s="46"/>
    </row>
    <row r="4455" spans="4:7">
      <c r="D4455" s="46"/>
      <c r="E4455" s="46"/>
      <c r="F4455" s="46"/>
      <c r="G4455" s="46"/>
    </row>
    <row r="4456" spans="4:7">
      <c r="D4456" s="46"/>
      <c r="E4456" s="46"/>
      <c r="F4456" s="46"/>
      <c r="G4456" s="46"/>
    </row>
    <row r="4457" spans="4:7">
      <c r="D4457" s="46"/>
      <c r="E4457" s="46"/>
      <c r="F4457" s="46"/>
      <c r="G4457" s="46"/>
    </row>
    <row r="4458" spans="4:7">
      <c r="D4458" s="46"/>
      <c r="E4458" s="46"/>
      <c r="F4458" s="46"/>
      <c r="G4458" s="46"/>
    </row>
    <row r="4459" spans="4:7">
      <c r="D4459" s="46"/>
      <c r="E4459" s="46"/>
      <c r="F4459" s="46"/>
      <c r="G4459" s="46"/>
    </row>
    <row r="4460" spans="4:7">
      <c r="D4460" s="46"/>
      <c r="E4460" s="46"/>
      <c r="F4460" s="46"/>
      <c r="G4460" s="46"/>
    </row>
    <row r="4461" spans="4:7">
      <c r="D4461" s="46"/>
      <c r="E4461" s="46"/>
      <c r="F4461" s="46"/>
      <c r="G4461" s="46"/>
    </row>
    <row r="4462" spans="4:7">
      <c r="D4462" s="46"/>
      <c r="E4462" s="46"/>
      <c r="F4462" s="46"/>
      <c r="G4462" s="46"/>
    </row>
    <row r="4463" spans="4:7">
      <c r="D4463" s="46"/>
      <c r="E4463" s="46"/>
      <c r="F4463" s="46"/>
      <c r="G4463" s="46"/>
    </row>
    <row r="4464" spans="4:7">
      <c r="D4464" s="46"/>
      <c r="E4464" s="46"/>
      <c r="F4464" s="46"/>
      <c r="G4464" s="46"/>
    </row>
    <row r="4465" spans="4:7">
      <c r="D4465" s="46"/>
      <c r="E4465" s="46"/>
      <c r="F4465" s="46"/>
      <c r="G4465" s="46"/>
    </row>
    <row r="4466" spans="4:7">
      <c r="D4466" s="46"/>
      <c r="E4466" s="46"/>
      <c r="F4466" s="46"/>
      <c r="G4466" s="46"/>
    </row>
    <row r="4467" spans="4:7">
      <c r="D4467" s="46"/>
      <c r="E4467" s="46"/>
      <c r="F4467" s="46"/>
      <c r="G4467" s="46"/>
    </row>
    <row r="4468" spans="4:7">
      <c r="D4468" s="46"/>
      <c r="E4468" s="46"/>
      <c r="F4468" s="46"/>
      <c r="G4468" s="46"/>
    </row>
    <row r="4469" spans="4:7">
      <c r="D4469" s="46"/>
      <c r="E4469" s="46"/>
      <c r="F4469" s="46"/>
      <c r="G4469" s="46"/>
    </row>
    <row r="4470" spans="4:7">
      <c r="D4470" s="46"/>
      <c r="E4470" s="46"/>
      <c r="F4470" s="46"/>
      <c r="G4470" s="46"/>
    </row>
    <row r="4471" spans="4:7">
      <c r="D4471" s="46"/>
      <c r="E4471" s="46"/>
      <c r="F4471" s="46"/>
      <c r="G4471" s="46"/>
    </row>
    <row r="4472" spans="4:7">
      <c r="D4472" s="46"/>
      <c r="E4472" s="46"/>
      <c r="F4472" s="46"/>
      <c r="G4472" s="46"/>
    </row>
    <row r="4473" spans="4:7">
      <c r="D4473" s="46"/>
      <c r="E4473" s="46"/>
      <c r="F4473" s="46"/>
      <c r="G4473" s="46"/>
    </row>
    <row r="4474" spans="4:7">
      <c r="D4474" s="46"/>
      <c r="E4474" s="46"/>
      <c r="F4474" s="46"/>
      <c r="G4474" s="46"/>
    </row>
    <row r="4475" spans="4:7">
      <c r="D4475" s="46"/>
      <c r="E4475" s="46"/>
      <c r="F4475" s="46"/>
      <c r="G4475" s="46"/>
    </row>
    <row r="4476" spans="4:7">
      <c r="D4476" s="46"/>
      <c r="E4476" s="46"/>
      <c r="F4476" s="46"/>
      <c r="G4476" s="46"/>
    </row>
    <row r="4477" spans="4:7">
      <c r="D4477" s="46"/>
      <c r="E4477" s="46"/>
      <c r="F4477" s="46"/>
      <c r="G4477" s="46"/>
    </row>
    <row r="4478" spans="4:7">
      <c r="D4478" s="46"/>
      <c r="E4478" s="46"/>
      <c r="F4478" s="46"/>
      <c r="G4478" s="46"/>
    </row>
    <row r="4479" spans="4:7">
      <c r="D4479" s="46"/>
      <c r="E4479" s="46"/>
      <c r="F4479" s="46"/>
      <c r="G4479" s="46"/>
    </row>
    <row r="4480" spans="4:7">
      <c r="D4480" s="46"/>
      <c r="E4480" s="46"/>
      <c r="F4480" s="46"/>
      <c r="G4480" s="46"/>
    </row>
    <row r="4481" spans="4:7">
      <c r="D4481" s="46"/>
      <c r="E4481" s="46"/>
      <c r="F4481" s="46"/>
      <c r="G4481" s="46"/>
    </row>
    <row r="4482" spans="4:7">
      <c r="D4482" s="46"/>
      <c r="E4482" s="46"/>
      <c r="F4482" s="46"/>
      <c r="G4482" s="46"/>
    </row>
    <row r="4483" spans="4:7">
      <c r="D4483" s="46"/>
      <c r="E4483" s="46"/>
      <c r="F4483" s="46"/>
      <c r="G4483" s="46"/>
    </row>
    <row r="4484" spans="4:7">
      <c r="D4484" s="46"/>
      <c r="E4484" s="46"/>
      <c r="F4484" s="46"/>
      <c r="G4484" s="46"/>
    </row>
    <row r="4485" spans="4:7">
      <c r="D4485" s="46"/>
      <c r="E4485" s="46"/>
      <c r="F4485" s="46"/>
      <c r="G4485" s="46"/>
    </row>
    <row r="4486" spans="4:7">
      <c r="D4486" s="46"/>
      <c r="E4486" s="46"/>
      <c r="F4486" s="46"/>
      <c r="G4486" s="46"/>
    </row>
    <row r="4487" spans="4:7">
      <c r="D4487" s="46"/>
      <c r="E4487" s="46"/>
      <c r="F4487" s="46"/>
      <c r="G4487" s="46"/>
    </row>
    <row r="4488" spans="4:7">
      <c r="D4488" s="46"/>
      <c r="E4488" s="46"/>
      <c r="F4488" s="46"/>
      <c r="G4488" s="46"/>
    </row>
    <row r="4489" spans="4:7">
      <c r="D4489" s="46"/>
      <c r="E4489" s="46"/>
      <c r="F4489" s="46"/>
      <c r="G4489" s="46"/>
    </row>
    <row r="4490" spans="4:7">
      <c r="D4490" s="46"/>
      <c r="E4490" s="46"/>
      <c r="F4490" s="46"/>
      <c r="G4490" s="46"/>
    </row>
    <row r="4491" spans="4:7">
      <c r="D4491" s="46"/>
      <c r="E4491" s="46"/>
      <c r="F4491" s="46"/>
      <c r="G4491" s="46"/>
    </row>
    <row r="4492" spans="4:7">
      <c r="D4492" s="46"/>
      <c r="E4492" s="46"/>
      <c r="F4492" s="46"/>
      <c r="G4492" s="46"/>
    </row>
    <row r="4493" spans="4:7">
      <c r="D4493" s="46"/>
      <c r="E4493" s="46"/>
      <c r="F4493" s="46"/>
      <c r="G4493" s="46"/>
    </row>
    <row r="4494" spans="4:7">
      <c r="D4494" s="46"/>
      <c r="E4494" s="46"/>
      <c r="F4494" s="46"/>
      <c r="G4494" s="46"/>
    </row>
    <row r="4495" spans="4:7">
      <c r="D4495" s="46"/>
      <c r="E4495" s="46"/>
      <c r="F4495" s="46"/>
      <c r="G4495" s="46"/>
    </row>
    <row r="4496" spans="4:7">
      <c r="D4496" s="46"/>
      <c r="E4496" s="46"/>
      <c r="F4496" s="46"/>
      <c r="G4496" s="46"/>
    </row>
    <row r="4497" spans="4:7">
      <c r="D4497" s="46"/>
      <c r="E4497" s="46"/>
      <c r="F4497" s="46"/>
      <c r="G4497" s="46"/>
    </row>
    <row r="4498" spans="4:7">
      <c r="D4498" s="46"/>
      <c r="E4498" s="46"/>
      <c r="F4498" s="46"/>
      <c r="G4498" s="46"/>
    </row>
    <row r="4499" spans="4:7">
      <c r="D4499" s="46"/>
      <c r="E4499" s="46"/>
      <c r="F4499" s="46"/>
      <c r="G4499" s="46"/>
    </row>
    <row r="4500" spans="4:7">
      <c r="D4500" s="46"/>
      <c r="E4500" s="46"/>
      <c r="F4500" s="46"/>
      <c r="G4500" s="46"/>
    </row>
    <row r="4501" spans="4:7">
      <c r="D4501" s="46"/>
      <c r="E4501" s="46"/>
      <c r="F4501" s="46"/>
      <c r="G4501" s="46"/>
    </row>
    <row r="4502" spans="4:7">
      <c r="D4502" s="46"/>
      <c r="E4502" s="46"/>
      <c r="F4502" s="46"/>
      <c r="G4502" s="46"/>
    </row>
    <row r="4503" spans="4:7">
      <c r="D4503" s="46"/>
      <c r="E4503" s="46"/>
      <c r="F4503" s="46"/>
      <c r="G4503" s="46"/>
    </row>
    <row r="4504" spans="4:7">
      <c r="D4504" s="46"/>
      <c r="E4504" s="46"/>
      <c r="F4504" s="46"/>
      <c r="G4504" s="46"/>
    </row>
    <row r="4505" spans="4:7">
      <c r="D4505" s="46"/>
      <c r="E4505" s="46"/>
      <c r="F4505" s="46"/>
      <c r="G4505" s="46"/>
    </row>
    <row r="4506" spans="4:7">
      <c r="D4506" s="46"/>
      <c r="E4506" s="46"/>
      <c r="F4506" s="46"/>
      <c r="G4506" s="46"/>
    </row>
    <row r="4507" spans="4:7">
      <c r="D4507" s="46"/>
      <c r="E4507" s="46"/>
      <c r="F4507" s="46"/>
      <c r="G4507" s="46"/>
    </row>
    <row r="4508" spans="4:7">
      <c r="D4508" s="46"/>
      <c r="E4508" s="46"/>
      <c r="F4508" s="46"/>
      <c r="G4508" s="46"/>
    </row>
    <row r="4509" spans="4:7">
      <c r="D4509" s="46"/>
      <c r="E4509" s="46"/>
      <c r="F4509" s="46"/>
      <c r="G4509" s="46"/>
    </row>
    <row r="4510" spans="4:7">
      <c r="D4510" s="46"/>
      <c r="E4510" s="46"/>
      <c r="F4510" s="46"/>
      <c r="G4510" s="46"/>
    </row>
    <row r="4511" spans="4:7">
      <c r="D4511" s="46"/>
      <c r="E4511" s="46"/>
      <c r="F4511" s="46"/>
      <c r="G4511" s="46"/>
    </row>
    <row r="4512" spans="4:7">
      <c r="D4512" s="46"/>
      <c r="E4512" s="46"/>
      <c r="F4512" s="46"/>
      <c r="G4512" s="46"/>
    </row>
    <row r="4513" spans="4:7">
      <c r="D4513" s="46"/>
      <c r="E4513" s="46"/>
      <c r="F4513" s="46"/>
      <c r="G4513" s="46"/>
    </row>
    <row r="4514" spans="4:7">
      <c r="D4514" s="46"/>
      <c r="E4514" s="46"/>
      <c r="F4514" s="46"/>
      <c r="G4514" s="46"/>
    </row>
    <row r="4515" spans="4:7">
      <c r="D4515" s="46"/>
      <c r="E4515" s="46"/>
      <c r="F4515" s="46"/>
      <c r="G4515" s="46"/>
    </row>
    <row r="4516" spans="4:7">
      <c r="D4516" s="46"/>
      <c r="E4516" s="46"/>
      <c r="F4516" s="46"/>
      <c r="G4516" s="46"/>
    </row>
    <row r="4517" spans="4:7">
      <c r="D4517" s="46"/>
      <c r="E4517" s="46"/>
      <c r="F4517" s="46"/>
      <c r="G4517" s="46"/>
    </row>
    <row r="4518" spans="4:7">
      <c r="D4518" s="46"/>
      <c r="E4518" s="46"/>
      <c r="F4518" s="46"/>
      <c r="G4518" s="46"/>
    </row>
    <row r="4519" spans="4:7">
      <c r="D4519" s="46"/>
      <c r="E4519" s="46"/>
      <c r="F4519" s="46"/>
      <c r="G4519" s="46"/>
    </row>
    <row r="4520" spans="4:7">
      <c r="D4520" s="46"/>
      <c r="E4520" s="46"/>
      <c r="F4520" s="46"/>
      <c r="G4520" s="46"/>
    </row>
    <row r="4521" spans="4:7">
      <c r="D4521" s="46"/>
      <c r="E4521" s="46"/>
      <c r="F4521" s="46"/>
      <c r="G4521" s="46"/>
    </row>
    <row r="4522" spans="4:7">
      <c r="D4522" s="46"/>
      <c r="E4522" s="46"/>
      <c r="F4522" s="46"/>
      <c r="G4522" s="46"/>
    </row>
    <row r="4523" spans="4:7">
      <c r="D4523" s="46"/>
      <c r="E4523" s="46"/>
      <c r="F4523" s="46"/>
      <c r="G4523" s="46"/>
    </row>
    <row r="4524" spans="4:7">
      <c r="D4524" s="46"/>
      <c r="E4524" s="46"/>
      <c r="F4524" s="46"/>
      <c r="G4524" s="46"/>
    </row>
    <row r="4525" spans="4:7">
      <c r="D4525" s="46"/>
      <c r="E4525" s="46"/>
      <c r="F4525" s="46"/>
      <c r="G4525" s="46"/>
    </row>
    <row r="4526" spans="4:7">
      <c r="D4526" s="46"/>
      <c r="E4526" s="46"/>
      <c r="F4526" s="46"/>
      <c r="G4526" s="46"/>
    </row>
    <row r="4527" spans="4:7">
      <c r="D4527" s="46"/>
      <c r="E4527" s="46"/>
      <c r="F4527" s="46"/>
      <c r="G4527" s="46"/>
    </row>
    <row r="4528" spans="4:7">
      <c r="D4528" s="46"/>
      <c r="E4528" s="46"/>
      <c r="F4528" s="46"/>
      <c r="G4528" s="46"/>
    </row>
    <row r="4529" spans="4:7">
      <c r="D4529" s="46"/>
      <c r="E4529" s="46"/>
      <c r="F4529" s="46"/>
      <c r="G4529" s="46"/>
    </row>
    <row r="4530" spans="4:7">
      <c r="D4530" s="46"/>
      <c r="E4530" s="46"/>
      <c r="F4530" s="46"/>
      <c r="G4530" s="46"/>
    </row>
    <row r="4531" spans="4:7">
      <c r="D4531" s="46"/>
      <c r="E4531" s="46"/>
      <c r="F4531" s="46"/>
      <c r="G4531" s="46"/>
    </row>
    <row r="4532" spans="4:7">
      <c r="D4532" s="46"/>
      <c r="E4532" s="46"/>
      <c r="F4532" s="46"/>
      <c r="G4532" s="46"/>
    </row>
    <row r="4533" spans="4:7">
      <c r="D4533" s="46"/>
      <c r="E4533" s="46"/>
      <c r="F4533" s="46"/>
      <c r="G4533" s="46"/>
    </row>
    <row r="4534" spans="4:7">
      <c r="D4534" s="46"/>
      <c r="E4534" s="46"/>
      <c r="F4534" s="46"/>
      <c r="G4534" s="46"/>
    </row>
    <row r="4535" spans="4:7">
      <c r="D4535" s="46"/>
      <c r="E4535" s="46"/>
      <c r="F4535" s="46"/>
      <c r="G4535" s="46"/>
    </row>
    <row r="4536" spans="4:7">
      <c r="D4536" s="46"/>
      <c r="E4536" s="46"/>
      <c r="F4536" s="46"/>
      <c r="G4536" s="46"/>
    </row>
    <row r="4537" spans="4:7">
      <c r="D4537" s="46"/>
      <c r="E4537" s="46"/>
      <c r="F4537" s="46"/>
      <c r="G4537" s="46"/>
    </row>
    <row r="4538" spans="4:7">
      <c r="D4538" s="46"/>
      <c r="E4538" s="46"/>
      <c r="F4538" s="46"/>
      <c r="G4538" s="46"/>
    </row>
    <row r="4539" spans="4:7">
      <c r="D4539" s="46"/>
      <c r="E4539" s="46"/>
      <c r="F4539" s="46"/>
      <c r="G4539" s="46"/>
    </row>
    <row r="4540" spans="4:7">
      <c r="D4540" s="46"/>
      <c r="E4540" s="46"/>
      <c r="F4540" s="46"/>
      <c r="G4540" s="46"/>
    </row>
    <row r="4541" spans="4:7">
      <c r="D4541" s="46"/>
      <c r="E4541" s="46"/>
      <c r="F4541" s="46"/>
      <c r="G4541" s="46"/>
    </row>
    <row r="4542" spans="4:7">
      <c r="D4542" s="46"/>
      <c r="E4542" s="46"/>
      <c r="F4542" s="46"/>
      <c r="G4542" s="46"/>
    </row>
    <row r="4543" spans="4:7">
      <c r="D4543" s="46"/>
      <c r="E4543" s="46"/>
      <c r="F4543" s="46"/>
      <c r="G4543" s="46"/>
    </row>
    <row r="4544" spans="4:7">
      <c r="D4544" s="46"/>
      <c r="E4544" s="46"/>
      <c r="F4544" s="46"/>
      <c r="G4544" s="46"/>
    </row>
    <row r="4545" spans="4:7">
      <c r="D4545" s="46"/>
      <c r="E4545" s="46"/>
      <c r="F4545" s="46"/>
      <c r="G4545" s="46"/>
    </row>
    <row r="4546" spans="4:7">
      <c r="D4546" s="46"/>
      <c r="E4546" s="46"/>
      <c r="F4546" s="46"/>
      <c r="G4546" s="46"/>
    </row>
    <row r="4547" spans="4:7">
      <c r="D4547" s="46"/>
      <c r="E4547" s="46"/>
      <c r="F4547" s="46"/>
      <c r="G4547" s="46"/>
    </row>
    <row r="4548" spans="4:7">
      <c r="D4548" s="46"/>
      <c r="E4548" s="46"/>
      <c r="F4548" s="46"/>
      <c r="G4548" s="46"/>
    </row>
    <row r="4549" spans="4:7">
      <c r="D4549" s="46"/>
      <c r="E4549" s="46"/>
      <c r="F4549" s="46"/>
      <c r="G4549" s="46"/>
    </row>
    <row r="4550" spans="4:7">
      <c r="D4550" s="46"/>
      <c r="E4550" s="46"/>
      <c r="F4550" s="46"/>
      <c r="G4550" s="46"/>
    </row>
    <row r="4551" spans="4:7">
      <c r="D4551" s="46"/>
      <c r="E4551" s="46"/>
      <c r="F4551" s="46"/>
      <c r="G4551" s="46"/>
    </row>
    <row r="4552" spans="4:7">
      <c r="D4552" s="46"/>
      <c r="E4552" s="46"/>
      <c r="F4552" s="46"/>
      <c r="G4552" s="46"/>
    </row>
    <row r="4553" spans="4:7">
      <c r="D4553" s="46"/>
      <c r="E4553" s="46"/>
      <c r="F4553" s="46"/>
      <c r="G4553" s="46"/>
    </row>
    <row r="4554" spans="4:7">
      <c r="D4554" s="46"/>
      <c r="E4554" s="46"/>
      <c r="F4554" s="46"/>
      <c r="G4554" s="46"/>
    </row>
    <row r="4555" spans="4:7">
      <c r="D4555" s="46"/>
      <c r="E4555" s="46"/>
      <c r="F4555" s="46"/>
      <c r="G4555" s="46"/>
    </row>
    <row r="4556" spans="4:7">
      <c r="D4556" s="46"/>
      <c r="E4556" s="46"/>
      <c r="F4556" s="46"/>
      <c r="G4556" s="46"/>
    </row>
    <row r="4557" spans="4:7">
      <c r="D4557" s="46"/>
      <c r="E4557" s="46"/>
      <c r="F4557" s="46"/>
      <c r="G4557" s="46"/>
    </row>
    <row r="4558" spans="4:7">
      <c r="D4558" s="46"/>
      <c r="E4558" s="46"/>
      <c r="F4558" s="46"/>
      <c r="G4558" s="46"/>
    </row>
    <row r="4559" spans="4:7">
      <c r="D4559" s="46"/>
      <c r="E4559" s="46"/>
      <c r="F4559" s="46"/>
      <c r="G4559" s="46"/>
    </row>
    <row r="4560" spans="4:7">
      <c r="D4560" s="46"/>
      <c r="E4560" s="46"/>
      <c r="F4560" s="46"/>
      <c r="G4560" s="46"/>
    </row>
    <row r="4561" spans="4:7">
      <c r="D4561" s="46"/>
      <c r="E4561" s="46"/>
      <c r="F4561" s="46"/>
      <c r="G4561" s="46"/>
    </row>
    <row r="4562" spans="4:7">
      <c r="D4562" s="46"/>
      <c r="E4562" s="46"/>
      <c r="F4562" s="46"/>
      <c r="G4562" s="46"/>
    </row>
    <row r="4563" spans="4:7">
      <c r="D4563" s="46"/>
      <c r="E4563" s="46"/>
      <c r="F4563" s="46"/>
      <c r="G4563" s="46"/>
    </row>
    <row r="4564" spans="4:7">
      <c r="D4564" s="46"/>
      <c r="E4564" s="46"/>
      <c r="F4564" s="46"/>
      <c r="G4564" s="46"/>
    </row>
    <row r="4565" spans="4:7">
      <c r="D4565" s="46"/>
      <c r="E4565" s="46"/>
      <c r="F4565" s="46"/>
      <c r="G4565" s="46"/>
    </row>
    <row r="4566" spans="4:7">
      <c r="D4566" s="46"/>
      <c r="E4566" s="46"/>
      <c r="F4566" s="46"/>
      <c r="G4566" s="46"/>
    </row>
    <row r="4567" spans="4:7">
      <c r="D4567" s="46"/>
      <c r="E4567" s="46"/>
      <c r="F4567" s="46"/>
      <c r="G4567" s="46"/>
    </row>
    <row r="4568" spans="4:7">
      <c r="D4568" s="46"/>
      <c r="E4568" s="46"/>
      <c r="F4568" s="46"/>
      <c r="G4568" s="46"/>
    </row>
    <row r="4569" spans="4:7">
      <c r="D4569" s="46"/>
      <c r="E4569" s="46"/>
      <c r="F4569" s="46"/>
      <c r="G4569" s="46"/>
    </row>
    <row r="4570" spans="4:7">
      <c r="D4570" s="46"/>
      <c r="E4570" s="46"/>
      <c r="F4570" s="46"/>
      <c r="G4570" s="46"/>
    </row>
    <row r="4571" spans="4:7">
      <c r="D4571" s="46"/>
      <c r="E4571" s="46"/>
      <c r="F4571" s="46"/>
      <c r="G4571" s="46"/>
    </row>
    <row r="4572" spans="4:7">
      <c r="D4572" s="46"/>
      <c r="E4572" s="46"/>
      <c r="F4572" s="46"/>
      <c r="G4572" s="46"/>
    </row>
    <row r="4573" spans="4:7">
      <c r="D4573" s="46"/>
      <c r="E4573" s="46"/>
      <c r="F4573" s="46"/>
      <c r="G4573" s="46"/>
    </row>
    <row r="4574" spans="4:7">
      <c r="D4574" s="46"/>
      <c r="E4574" s="46"/>
      <c r="F4574" s="46"/>
      <c r="G4574" s="46"/>
    </row>
    <row r="4575" spans="4:7">
      <c r="D4575" s="46"/>
      <c r="E4575" s="46"/>
      <c r="F4575" s="46"/>
      <c r="G4575" s="46"/>
    </row>
    <row r="4576" spans="4:7">
      <c r="D4576" s="46"/>
      <c r="E4576" s="46"/>
      <c r="F4576" s="46"/>
      <c r="G4576" s="46"/>
    </row>
    <row r="4577" spans="4:7">
      <c r="D4577" s="46"/>
      <c r="E4577" s="46"/>
      <c r="F4577" s="46"/>
      <c r="G4577" s="46"/>
    </row>
    <row r="4578" spans="4:7">
      <c r="D4578" s="46"/>
      <c r="E4578" s="46"/>
      <c r="F4578" s="46"/>
      <c r="G4578" s="46"/>
    </row>
    <row r="4579" spans="4:7">
      <c r="D4579" s="46"/>
      <c r="E4579" s="46"/>
      <c r="F4579" s="46"/>
      <c r="G4579" s="46"/>
    </row>
    <row r="4580" spans="4:7">
      <c r="D4580" s="46"/>
      <c r="E4580" s="46"/>
      <c r="F4580" s="46"/>
      <c r="G4580" s="46"/>
    </row>
    <row r="4581" spans="4:7">
      <c r="D4581" s="46"/>
      <c r="E4581" s="46"/>
      <c r="F4581" s="46"/>
      <c r="G4581" s="46"/>
    </row>
    <row r="4582" spans="4:7">
      <c r="D4582" s="46"/>
      <c r="E4582" s="46"/>
      <c r="F4582" s="46"/>
      <c r="G4582" s="46"/>
    </row>
    <row r="4583" spans="4:7">
      <c r="D4583" s="46"/>
      <c r="E4583" s="46"/>
      <c r="F4583" s="46"/>
      <c r="G4583" s="46"/>
    </row>
    <row r="4584" spans="4:7">
      <c r="D4584" s="46"/>
      <c r="E4584" s="46"/>
      <c r="F4584" s="46"/>
      <c r="G4584" s="46"/>
    </row>
    <row r="4585" spans="4:7">
      <c r="D4585" s="46"/>
      <c r="E4585" s="46"/>
      <c r="F4585" s="46"/>
      <c r="G4585" s="46"/>
    </row>
    <row r="4586" spans="4:7">
      <c r="D4586" s="46"/>
      <c r="E4586" s="46"/>
      <c r="F4586" s="46"/>
      <c r="G4586" s="46"/>
    </row>
    <row r="4587" spans="4:7">
      <c r="D4587" s="46"/>
      <c r="E4587" s="46"/>
      <c r="F4587" s="46"/>
      <c r="G4587" s="46"/>
    </row>
    <row r="4588" spans="4:7">
      <c r="D4588" s="46"/>
      <c r="E4588" s="46"/>
      <c r="F4588" s="46"/>
      <c r="G4588" s="46"/>
    </row>
    <row r="4589" spans="4:7">
      <c r="D4589" s="46"/>
      <c r="E4589" s="46"/>
      <c r="F4589" s="46"/>
      <c r="G4589" s="46"/>
    </row>
    <row r="4590" spans="4:7">
      <c r="D4590" s="46"/>
      <c r="E4590" s="46"/>
      <c r="F4590" s="46"/>
      <c r="G4590" s="46"/>
    </row>
    <row r="4591" spans="4:7">
      <c r="D4591" s="46"/>
      <c r="E4591" s="46"/>
      <c r="F4591" s="46"/>
      <c r="G4591" s="46"/>
    </row>
    <row r="4592" spans="4:7">
      <c r="D4592" s="46"/>
      <c r="E4592" s="46"/>
      <c r="F4592" s="46"/>
      <c r="G4592" s="46"/>
    </row>
    <row r="4593" spans="4:7">
      <c r="D4593" s="46"/>
      <c r="E4593" s="46"/>
      <c r="F4593" s="46"/>
      <c r="G4593" s="46"/>
    </row>
    <row r="4594" spans="4:7">
      <c r="D4594" s="46"/>
      <c r="E4594" s="46"/>
      <c r="F4594" s="46"/>
      <c r="G4594" s="46"/>
    </row>
    <row r="4595" spans="4:7">
      <c r="D4595" s="46"/>
      <c r="E4595" s="46"/>
      <c r="F4595" s="46"/>
      <c r="G4595" s="46"/>
    </row>
    <row r="4596" spans="4:7">
      <c r="D4596" s="46"/>
      <c r="E4596" s="46"/>
      <c r="F4596" s="46"/>
      <c r="G4596" s="46"/>
    </row>
    <row r="4597" spans="4:7">
      <c r="D4597" s="46"/>
      <c r="E4597" s="46"/>
      <c r="F4597" s="46"/>
      <c r="G4597" s="46"/>
    </row>
    <row r="4598" spans="4:7">
      <c r="D4598" s="46"/>
      <c r="E4598" s="46"/>
      <c r="F4598" s="46"/>
      <c r="G4598" s="46"/>
    </row>
    <row r="4599" spans="4:7">
      <c r="D4599" s="46"/>
      <c r="E4599" s="46"/>
      <c r="F4599" s="46"/>
      <c r="G4599" s="46"/>
    </row>
    <row r="4600" spans="4:7">
      <c r="D4600" s="46"/>
      <c r="E4600" s="46"/>
      <c r="F4600" s="46"/>
      <c r="G4600" s="46"/>
    </row>
    <row r="4601" spans="4:7">
      <c r="D4601" s="46"/>
      <c r="E4601" s="46"/>
      <c r="F4601" s="46"/>
      <c r="G4601" s="46"/>
    </row>
    <row r="4602" spans="4:7">
      <c r="D4602" s="46"/>
      <c r="E4602" s="46"/>
      <c r="F4602" s="46"/>
      <c r="G4602" s="46"/>
    </row>
    <row r="4603" spans="4:7">
      <c r="D4603" s="46"/>
      <c r="E4603" s="46"/>
      <c r="F4603" s="46"/>
      <c r="G4603" s="46"/>
    </row>
    <row r="4604" spans="4:7">
      <c r="D4604" s="46"/>
      <c r="E4604" s="46"/>
      <c r="F4604" s="46"/>
      <c r="G4604" s="46"/>
    </row>
    <row r="4605" spans="4:7">
      <c r="D4605" s="46"/>
      <c r="E4605" s="46"/>
      <c r="F4605" s="46"/>
      <c r="G4605" s="46"/>
    </row>
    <row r="4606" spans="4:7">
      <c r="D4606" s="46"/>
      <c r="E4606" s="46"/>
      <c r="F4606" s="46"/>
      <c r="G4606" s="46"/>
    </row>
    <row r="4607" spans="4:7">
      <c r="D4607" s="46"/>
      <c r="E4607" s="46"/>
      <c r="F4607" s="46"/>
      <c r="G4607" s="46"/>
    </row>
    <row r="4608" spans="4:7">
      <c r="D4608" s="46"/>
      <c r="E4608" s="46"/>
      <c r="F4608" s="46"/>
      <c r="G4608" s="46"/>
    </row>
    <row r="4609" spans="4:7">
      <c r="D4609" s="46"/>
      <c r="E4609" s="46"/>
      <c r="F4609" s="46"/>
      <c r="G4609" s="46"/>
    </row>
    <row r="4610" spans="4:7">
      <c r="D4610" s="46"/>
      <c r="E4610" s="46"/>
      <c r="F4610" s="46"/>
      <c r="G4610" s="46"/>
    </row>
    <row r="4611" spans="4:7">
      <c r="D4611" s="46"/>
      <c r="E4611" s="46"/>
      <c r="F4611" s="46"/>
      <c r="G4611" s="46"/>
    </row>
    <row r="4612" spans="4:7">
      <c r="D4612" s="46"/>
      <c r="E4612" s="46"/>
      <c r="F4612" s="46"/>
      <c r="G4612" s="46"/>
    </row>
    <row r="4613" spans="4:7">
      <c r="D4613" s="46"/>
      <c r="E4613" s="46"/>
      <c r="F4613" s="46"/>
      <c r="G4613" s="46"/>
    </row>
    <row r="4614" spans="4:7">
      <c r="D4614" s="46"/>
      <c r="E4614" s="46"/>
      <c r="F4614" s="46"/>
      <c r="G4614" s="46"/>
    </row>
    <row r="4615" spans="4:7">
      <c r="D4615" s="46"/>
      <c r="E4615" s="46"/>
      <c r="F4615" s="46"/>
      <c r="G4615" s="46"/>
    </row>
    <row r="4616" spans="4:7">
      <c r="D4616" s="46"/>
      <c r="E4616" s="46"/>
      <c r="F4616" s="46"/>
      <c r="G4616" s="46"/>
    </row>
    <row r="4617" spans="4:7">
      <c r="D4617" s="46"/>
      <c r="E4617" s="46"/>
      <c r="F4617" s="46"/>
      <c r="G4617" s="46"/>
    </row>
    <row r="4618" spans="4:7">
      <c r="D4618" s="46"/>
      <c r="E4618" s="46"/>
      <c r="F4618" s="46"/>
      <c r="G4618" s="46"/>
    </row>
    <row r="4619" spans="4:7">
      <c r="D4619" s="46"/>
      <c r="E4619" s="46"/>
      <c r="F4619" s="46"/>
      <c r="G4619" s="46"/>
    </row>
    <row r="4620" spans="4:7">
      <c r="D4620" s="46"/>
      <c r="E4620" s="46"/>
      <c r="F4620" s="46"/>
      <c r="G4620" s="46"/>
    </row>
    <row r="4621" spans="4:7">
      <c r="D4621" s="46"/>
      <c r="E4621" s="46"/>
      <c r="F4621" s="46"/>
      <c r="G4621" s="46"/>
    </row>
    <row r="4622" spans="4:7">
      <c r="D4622" s="46"/>
      <c r="E4622" s="46"/>
      <c r="F4622" s="46"/>
      <c r="G4622" s="46"/>
    </row>
    <row r="4623" spans="4:7">
      <c r="D4623" s="46"/>
      <c r="E4623" s="46"/>
      <c r="F4623" s="46"/>
      <c r="G4623" s="46"/>
    </row>
    <row r="4624" spans="4:7">
      <c r="D4624" s="46"/>
      <c r="E4624" s="46"/>
      <c r="F4624" s="46"/>
      <c r="G4624" s="46"/>
    </row>
    <row r="4625" spans="4:7">
      <c r="D4625" s="46"/>
      <c r="E4625" s="46"/>
      <c r="F4625" s="46"/>
      <c r="G4625" s="46"/>
    </row>
    <row r="4626" spans="4:7">
      <c r="D4626" s="46"/>
      <c r="E4626" s="46"/>
      <c r="F4626" s="46"/>
      <c r="G4626" s="46"/>
    </row>
    <row r="4627" spans="4:7">
      <c r="D4627" s="46"/>
      <c r="E4627" s="46"/>
      <c r="F4627" s="46"/>
      <c r="G4627" s="46"/>
    </row>
    <row r="4628" spans="4:7">
      <c r="D4628" s="46"/>
      <c r="E4628" s="46"/>
      <c r="F4628" s="46"/>
      <c r="G4628" s="46"/>
    </row>
    <row r="4629" spans="4:7">
      <c r="D4629" s="46"/>
      <c r="E4629" s="46"/>
      <c r="F4629" s="46"/>
      <c r="G4629" s="46"/>
    </row>
    <row r="4630" spans="4:7">
      <c r="D4630" s="46"/>
      <c r="E4630" s="46"/>
      <c r="F4630" s="46"/>
      <c r="G4630" s="46"/>
    </row>
    <row r="4631" spans="4:7">
      <c r="D4631" s="46"/>
      <c r="E4631" s="46"/>
      <c r="F4631" s="46"/>
      <c r="G4631" s="46"/>
    </row>
    <row r="4632" spans="4:7">
      <c r="D4632" s="46"/>
      <c r="E4632" s="46"/>
      <c r="F4632" s="46"/>
      <c r="G4632" s="46"/>
    </row>
    <row r="4633" spans="4:7">
      <c r="D4633" s="46"/>
      <c r="E4633" s="46"/>
      <c r="F4633" s="46"/>
      <c r="G4633" s="46"/>
    </row>
    <row r="4634" spans="4:7">
      <c r="D4634" s="46"/>
      <c r="E4634" s="46"/>
      <c r="F4634" s="46"/>
      <c r="G4634" s="46"/>
    </row>
    <row r="4635" spans="4:7">
      <c r="D4635" s="46"/>
      <c r="E4635" s="46"/>
      <c r="F4635" s="46"/>
      <c r="G4635" s="46"/>
    </row>
    <row r="4636" spans="4:7">
      <c r="D4636" s="46"/>
      <c r="E4636" s="46"/>
      <c r="F4636" s="46"/>
      <c r="G4636" s="46"/>
    </row>
    <row r="4637" spans="4:7">
      <c r="D4637" s="46"/>
      <c r="E4637" s="46"/>
      <c r="F4637" s="46"/>
      <c r="G4637" s="46"/>
    </row>
    <row r="4638" spans="4:7">
      <c r="D4638" s="46"/>
      <c r="E4638" s="46"/>
      <c r="F4638" s="46"/>
      <c r="G4638" s="46"/>
    </row>
    <row r="4639" spans="4:7">
      <c r="D4639" s="46"/>
      <c r="E4639" s="46"/>
      <c r="F4639" s="46"/>
      <c r="G4639" s="46"/>
    </row>
    <row r="4640" spans="4:7">
      <c r="D4640" s="46"/>
      <c r="E4640" s="46"/>
      <c r="F4640" s="46"/>
      <c r="G4640" s="46"/>
    </row>
    <row r="4641" spans="4:7">
      <c r="D4641" s="46"/>
      <c r="E4641" s="46"/>
      <c r="F4641" s="46"/>
      <c r="G4641" s="46"/>
    </row>
    <row r="4642" spans="4:7">
      <c r="D4642" s="46"/>
      <c r="E4642" s="46"/>
      <c r="F4642" s="46"/>
      <c r="G4642" s="46"/>
    </row>
    <row r="4643" spans="4:7">
      <c r="D4643" s="46"/>
      <c r="E4643" s="46"/>
      <c r="F4643" s="46"/>
      <c r="G4643" s="46"/>
    </row>
    <row r="4644" spans="4:7">
      <c r="D4644" s="46"/>
      <c r="E4644" s="46"/>
      <c r="F4644" s="46"/>
      <c r="G4644" s="46"/>
    </row>
    <row r="4645" spans="4:7">
      <c r="D4645" s="46"/>
      <c r="E4645" s="46"/>
      <c r="F4645" s="46"/>
      <c r="G4645" s="46"/>
    </row>
    <row r="4646" spans="4:7">
      <c r="D4646" s="46"/>
      <c r="E4646" s="46"/>
      <c r="F4646" s="46"/>
      <c r="G4646" s="46"/>
    </row>
    <row r="4647" spans="4:7">
      <c r="D4647" s="46"/>
      <c r="E4647" s="46"/>
      <c r="F4647" s="46"/>
      <c r="G4647" s="46"/>
    </row>
    <row r="4648" spans="4:7">
      <c r="D4648" s="46"/>
      <c r="E4648" s="46"/>
      <c r="F4648" s="46"/>
      <c r="G4648" s="46"/>
    </row>
    <row r="4649" spans="4:7">
      <c r="D4649" s="46"/>
      <c r="E4649" s="46"/>
      <c r="F4649" s="46"/>
      <c r="G4649" s="46"/>
    </row>
    <row r="4650" spans="4:7">
      <c r="D4650" s="46"/>
      <c r="E4650" s="46"/>
      <c r="F4650" s="46"/>
      <c r="G4650" s="46"/>
    </row>
    <row r="4651" spans="4:7">
      <c r="D4651" s="46"/>
      <c r="E4651" s="46"/>
      <c r="F4651" s="46"/>
      <c r="G4651" s="46"/>
    </row>
    <row r="4652" spans="4:7">
      <c r="D4652" s="46"/>
      <c r="E4652" s="46"/>
      <c r="F4652" s="46"/>
      <c r="G4652" s="46"/>
    </row>
    <row r="4653" spans="4:7">
      <c r="D4653" s="46"/>
      <c r="E4653" s="46"/>
      <c r="F4653" s="46"/>
      <c r="G4653" s="46"/>
    </row>
    <row r="4654" spans="4:7">
      <c r="D4654" s="46"/>
      <c r="E4654" s="46"/>
      <c r="F4654" s="46"/>
      <c r="G4654" s="46"/>
    </row>
    <row r="4655" spans="4:7">
      <c r="D4655" s="46"/>
      <c r="E4655" s="46"/>
      <c r="F4655" s="46"/>
      <c r="G4655" s="46"/>
    </row>
    <row r="4656" spans="4:7">
      <c r="D4656" s="46"/>
      <c r="E4656" s="46"/>
      <c r="F4656" s="46"/>
      <c r="G4656" s="46"/>
    </row>
    <row r="4657" spans="4:7">
      <c r="D4657" s="46"/>
      <c r="E4657" s="46"/>
      <c r="F4657" s="46"/>
      <c r="G4657" s="46"/>
    </row>
    <row r="4658" spans="4:7">
      <c r="D4658" s="46"/>
      <c r="E4658" s="46"/>
      <c r="F4658" s="46"/>
      <c r="G4658" s="46"/>
    </row>
    <row r="4659" spans="4:7">
      <c r="D4659" s="46"/>
      <c r="E4659" s="46"/>
      <c r="F4659" s="46"/>
      <c r="G4659" s="46"/>
    </row>
    <row r="4660" spans="4:7">
      <c r="D4660" s="46"/>
      <c r="E4660" s="46"/>
      <c r="F4660" s="46"/>
      <c r="G4660" s="46"/>
    </row>
    <row r="4661" spans="4:7">
      <c r="D4661" s="46"/>
      <c r="E4661" s="46"/>
      <c r="F4661" s="46"/>
      <c r="G4661" s="46"/>
    </row>
    <row r="4662" spans="4:7">
      <c r="D4662" s="46"/>
      <c r="E4662" s="46"/>
      <c r="F4662" s="46"/>
      <c r="G4662" s="46"/>
    </row>
    <row r="4663" spans="4:7">
      <c r="D4663" s="46"/>
      <c r="E4663" s="46"/>
      <c r="F4663" s="46"/>
      <c r="G4663" s="46"/>
    </row>
    <row r="4664" spans="4:7">
      <c r="D4664" s="46"/>
      <c r="E4664" s="46"/>
      <c r="F4664" s="46"/>
      <c r="G4664" s="46"/>
    </row>
    <row r="4665" spans="4:7">
      <c r="D4665" s="46"/>
      <c r="E4665" s="46"/>
      <c r="F4665" s="46"/>
      <c r="G4665" s="46"/>
    </row>
    <row r="4666" spans="4:7">
      <c r="D4666" s="46"/>
      <c r="E4666" s="46"/>
      <c r="F4666" s="46"/>
      <c r="G4666" s="46"/>
    </row>
    <row r="4667" spans="4:7">
      <c r="D4667" s="46"/>
      <c r="E4667" s="46"/>
      <c r="F4667" s="46"/>
      <c r="G4667" s="46"/>
    </row>
    <row r="4668" spans="4:7">
      <c r="D4668" s="46"/>
      <c r="E4668" s="46"/>
      <c r="F4668" s="46"/>
      <c r="G4668" s="46"/>
    </row>
    <row r="4669" spans="4:7">
      <c r="D4669" s="46"/>
      <c r="E4669" s="46"/>
      <c r="F4669" s="46"/>
      <c r="G4669" s="46"/>
    </row>
    <row r="4670" spans="4:7">
      <c r="D4670" s="46"/>
      <c r="E4670" s="46"/>
      <c r="F4670" s="46"/>
      <c r="G4670" s="46"/>
    </row>
    <row r="4671" spans="4:7">
      <c r="D4671" s="46"/>
      <c r="E4671" s="46"/>
      <c r="F4671" s="46"/>
      <c r="G4671" s="46"/>
    </row>
    <row r="4672" spans="4:7">
      <c r="D4672" s="46"/>
      <c r="E4672" s="46"/>
      <c r="F4672" s="46"/>
      <c r="G4672" s="46"/>
    </row>
    <row r="4673" spans="4:7">
      <c r="D4673" s="46"/>
      <c r="E4673" s="46"/>
      <c r="F4673" s="46"/>
      <c r="G4673" s="46"/>
    </row>
    <row r="4674" spans="4:7">
      <c r="D4674" s="46"/>
      <c r="E4674" s="46"/>
      <c r="F4674" s="46"/>
      <c r="G4674" s="46"/>
    </row>
    <row r="4675" spans="4:7">
      <c r="D4675" s="46"/>
      <c r="E4675" s="46"/>
      <c r="F4675" s="46"/>
      <c r="G4675" s="46"/>
    </row>
    <row r="4676" spans="4:7">
      <c r="D4676" s="46"/>
      <c r="E4676" s="46"/>
      <c r="F4676" s="46"/>
      <c r="G4676" s="46"/>
    </row>
    <row r="4677" spans="4:7">
      <c r="D4677" s="46"/>
      <c r="E4677" s="46"/>
      <c r="F4677" s="46"/>
      <c r="G4677" s="46"/>
    </row>
    <row r="4678" spans="4:7">
      <c r="D4678" s="46"/>
      <c r="E4678" s="46"/>
      <c r="F4678" s="46"/>
      <c r="G4678" s="46"/>
    </row>
    <row r="4679" spans="4:7">
      <c r="D4679" s="46"/>
      <c r="E4679" s="46"/>
      <c r="F4679" s="46"/>
      <c r="G4679" s="46"/>
    </row>
    <row r="4680" spans="4:7">
      <c r="D4680" s="46"/>
      <c r="E4680" s="46"/>
      <c r="F4680" s="46"/>
      <c r="G4680" s="46"/>
    </row>
    <row r="4681" spans="4:7">
      <c r="D4681" s="46"/>
      <c r="E4681" s="46"/>
      <c r="F4681" s="46"/>
      <c r="G4681" s="46"/>
    </row>
    <row r="4682" spans="4:7">
      <c r="D4682" s="46"/>
      <c r="E4682" s="46"/>
      <c r="F4682" s="46"/>
      <c r="G4682" s="46"/>
    </row>
    <row r="4683" spans="4:7">
      <c r="D4683" s="46"/>
      <c r="E4683" s="46"/>
      <c r="F4683" s="46"/>
      <c r="G4683" s="46"/>
    </row>
    <row r="4684" spans="4:7">
      <c r="D4684" s="46"/>
      <c r="E4684" s="46"/>
      <c r="F4684" s="46"/>
      <c r="G4684" s="46"/>
    </row>
    <row r="4685" spans="4:7">
      <c r="D4685" s="46"/>
      <c r="E4685" s="46"/>
      <c r="F4685" s="46"/>
      <c r="G4685" s="46"/>
    </row>
    <row r="4686" spans="4:7">
      <c r="D4686" s="46"/>
      <c r="E4686" s="46"/>
      <c r="F4686" s="46"/>
      <c r="G4686" s="46"/>
    </row>
    <row r="4687" spans="4:7">
      <c r="D4687" s="46"/>
      <c r="E4687" s="46"/>
      <c r="F4687" s="46"/>
      <c r="G4687" s="46"/>
    </row>
    <row r="4688" spans="4:7">
      <c r="D4688" s="46"/>
      <c r="E4688" s="46"/>
      <c r="F4688" s="46"/>
      <c r="G4688" s="46"/>
    </row>
    <row r="4689" spans="4:7">
      <c r="D4689" s="46"/>
      <c r="E4689" s="46"/>
      <c r="F4689" s="46"/>
      <c r="G4689" s="46"/>
    </row>
    <row r="4690" spans="4:7">
      <c r="D4690" s="46"/>
      <c r="E4690" s="46"/>
      <c r="F4690" s="46"/>
      <c r="G4690" s="46"/>
    </row>
    <row r="4691" spans="4:7">
      <c r="D4691" s="46"/>
      <c r="E4691" s="46"/>
      <c r="F4691" s="46"/>
      <c r="G4691" s="46"/>
    </row>
    <row r="4692" spans="4:7">
      <c r="D4692" s="46"/>
      <c r="E4692" s="46"/>
      <c r="F4692" s="46"/>
      <c r="G4692" s="46"/>
    </row>
    <row r="4693" spans="4:7">
      <c r="D4693" s="46"/>
      <c r="E4693" s="46"/>
      <c r="F4693" s="46"/>
      <c r="G4693" s="46"/>
    </row>
    <row r="4694" spans="4:7">
      <c r="D4694" s="46"/>
      <c r="E4694" s="46"/>
      <c r="F4694" s="46"/>
      <c r="G4694" s="46"/>
    </row>
    <row r="4695" spans="4:7">
      <c r="D4695" s="46"/>
      <c r="E4695" s="46"/>
      <c r="F4695" s="46"/>
      <c r="G4695" s="46"/>
    </row>
    <row r="4696" spans="4:7">
      <c r="D4696" s="46"/>
      <c r="E4696" s="46"/>
      <c r="F4696" s="46"/>
      <c r="G4696" s="46"/>
    </row>
    <row r="4697" spans="4:7">
      <c r="D4697" s="46"/>
      <c r="E4697" s="46"/>
      <c r="F4697" s="46"/>
      <c r="G4697" s="46"/>
    </row>
    <row r="4698" spans="4:7">
      <c r="D4698" s="46"/>
      <c r="E4698" s="46"/>
      <c r="F4698" s="46"/>
      <c r="G4698" s="46"/>
    </row>
    <row r="4699" spans="4:7">
      <c r="D4699" s="46"/>
      <c r="E4699" s="46"/>
      <c r="F4699" s="46"/>
      <c r="G4699" s="46"/>
    </row>
    <row r="4700" spans="4:7">
      <c r="D4700" s="46"/>
      <c r="E4700" s="46"/>
      <c r="F4700" s="46"/>
      <c r="G4700" s="46"/>
    </row>
    <row r="4701" spans="4:7">
      <c r="D4701" s="46"/>
      <c r="E4701" s="46"/>
      <c r="F4701" s="46"/>
      <c r="G4701" s="46"/>
    </row>
    <row r="4702" spans="4:7">
      <c r="D4702" s="46"/>
      <c r="E4702" s="46"/>
      <c r="F4702" s="46"/>
      <c r="G4702" s="46"/>
    </row>
    <row r="4703" spans="4:7">
      <c r="D4703" s="46"/>
      <c r="E4703" s="46"/>
      <c r="F4703" s="46"/>
      <c r="G4703" s="46"/>
    </row>
    <row r="4704" spans="4:7">
      <c r="D4704" s="46"/>
      <c r="E4704" s="46"/>
      <c r="F4704" s="46"/>
      <c r="G4704" s="46"/>
    </row>
    <row r="4705" spans="4:7">
      <c r="D4705" s="46"/>
      <c r="E4705" s="46"/>
      <c r="F4705" s="46"/>
      <c r="G4705" s="46"/>
    </row>
    <row r="4706" spans="4:7">
      <c r="D4706" s="46"/>
      <c r="E4706" s="46"/>
      <c r="F4706" s="46"/>
      <c r="G4706" s="46"/>
    </row>
    <row r="4707" spans="4:7">
      <c r="D4707" s="46"/>
      <c r="E4707" s="46"/>
      <c r="F4707" s="46"/>
      <c r="G4707" s="46"/>
    </row>
    <row r="4708" spans="4:7">
      <c r="D4708" s="46"/>
      <c r="E4708" s="46"/>
      <c r="F4708" s="46"/>
      <c r="G4708" s="46"/>
    </row>
    <row r="4709" spans="4:7">
      <c r="D4709" s="46"/>
      <c r="E4709" s="46"/>
      <c r="F4709" s="46"/>
      <c r="G4709" s="46"/>
    </row>
    <row r="4710" spans="4:7">
      <c r="D4710" s="46"/>
      <c r="E4710" s="46"/>
      <c r="F4710" s="46"/>
      <c r="G4710" s="46"/>
    </row>
    <row r="4711" spans="4:7">
      <c r="D4711" s="46"/>
      <c r="E4711" s="46"/>
      <c r="F4711" s="46"/>
      <c r="G4711" s="46"/>
    </row>
    <row r="4712" spans="4:7">
      <c r="D4712" s="46"/>
      <c r="E4712" s="46"/>
      <c r="F4712" s="46"/>
      <c r="G4712" s="46"/>
    </row>
    <row r="4713" spans="4:7">
      <c r="D4713" s="46"/>
      <c r="E4713" s="46"/>
      <c r="F4713" s="46"/>
      <c r="G4713" s="46"/>
    </row>
    <row r="4714" spans="4:7">
      <c r="D4714" s="46"/>
      <c r="E4714" s="46"/>
      <c r="F4714" s="46"/>
      <c r="G4714" s="46"/>
    </row>
    <row r="4715" spans="4:7">
      <c r="D4715" s="46"/>
      <c r="E4715" s="46"/>
      <c r="F4715" s="46"/>
      <c r="G4715" s="46"/>
    </row>
    <row r="4716" spans="4:7">
      <c r="D4716" s="46"/>
      <c r="E4716" s="46"/>
      <c r="F4716" s="46"/>
      <c r="G4716" s="46"/>
    </row>
    <row r="4717" spans="4:7">
      <c r="D4717" s="46"/>
      <c r="E4717" s="46"/>
      <c r="F4717" s="46"/>
      <c r="G4717" s="46"/>
    </row>
    <row r="4718" spans="4:7">
      <c r="D4718" s="46"/>
      <c r="E4718" s="46"/>
      <c r="F4718" s="46"/>
      <c r="G4718" s="46"/>
    </row>
    <row r="4719" spans="4:7">
      <c r="D4719" s="46"/>
      <c r="E4719" s="46"/>
      <c r="F4719" s="46"/>
      <c r="G4719" s="46"/>
    </row>
    <row r="4720" spans="4:7">
      <c r="D4720" s="46"/>
      <c r="E4720" s="46"/>
      <c r="F4720" s="46"/>
      <c r="G4720" s="46"/>
    </row>
    <row r="4721" spans="4:7">
      <c r="D4721" s="46"/>
      <c r="E4721" s="46"/>
      <c r="F4721" s="46"/>
      <c r="G4721" s="46"/>
    </row>
    <row r="4722" spans="4:7">
      <c r="D4722" s="46"/>
      <c r="E4722" s="46"/>
      <c r="F4722" s="46"/>
      <c r="G4722" s="46"/>
    </row>
    <row r="4723" spans="4:7">
      <c r="D4723" s="46"/>
      <c r="E4723" s="46"/>
      <c r="F4723" s="46"/>
      <c r="G4723" s="46"/>
    </row>
    <row r="4724" spans="4:7">
      <c r="D4724" s="46"/>
      <c r="E4724" s="46"/>
      <c r="F4724" s="46"/>
      <c r="G4724" s="46"/>
    </row>
    <row r="4725" spans="4:7">
      <c r="D4725" s="46"/>
      <c r="E4725" s="46"/>
      <c r="F4725" s="46"/>
      <c r="G4725" s="46"/>
    </row>
    <row r="4726" spans="4:7">
      <c r="D4726" s="46"/>
      <c r="E4726" s="46"/>
      <c r="F4726" s="46"/>
      <c r="G4726" s="46"/>
    </row>
    <row r="4727" spans="4:7">
      <c r="D4727" s="46"/>
      <c r="E4727" s="46"/>
      <c r="F4727" s="46"/>
      <c r="G4727" s="46"/>
    </row>
    <row r="4728" spans="4:7">
      <c r="D4728" s="46"/>
      <c r="E4728" s="46"/>
      <c r="F4728" s="46"/>
      <c r="G4728" s="46"/>
    </row>
    <row r="4729" spans="4:7">
      <c r="D4729" s="46"/>
      <c r="E4729" s="46"/>
      <c r="F4729" s="46"/>
      <c r="G4729" s="46"/>
    </row>
    <row r="4730" spans="4:7">
      <c r="D4730" s="46"/>
      <c r="E4730" s="46"/>
      <c r="F4730" s="46"/>
      <c r="G4730" s="46"/>
    </row>
    <row r="4731" spans="4:7">
      <c r="D4731" s="46"/>
      <c r="E4731" s="46"/>
      <c r="F4731" s="46"/>
      <c r="G4731" s="46"/>
    </row>
    <row r="4732" spans="4:7">
      <c r="D4732" s="46"/>
      <c r="E4732" s="46"/>
      <c r="F4732" s="46"/>
      <c r="G4732" s="46"/>
    </row>
    <row r="4733" spans="4:7">
      <c r="D4733" s="46"/>
      <c r="E4733" s="46"/>
      <c r="F4733" s="46"/>
      <c r="G4733" s="46"/>
    </row>
    <row r="4734" spans="4:7">
      <c r="D4734" s="46"/>
      <c r="E4734" s="46"/>
      <c r="F4734" s="46"/>
      <c r="G4734" s="46"/>
    </row>
    <row r="4735" spans="4:7">
      <c r="D4735" s="46"/>
      <c r="E4735" s="46"/>
      <c r="F4735" s="46"/>
      <c r="G4735" s="46"/>
    </row>
    <row r="4736" spans="4:7">
      <c r="D4736" s="46"/>
      <c r="E4736" s="46"/>
      <c r="F4736" s="46"/>
      <c r="G4736" s="46"/>
    </row>
    <row r="4737" spans="4:7">
      <c r="D4737" s="46"/>
      <c r="E4737" s="46"/>
      <c r="F4737" s="46"/>
      <c r="G4737" s="46"/>
    </row>
    <row r="4738" spans="4:7">
      <c r="D4738" s="46"/>
      <c r="E4738" s="46"/>
      <c r="F4738" s="46"/>
      <c r="G4738" s="46"/>
    </row>
    <row r="4739" spans="4:7">
      <c r="D4739" s="46"/>
      <c r="E4739" s="46"/>
      <c r="F4739" s="46"/>
      <c r="G4739" s="46"/>
    </row>
    <row r="4740" spans="4:7">
      <c r="D4740" s="46"/>
      <c r="E4740" s="46"/>
      <c r="F4740" s="46"/>
      <c r="G4740" s="46"/>
    </row>
    <row r="4741" spans="4:7">
      <c r="D4741" s="46"/>
      <c r="E4741" s="46"/>
      <c r="F4741" s="46"/>
      <c r="G4741" s="46"/>
    </row>
    <row r="4742" spans="4:7">
      <c r="D4742" s="46"/>
      <c r="E4742" s="46"/>
      <c r="F4742" s="46"/>
      <c r="G4742" s="46"/>
    </row>
    <row r="4743" spans="4:7">
      <c r="D4743" s="46"/>
      <c r="E4743" s="46"/>
      <c r="F4743" s="46"/>
      <c r="G4743" s="46"/>
    </row>
    <row r="4744" spans="4:7">
      <c r="D4744" s="46"/>
      <c r="E4744" s="46"/>
      <c r="F4744" s="46"/>
      <c r="G4744" s="46"/>
    </row>
    <row r="4745" spans="4:7">
      <c r="D4745" s="46"/>
      <c r="E4745" s="46"/>
      <c r="F4745" s="46"/>
      <c r="G4745" s="46"/>
    </row>
    <row r="4746" spans="4:7">
      <c r="D4746" s="46"/>
      <c r="E4746" s="46"/>
      <c r="F4746" s="46"/>
      <c r="G4746" s="46"/>
    </row>
    <row r="4747" spans="4:7">
      <c r="D4747" s="46"/>
      <c r="E4747" s="46"/>
      <c r="F4747" s="46"/>
      <c r="G4747" s="46"/>
    </row>
    <row r="4748" spans="4:7">
      <c r="D4748" s="46"/>
      <c r="E4748" s="46"/>
      <c r="F4748" s="46"/>
      <c r="G4748" s="46"/>
    </row>
    <row r="4749" spans="4:7">
      <c r="D4749" s="46"/>
      <c r="E4749" s="46"/>
      <c r="F4749" s="46"/>
      <c r="G4749" s="46"/>
    </row>
    <row r="4750" spans="4:7">
      <c r="D4750" s="46"/>
      <c r="E4750" s="46"/>
      <c r="F4750" s="46"/>
      <c r="G4750" s="46"/>
    </row>
    <row r="4751" spans="4:7">
      <c r="D4751" s="46"/>
      <c r="E4751" s="46"/>
      <c r="F4751" s="46"/>
      <c r="G4751" s="46"/>
    </row>
    <row r="4752" spans="4:7">
      <c r="D4752" s="46"/>
      <c r="E4752" s="46"/>
      <c r="F4752" s="46"/>
      <c r="G4752" s="46"/>
    </row>
    <row r="4753" spans="4:7">
      <c r="D4753" s="46"/>
      <c r="E4753" s="46"/>
      <c r="F4753" s="46"/>
      <c r="G4753" s="46"/>
    </row>
    <row r="4754" spans="4:7">
      <c r="D4754" s="46"/>
      <c r="E4754" s="46"/>
      <c r="F4754" s="46"/>
      <c r="G4754" s="46"/>
    </row>
    <row r="4755" spans="4:7">
      <c r="D4755" s="46"/>
      <c r="E4755" s="46"/>
      <c r="F4755" s="46"/>
      <c r="G4755" s="46"/>
    </row>
    <row r="4756" spans="4:7">
      <c r="D4756" s="46"/>
      <c r="E4756" s="46"/>
      <c r="F4756" s="46"/>
      <c r="G4756" s="46"/>
    </row>
    <row r="4757" spans="4:7">
      <c r="D4757" s="46"/>
      <c r="E4757" s="46"/>
      <c r="F4757" s="46"/>
      <c r="G4757" s="46"/>
    </row>
    <row r="4758" spans="4:7">
      <c r="D4758" s="46"/>
      <c r="E4758" s="46"/>
      <c r="F4758" s="46"/>
      <c r="G4758" s="46"/>
    </row>
    <row r="4759" spans="4:7">
      <c r="D4759" s="46"/>
      <c r="E4759" s="46"/>
      <c r="F4759" s="46"/>
      <c r="G4759" s="46"/>
    </row>
    <row r="4760" spans="4:7">
      <c r="D4760" s="46"/>
      <c r="E4760" s="46"/>
      <c r="F4760" s="46"/>
      <c r="G4760" s="46"/>
    </row>
    <row r="4761" spans="4:7">
      <c r="D4761" s="46"/>
      <c r="E4761" s="46"/>
      <c r="F4761" s="46"/>
      <c r="G4761" s="46"/>
    </row>
    <row r="4762" spans="4:7">
      <c r="D4762" s="46"/>
      <c r="E4762" s="46"/>
      <c r="F4762" s="46"/>
      <c r="G4762" s="46"/>
    </row>
    <row r="4763" spans="4:7">
      <c r="D4763" s="46"/>
      <c r="E4763" s="46"/>
      <c r="F4763" s="46"/>
      <c r="G4763" s="46"/>
    </row>
    <row r="4764" spans="4:7">
      <c r="D4764" s="46"/>
      <c r="E4764" s="46"/>
      <c r="F4764" s="46"/>
      <c r="G4764" s="46"/>
    </row>
    <row r="4765" spans="4:7">
      <c r="D4765" s="46"/>
      <c r="E4765" s="46"/>
      <c r="F4765" s="46"/>
      <c r="G4765" s="46"/>
    </row>
    <row r="4766" spans="4:7">
      <c r="D4766" s="46"/>
      <c r="E4766" s="46"/>
      <c r="F4766" s="46"/>
      <c r="G4766" s="46"/>
    </row>
    <row r="4767" spans="4:7">
      <c r="D4767" s="46"/>
      <c r="E4767" s="46"/>
      <c r="F4767" s="46"/>
      <c r="G4767" s="46"/>
    </row>
    <row r="4768" spans="4:7">
      <c r="D4768" s="46"/>
      <c r="E4768" s="46"/>
      <c r="F4768" s="46"/>
      <c r="G4768" s="46"/>
    </row>
    <row r="4769" spans="4:7">
      <c r="D4769" s="46"/>
      <c r="E4769" s="46"/>
      <c r="F4769" s="46"/>
      <c r="G4769" s="46"/>
    </row>
    <row r="4770" spans="4:7">
      <c r="D4770" s="46"/>
      <c r="E4770" s="46"/>
      <c r="F4770" s="46"/>
      <c r="G4770" s="46"/>
    </row>
    <row r="4771" spans="4:7">
      <c r="D4771" s="46"/>
      <c r="E4771" s="46"/>
      <c r="F4771" s="46"/>
      <c r="G4771" s="46"/>
    </row>
    <row r="4772" spans="4:7">
      <c r="D4772" s="46"/>
      <c r="E4772" s="46"/>
      <c r="F4772" s="46"/>
      <c r="G4772" s="46"/>
    </row>
    <row r="4773" spans="4:7">
      <c r="D4773" s="46"/>
      <c r="E4773" s="46"/>
      <c r="F4773" s="46"/>
      <c r="G4773" s="46"/>
    </row>
    <row r="4774" spans="4:7">
      <c r="D4774" s="46"/>
      <c r="E4774" s="46"/>
      <c r="F4774" s="46"/>
      <c r="G4774" s="46"/>
    </row>
    <row r="4775" spans="4:7">
      <c r="D4775" s="46"/>
      <c r="E4775" s="46"/>
      <c r="F4775" s="46"/>
      <c r="G4775" s="46"/>
    </row>
    <row r="4776" spans="4:7">
      <c r="D4776" s="46"/>
      <c r="E4776" s="46"/>
      <c r="F4776" s="46"/>
      <c r="G4776" s="46"/>
    </row>
    <row r="4777" spans="4:7">
      <c r="D4777" s="46"/>
      <c r="E4777" s="46"/>
      <c r="F4777" s="46"/>
      <c r="G4777" s="46"/>
    </row>
    <row r="4778" spans="4:7">
      <c r="D4778" s="46"/>
      <c r="E4778" s="46"/>
      <c r="F4778" s="46"/>
      <c r="G4778" s="46"/>
    </row>
    <row r="4779" spans="4:7">
      <c r="D4779" s="46"/>
      <c r="E4779" s="46"/>
      <c r="F4779" s="46"/>
      <c r="G4779" s="46"/>
    </row>
    <row r="4780" spans="4:7">
      <c r="D4780" s="46"/>
      <c r="E4780" s="46"/>
      <c r="F4780" s="46"/>
      <c r="G4780" s="46"/>
    </row>
    <row r="4781" spans="4:7">
      <c r="D4781" s="46"/>
      <c r="E4781" s="46"/>
      <c r="F4781" s="46"/>
      <c r="G4781" s="46"/>
    </row>
    <row r="4782" spans="4:7">
      <c r="D4782" s="46"/>
      <c r="E4782" s="46"/>
      <c r="F4782" s="46"/>
      <c r="G4782" s="46"/>
    </row>
    <row r="4783" spans="4:7">
      <c r="D4783" s="46"/>
      <c r="E4783" s="46"/>
      <c r="F4783" s="46"/>
      <c r="G4783" s="46"/>
    </row>
    <row r="4784" spans="4:7">
      <c r="D4784" s="46"/>
      <c r="E4784" s="46"/>
      <c r="F4784" s="46"/>
      <c r="G4784" s="46"/>
    </row>
    <row r="4785" spans="4:7">
      <c r="D4785" s="46"/>
      <c r="E4785" s="46"/>
      <c r="F4785" s="46"/>
      <c r="G4785" s="46"/>
    </row>
    <row r="4786" spans="4:7">
      <c r="D4786" s="46"/>
      <c r="E4786" s="46"/>
      <c r="F4786" s="46"/>
      <c r="G4786" s="46"/>
    </row>
    <row r="4787" spans="4:7">
      <c r="D4787" s="46"/>
      <c r="E4787" s="46"/>
      <c r="F4787" s="46"/>
      <c r="G4787" s="46"/>
    </row>
    <row r="4788" spans="4:7">
      <c r="D4788" s="46"/>
      <c r="E4788" s="46"/>
      <c r="F4788" s="46"/>
      <c r="G4788" s="46"/>
    </row>
    <row r="4789" spans="4:7">
      <c r="D4789" s="46"/>
      <c r="E4789" s="46"/>
      <c r="F4789" s="46"/>
      <c r="G4789" s="46"/>
    </row>
    <row r="4790" spans="4:7">
      <c r="D4790" s="46"/>
      <c r="E4790" s="46"/>
      <c r="F4790" s="46"/>
      <c r="G4790" s="46"/>
    </row>
    <row r="4791" spans="4:7">
      <c r="D4791" s="46"/>
      <c r="E4791" s="46"/>
      <c r="F4791" s="46"/>
      <c r="G4791" s="46"/>
    </row>
    <row r="4792" spans="4:7">
      <c r="D4792" s="46"/>
      <c r="E4792" s="46"/>
      <c r="F4792" s="46"/>
      <c r="G4792" s="46"/>
    </row>
    <row r="4793" spans="4:7">
      <c r="D4793" s="46"/>
      <c r="E4793" s="46"/>
      <c r="F4793" s="46"/>
      <c r="G4793" s="46"/>
    </row>
    <row r="4794" spans="4:7">
      <c r="D4794" s="46"/>
      <c r="E4794" s="46"/>
      <c r="F4794" s="46"/>
      <c r="G4794" s="46"/>
    </row>
    <row r="4795" spans="4:7">
      <c r="D4795" s="46"/>
      <c r="E4795" s="46"/>
      <c r="F4795" s="46"/>
      <c r="G4795" s="46"/>
    </row>
    <row r="4796" spans="4:7">
      <c r="D4796" s="46"/>
      <c r="E4796" s="46"/>
      <c r="F4796" s="46"/>
      <c r="G4796" s="46"/>
    </row>
    <row r="4797" spans="4:7">
      <c r="D4797" s="46"/>
      <c r="E4797" s="46"/>
      <c r="F4797" s="46"/>
      <c r="G4797" s="46"/>
    </row>
    <row r="4798" spans="4:7">
      <c r="D4798" s="46"/>
      <c r="E4798" s="46"/>
      <c r="F4798" s="46"/>
      <c r="G4798" s="46"/>
    </row>
    <row r="4799" spans="4:7">
      <c r="D4799" s="46"/>
      <c r="E4799" s="46"/>
      <c r="F4799" s="46"/>
      <c r="G4799" s="46"/>
    </row>
    <row r="4800" spans="4:7">
      <c r="D4800" s="46"/>
      <c r="E4800" s="46"/>
      <c r="F4800" s="46"/>
      <c r="G4800" s="46"/>
    </row>
    <row r="4801" spans="4:7">
      <c r="D4801" s="46"/>
      <c r="E4801" s="46"/>
      <c r="F4801" s="46"/>
      <c r="G4801" s="46"/>
    </row>
    <row r="4802" spans="4:7">
      <c r="D4802" s="46"/>
      <c r="E4802" s="46"/>
      <c r="F4802" s="46"/>
      <c r="G4802" s="46"/>
    </row>
    <row r="4803" spans="4:7">
      <c r="D4803" s="46"/>
      <c r="E4803" s="46"/>
      <c r="F4803" s="46"/>
      <c r="G4803" s="46"/>
    </row>
    <row r="4804" spans="4:7">
      <c r="D4804" s="46"/>
      <c r="E4804" s="46"/>
      <c r="F4804" s="46"/>
      <c r="G4804" s="46"/>
    </row>
    <row r="4805" spans="4:7">
      <c r="D4805" s="46"/>
      <c r="E4805" s="46"/>
      <c r="F4805" s="46"/>
      <c r="G4805" s="46"/>
    </row>
    <row r="4806" spans="4:7">
      <c r="D4806" s="46"/>
      <c r="E4806" s="46"/>
      <c r="F4806" s="46"/>
      <c r="G4806" s="46"/>
    </row>
    <row r="4807" spans="4:7">
      <c r="D4807" s="46"/>
      <c r="E4807" s="46"/>
      <c r="F4807" s="46"/>
      <c r="G4807" s="46"/>
    </row>
    <row r="4808" spans="4:7">
      <c r="D4808" s="46"/>
      <c r="E4808" s="46"/>
      <c r="F4808" s="46"/>
      <c r="G4808" s="46"/>
    </row>
    <row r="4809" spans="4:7">
      <c r="D4809" s="46"/>
      <c r="E4809" s="46"/>
      <c r="F4809" s="46"/>
      <c r="G4809" s="46"/>
    </row>
    <row r="4810" spans="4:7">
      <c r="D4810" s="46"/>
      <c r="E4810" s="46"/>
      <c r="F4810" s="46"/>
      <c r="G4810" s="46"/>
    </row>
    <row r="4811" spans="4:7">
      <c r="D4811" s="46"/>
      <c r="E4811" s="46"/>
      <c r="F4811" s="46"/>
      <c r="G4811" s="46"/>
    </row>
    <row r="4812" spans="4:7">
      <c r="D4812" s="46"/>
      <c r="E4812" s="46"/>
      <c r="F4812" s="46"/>
      <c r="G4812" s="46"/>
    </row>
    <row r="4813" spans="4:7">
      <c r="D4813" s="46"/>
      <c r="E4813" s="46"/>
      <c r="F4813" s="46"/>
      <c r="G4813" s="46"/>
    </row>
    <row r="4814" spans="4:7">
      <c r="D4814" s="46"/>
      <c r="E4814" s="46"/>
      <c r="F4814" s="46"/>
      <c r="G4814" s="46"/>
    </row>
    <row r="4815" spans="4:7">
      <c r="D4815" s="46"/>
      <c r="E4815" s="46"/>
      <c r="F4815" s="46"/>
      <c r="G4815" s="46"/>
    </row>
    <row r="4816" spans="4:7">
      <c r="D4816" s="46"/>
      <c r="E4816" s="46"/>
      <c r="F4816" s="46"/>
      <c r="G4816" s="46"/>
    </row>
    <row r="4817" spans="4:7">
      <c r="D4817" s="46"/>
      <c r="E4817" s="46"/>
      <c r="F4817" s="46"/>
      <c r="G4817" s="46"/>
    </row>
    <row r="4818" spans="4:7">
      <c r="D4818" s="46"/>
      <c r="E4818" s="46"/>
      <c r="F4818" s="46"/>
      <c r="G4818" s="46"/>
    </row>
    <row r="4819" spans="4:7">
      <c r="D4819" s="46"/>
      <c r="E4819" s="46"/>
      <c r="F4819" s="46"/>
      <c r="G4819" s="46"/>
    </row>
    <row r="4820" spans="4:7">
      <c r="D4820" s="46"/>
      <c r="E4820" s="46"/>
      <c r="F4820" s="46"/>
      <c r="G4820" s="46"/>
    </row>
    <row r="4821" spans="4:7">
      <c r="D4821" s="46"/>
      <c r="E4821" s="46"/>
      <c r="F4821" s="46"/>
      <c r="G4821" s="46"/>
    </row>
    <row r="4822" spans="4:7">
      <c r="D4822" s="46"/>
      <c r="E4822" s="46"/>
      <c r="F4822" s="46"/>
      <c r="G4822" s="46"/>
    </row>
    <row r="4823" spans="4:7">
      <c r="D4823" s="46"/>
      <c r="E4823" s="46"/>
      <c r="F4823" s="46"/>
      <c r="G4823" s="46"/>
    </row>
    <row r="4824" spans="4:7">
      <c r="D4824" s="46"/>
      <c r="E4824" s="46"/>
      <c r="F4824" s="46"/>
      <c r="G4824" s="46"/>
    </row>
    <row r="4825" spans="4:7">
      <c r="D4825" s="46"/>
      <c r="E4825" s="46"/>
      <c r="F4825" s="46"/>
      <c r="G4825" s="46"/>
    </row>
    <row r="4826" spans="4:7">
      <c r="D4826" s="46"/>
      <c r="E4826" s="46"/>
      <c r="F4826" s="46"/>
      <c r="G4826" s="46"/>
    </row>
    <row r="4827" spans="4:7">
      <c r="D4827" s="46"/>
      <c r="E4827" s="46"/>
      <c r="F4827" s="46"/>
      <c r="G4827" s="46"/>
    </row>
    <row r="4828" spans="4:7">
      <c r="D4828" s="46"/>
      <c r="E4828" s="46"/>
      <c r="F4828" s="46"/>
      <c r="G4828" s="46"/>
    </row>
    <row r="4829" spans="4:7">
      <c r="D4829" s="46"/>
      <c r="E4829" s="46"/>
      <c r="F4829" s="46"/>
      <c r="G4829" s="46"/>
    </row>
    <row r="4830" spans="4:7">
      <c r="D4830" s="46"/>
      <c r="E4830" s="46"/>
      <c r="F4830" s="46"/>
      <c r="G4830" s="46"/>
    </row>
    <row r="4831" spans="4:7">
      <c r="D4831" s="46"/>
      <c r="E4831" s="46"/>
      <c r="F4831" s="46"/>
      <c r="G4831" s="46"/>
    </row>
    <row r="4832" spans="4:7">
      <c r="D4832" s="46"/>
      <c r="E4832" s="46"/>
      <c r="F4832" s="46"/>
      <c r="G4832" s="46"/>
    </row>
    <row r="4833" spans="4:7">
      <c r="D4833" s="46"/>
      <c r="E4833" s="46"/>
      <c r="F4833" s="46"/>
      <c r="G4833" s="46"/>
    </row>
    <row r="4834" spans="4:7">
      <c r="D4834" s="46"/>
      <c r="E4834" s="46"/>
      <c r="F4834" s="46"/>
      <c r="G4834" s="46"/>
    </row>
    <row r="4835" spans="4:7">
      <c r="D4835" s="46"/>
      <c r="E4835" s="46"/>
      <c r="F4835" s="46"/>
      <c r="G4835" s="46"/>
    </row>
    <row r="4836" spans="4:7">
      <c r="D4836" s="46"/>
      <c r="E4836" s="46"/>
      <c r="F4836" s="46"/>
      <c r="G4836" s="46"/>
    </row>
    <row r="4837" spans="4:7">
      <c r="D4837" s="46"/>
      <c r="E4837" s="46"/>
      <c r="F4837" s="46"/>
      <c r="G4837" s="46"/>
    </row>
    <row r="4838" spans="4:7">
      <c r="D4838" s="46"/>
      <c r="E4838" s="46"/>
      <c r="F4838" s="46"/>
      <c r="G4838" s="46"/>
    </row>
    <row r="4839" spans="4:7">
      <c r="D4839" s="46"/>
      <c r="E4839" s="46"/>
      <c r="F4839" s="46"/>
      <c r="G4839" s="46"/>
    </row>
    <row r="4840" spans="4:7">
      <c r="D4840" s="46"/>
      <c r="E4840" s="46"/>
      <c r="F4840" s="46"/>
      <c r="G4840" s="46"/>
    </row>
    <row r="4841" spans="4:7">
      <c r="D4841" s="46"/>
      <c r="E4841" s="46"/>
      <c r="F4841" s="46"/>
      <c r="G4841" s="46"/>
    </row>
    <row r="4842" spans="4:7">
      <c r="D4842" s="46"/>
      <c r="E4842" s="46"/>
      <c r="F4842" s="46"/>
      <c r="G4842" s="46"/>
    </row>
    <row r="4843" spans="4:7">
      <c r="D4843" s="46"/>
      <c r="E4843" s="46"/>
      <c r="F4843" s="46"/>
      <c r="G4843" s="46"/>
    </row>
    <row r="4844" spans="4:7">
      <c r="D4844" s="46"/>
      <c r="E4844" s="46"/>
      <c r="F4844" s="46"/>
      <c r="G4844" s="46"/>
    </row>
    <row r="4845" spans="4:7">
      <c r="D4845" s="46"/>
      <c r="E4845" s="46"/>
      <c r="F4845" s="46"/>
      <c r="G4845" s="46"/>
    </row>
    <row r="4846" spans="4:7">
      <c r="D4846" s="46"/>
      <c r="E4846" s="46"/>
      <c r="F4846" s="46"/>
      <c r="G4846" s="46"/>
    </row>
    <row r="4847" spans="4:7">
      <c r="D4847" s="46"/>
      <c r="E4847" s="46"/>
      <c r="F4847" s="46"/>
      <c r="G4847" s="46"/>
    </row>
    <row r="4848" spans="4:7">
      <c r="D4848" s="46"/>
      <c r="E4848" s="46"/>
      <c r="F4848" s="46"/>
      <c r="G4848" s="46"/>
    </row>
    <row r="4849" spans="4:7">
      <c r="D4849" s="46"/>
      <c r="E4849" s="46"/>
      <c r="F4849" s="46"/>
      <c r="G4849" s="46"/>
    </row>
    <row r="4850" spans="4:7">
      <c r="D4850" s="46"/>
      <c r="E4850" s="46"/>
      <c r="F4850" s="46"/>
      <c r="G4850" s="46"/>
    </row>
    <row r="4851" spans="4:7">
      <c r="D4851" s="46"/>
      <c r="E4851" s="46"/>
      <c r="F4851" s="46"/>
      <c r="G4851" s="46"/>
    </row>
    <row r="4852" spans="4:7">
      <c r="D4852" s="46"/>
      <c r="E4852" s="46"/>
      <c r="F4852" s="46"/>
      <c r="G4852" s="46"/>
    </row>
    <row r="4853" spans="4:7">
      <c r="D4853" s="46"/>
      <c r="E4853" s="46"/>
      <c r="F4853" s="46"/>
      <c r="G4853" s="46"/>
    </row>
    <row r="4854" spans="4:7">
      <c r="D4854" s="46"/>
      <c r="E4854" s="46"/>
      <c r="F4854" s="46"/>
      <c r="G4854" s="46"/>
    </row>
    <row r="4855" spans="4:7">
      <c r="D4855" s="46"/>
      <c r="E4855" s="46"/>
      <c r="F4855" s="46"/>
      <c r="G4855" s="46"/>
    </row>
    <row r="4856" spans="4:7">
      <c r="D4856" s="46"/>
      <c r="E4856" s="46"/>
      <c r="F4856" s="46"/>
      <c r="G4856" s="46"/>
    </row>
    <row r="4857" spans="4:7">
      <c r="D4857" s="46"/>
      <c r="E4857" s="46"/>
      <c r="F4857" s="46"/>
      <c r="G4857" s="46"/>
    </row>
    <row r="4858" spans="4:7">
      <c r="D4858" s="46"/>
      <c r="E4858" s="46"/>
      <c r="F4858" s="46"/>
      <c r="G4858" s="46"/>
    </row>
    <row r="4859" spans="4:7">
      <c r="D4859" s="46"/>
      <c r="E4859" s="46"/>
      <c r="F4859" s="46"/>
      <c r="G4859" s="46"/>
    </row>
    <row r="4860" spans="4:7">
      <c r="D4860" s="46"/>
      <c r="E4860" s="46"/>
      <c r="F4860" s="46"/>
      <c r="G4860" s="46"/>
    </row>
    <row r="4861" spans="4:7">
      <c r="D4861" s="46"/>
      <c r="E4861" s="46"/>
      <c r="F4861" s="46"/>
      <c r="G4861" s="46"/>
    </row>
    <row r="4862" spans="4:7">
      <c r="D4862" s="46"/>
      <c r="E4862" s="46"/>
      <c r="F4862" s="46"/>
      <c r="G4862" s="46"/>
    </row>
    <row r="4863" spans="4:7">
      <c r="D4863" s="46"/>
      <c r="E4863" s="46"/>
      <c r="F4863" s="46"/>
      <c r="G4863" s="46"/>
    </row>
    <row r="4864" spans="4:7">
      <c r="D4864" s="46"/>
      <c r="E4864" s="46"/>
      <c r="F4864" s="46"/>
      <c r="G4864" s="46"/>
    </row>
    <row r="4865" spans="4:7">
      <c r="D4865" s="46"/>
      <c r="E4865" s="46"/>
      <c r="F4865" s="46"/>
      <c r="G4865" s="46"/>
    </row>
    <row r="4866" spans="4:7">
      <c r="D4866" s="46"/>
      <c r="E4866" s="46"/>
      <c r="F4866" s="46"/>
      <c r="G4866" s="46"/>
    </row>
    <row r="4867" spans="4:7">
      <c r="D4867" s="46"/>
      <c r="E4867" s="46"/>
      <c r="F4867" s="46"/>
      <c r="G4867" s="46"/>
    </row>
    <row r="4868" spans="4:7">
      <c r="D4868" s="46"/>
      <c r="E4868" s="46"/>
      <c r="F4868" s="46"/>
      <c r="G4868" s="46"/>
    </row>
    <row r="4869" spans="4:7">
      <c r="D4869" s="46"/>
      <c r="E4869" s="46"/>
      <c r="F4869" s="46"/>
      <c r="G4869" s="46"/>
    </row>
    <row r="4870" spans="4:7">
      <c r="D4870" s="46"/>
      <c r="E4870" s="46"/>
      <c r="F4870" s="46"/>
      <c r="G4870" s="46"/>
    </row>
    <row r="4871" spans="4:7">
      <c r="D4871" s="46"/>
      <c r="E4871" s="46"/>
      <c r="F4871" s="46"/>
      <c r="G4871" s="46"/>
    </row>
    <row r="4872" spans="4:7">
      <c r="D4872" s="46"/>
      <c r="E4872" s="46"/>
      <c r="F4872" s="46"/>
      <c r="G4872" s="46"/>
    </row>
    <row r="4873" spans="4:7">
      <c r="D4873" s="46"/>
      <c r="E4873" s="46"/>
      <c r="F4873" s="46"/>
      <c r="G4873" s="46"/>
    </row>
    <row r="4874" spans="4:7">
      <c r="D4874" s="46"/>
      <c r="E4874" s="46"/>
      <c r="F4874" s="46"/>
      <c r="G4874" s="46"/>
    </row>
    <row r="4875" spans="4:7">
      <c r="D4875" s="46"/>
      <c r="E4875" s="46"/>
      <c r="F4875" s="46"/>
      <c r="G4875" s="46"/>
    </row>
    <row r="4876" spans="4:7">
      <c r="D4876" s="46"/>
      <c r="E4876" s="46"/>
      <c r="F4876" s="46"/>
      <c r="G4876" s="46"/>
    </row>
    <row r="4877" spans="4:7">
      <c r="D4877" s="46"/>
      <c r="E4877" s="46"/>
      <c r="F4877" s="46"/>
      <c r="G4877" s="46"/>
    </row>
    <row r="4878" spans="4:7">
      <c r="D4878" s="46"/>
      <c r="E4878" s="46"/>
      <c r="F4878" s="46"/>
      <c r="G4878" s="46"/>
    </row>
    <row r="4879" spans="4:7">
      <c r="D4879" s="46"/>
      <c r="E4879" s="46"/>
      <c r="F4879" s="46"/>
      <c r="G4879" s="46"/>
    </row>
    <row r="4880" spans="4:7">
      <c r="D4880" s="46"/>
      <c r="E4880" s="46"/>
      <c r="F4880" s="46"/>
      <c r="G4880" s="46"/>
    </row>
    <row r="4881" spans="4:7">
      <c r="D4881" s="46"/>
      <c r="E4881" s="46"/>
      <c r="F4881" s="46"/>
      <c r="G4881" s="46"/>
    </row>
    <row r="4882" spans="4:7">
      <c r="D4882" s="46"/>
      <c r="E4882" s="46"/>
      <c r="F4882" s="46"/>
      <c r="G4882" s="46"/>
    </row>
    <row r="4883" spans="4:7">
      <c r="D4883" s="46"/>
      <c r="E4883" s="46"/>
      <c r="F4883" s="46"/>
      <c r="G4883" s="46"/>
    </row>
    <row r="4884" spans="4:7">
      <c r="D4884" s="46"/>
      <c r="E4884" s="46"/>
      <c r="F4884" s="46"/>
      <c r="G4884" s="46"/>
    </row>
    <row r="4885" spans="4:7">
      <c r="D4885" s="46"/>
      <c r="E4885" s="46"/>
      <c r="F4885" s="46"/>
      <c r="G4885" s="46"/>
    </row>
    <row r="4886" spans="4:7">
      <c r="D4886" s="46"/>
      <c r="E4886" s="46"/>
      <c r="F4886" s="46"/>
      <c r="G4886" s="46"/>
    </row>
    <row r="4887" spans="4:7">
      <c r="D4887" s="46"/>
      <c r="E4887" s="46"/>
      <c r="F4887" s="46"/>
      <c r="G4887" s="46"/>
    </row>
    <row r="4888" spans="4:7">
      <c r="D4888" s="46"/>
      <c r="E4888" s="46"/>
      <c r="F4888" s="46"/>
      <c r="G4888" s="46"/>
    </row>
    <row r="4889" spans="4:7">
      <c r="D4889" s="46"/>
      <c r="E4889" s="46"/>
      <c r="F4889" s="46"/>
      <c r="G4889" s="46"/>
    </row>
    <row r="4890" spans="4:7">
      <c r="D4890" s="46"/>
      <c r="E4890" s="46"/>
      <c r="F4890" s="46"/>
      <c r="G4890" s="46"/>
    </row>
    <row r="4891" spans="4:7">
      <c r="D4891" s="46"/>
      <c r="E4891" s="46"/>
      <c r="F4891" s="46"/>
      <c r="G4891" s="46"/>
    </row>
    <row r="4892" spans="4:7">
      <c r="D4892" s="46"/>
      <c r="E4892" s="46"/>
      <c r="F4892" s="46"/>
      <c r="G4892" s="46"/>
    </row>
    <row r="4893" spans="4:7">
      <c r="D4893" s="46"/>
      <c r="E4893" s="46"/>
      <c r="F4893" s="46"/>
      <c r="G4893" s="46"/>
    </row>
    <row r="4894" spans="4:7">
      <c r="D4894" s="46"/>
      <c r="E4894" s="46"/>
      <c r="F4894" s="46"/>
      <c r="G4894" s="46"/>
    </row>
    <row r="4895" spans="4:7">
      <c r="D4895" s="46"/>
      <c r="E4895" s="46"/>
      <c r="F4895" s="46"/>
      <c r="G4895" s="46"/>
    </row>
    <row r="4896" spans="4:7">
      <c r="D4896" s="46"/>
      <c r="E4896" s="46"/>
      <c r="F4896" s="46"/>
      <c r="G4896" s="46"/>
    </row>
    <row r="4897" spans="4:7">
      <c r="D4897" s="46"/>
      <c r="E4897" s="46"/>
      <c r="F4897" s="46"/>
      <c r="G4897" s="46"/>
    </row>
    <row r="4898" spans="4:7">
      <c r="D4898" s="46"/>
      <c r="E4898" s="46"/>
      <c r="F4898" s="46"/>
      <c r="G4898" s="46"/>
    </row>
    <row r="4899" spans="4:7">
      <c r="D4899" s="46"/>
      <c r="E4899" s="46"/>
      <c r="F4899" s="46"/>
      <c r="G4899" s="46"/>
    </row>
    <row r="4900" spans="4:7">
      <c r="D4900" s="46"/>
      <c r="E4900" s="46"/>
      <c r="F4900" s="46"/>
      <c r="G4900" s="46"/>
    </row>
    <row r="4901" spans="4:7">
      <c r="D4901" s="46"/>
      <c r="E4901" s="46"/>
      <c r="F4901" s="46"/>
      <c r="G4901" s="46"/>
    </row>
    <row r="4902" spans="4:7">
      <c r="D4902" s="46"/>
      <c r="E4902" s="46"/>
      <c r="F4902" s="46"/>
      <c r="G4902" s="46"/>
    </row>
    <row r="4903" spans="4:7">
      <c r="D4903" s="46"/>
      <c r="E4903" s="46"/>
      <c r="F4903" s="46"/>
      <c r="G4903" s="46"/>
    </row>
    <row r="4904" spans="4:7">
      <c r="D4904" s="46"/>
      <c r="E4904" s="46"/>
      <c r="F4904" s="46"/>
      <c r="G4904" s="46"/>
    </row>
    <row r="4905" spans="4:7">
      <c r="D4905" s="46"/>
      <c r="E4905" s="46"/>
      <c r="F4905" s="46"/>
      <c r="G4905" s="46"/>
    </row>
    <row r="4906" spans="4:7">
      <c r="D4906" s="46"/>
      <c r="E4906" s="46"/>
      <c r="F4906" s="46"/>
      <c r="G4906" s="46"/>
    </row>
    <row r="4907" spans="4:7">
      <c r="D4907" s="46"/>
      <c r="E4907" s="46"/>
      <c r="F4907" s="46"/>
      <c r="G4907" s="46"/>
    </row>
    <row r="4908" spans="4:7">
      <c r="D4908" s="46"/>
      <c r="E4908" s="46"/>
      <c r="F4908" s="46"/>
      <c r="G4908" s="46"/>
    </row>
    <row r="4909" spans="4:7">
      <c r="D4909" s="46"/>
      <c r="E4909" s="46"/>
      <c r="F4909" s="46"/>
      <c r="G4909" s="46"/>
    </row>
    <row r="4910" spans="4:7">
      <c r="D4910" s="46"/>
      <c r="E4910" s="46"/>
      <c r="F4910" s="46"/>
      <c r="G4910" s="46"/>
    </row>
    <row r="4911" spans="4:7">
      <c r="D4911" s="46"/>
      <c r="E4911" s="46"/>
      <c r="F4911" s="46"/>
      <c r="G4911" s="46"/>
    </row>
    <row r="4912" spans="4:7">
      <c r="D4912" s="46"/>
      <c r="E4912" s="46"/>
      <c r="F4912" s="46"/>
      <c r="G4912" s="46"/>
    </row>
    <row r="4913" spans="4:7">
      <c r="D4913" s="46"/>
      <c r="E4913" s="46"/>
      <c r="F4913" s="46"/>
      <c r="G4913" s="46"/>
    </row>
    <row r="4914" spans="4:7">
      <c r="D4914" s="46"/>
      <c r="E4914" s="46"/>
      <c r="F4914" s="46"/>
      <c r="G4914" s="46"/>
    </row>
    <row r="4915" spans="4:7">
      <c r="D4915" s="46"/>
      <c r="E4915" s="46"/>
      <c r="F4915" s="46"/>
      <c r="G4915" s="46"/>
    </row>
    <row r="4916" spans="4:7">
      <c r="D4916" s="46"/>
      <c r="E4916" s="46"/>
      <c r="F4916" s="46"/>
      <c r="G4916" s="46"/>
    </row>
    <row r="4917" spans="4:7">
      <c r="D4917" s="46"/>
      <c r="E4917" s="46"/>
      <c r="F4917" s="46"/>
      <c r="G4917" s="46"/>
    </row>
    <row r="4918" spans="4:7">
      <c r="D4918" s="46"/>
      <c r="E4918" s="46"/>
      <c r="F4918" s="46"/>
      <c r="G4918" s="46"/>
    </row>
    <row r="4919" spans="4:7">
      <c r="D4919" s="46"/>
      <c r="E4919" s="46"/>
      <c r="F4919" s="46"/>
      <c r="G4919" s="46"/>
    </row>
    <row r="4920" spans="4:7">
      <c r="D4920" s="46"/>
      <c r="E4920" s="46"/>
      <c r="F4920" s="46"/>
      <c r="G4920" s="46"/>
    </row>
    <row r="4921" spans="4:7">
      <c r="D4921" s="46"/>
      <c r="E4921" s="46"/>
      <c r="F4921" s="46"/>
      <c r="G4921" s="46"/>
    </row>
    <row r="4922" spans="4:7">
      <c r="D4922" s="46"/>
      <c r="E4922" s="46"/>
      <c r="F4922" s="46"/>
      <c r="G4922" s="46"/>
    </row>
    <row r="4923" spans="4:7">
      <c r="D4923" s="46"/>
      <c r="E4923" s="46"/>
      <c r="F4923" s="46"/>
      <c r="G4923" s="46"/>
    </row>
    <row r="4924" spans="4:7">
      <c r="D4924" s="46"/>
      <c r="E4924" s="46"/>
      <c r="F4924" s="46"/>
      <c r="G4924" s="46"/>
    </row>
    <row r="4925" spans="4:7">
      <c r="D4925" s="46"/>
      <c r="E4925" s="46"/>
      <c r="F4925" s="46"/>
      <c r="G4925" s="46"/>
    </row>
    <row r="4926" spans="4:7">
      <c r="D4926" s="46"/>
      <c r="E4926" s="46"/>
      <c r="F4926" s="46"/>
      <c r="G4926" s="46"/>
    </row>
    <row r="4927" spans="4:7">
      <c r="D4927" s="46"/>
      <c r="E4927" s="46"/>
      <c r="F4927" s="46"/>
      <c r="G4927" s="46"/>
    </row>
    <row r="4928" spans="4:7">
      <c r="D4928" s="46"/>
      <c r="E4928" s="46"/>
      <c r="F4928" s="46"/>
      <c r="G4928" s="46"/>
    </row>
    <row r="4929" spans="4:7">
      <c r="D4929" s="46"/>
      <c r="E4929" s="46"/>
      <c r="F4929" s="46"/>
      <c r="G4929" s="46"/>
    </row>
    <row r="4930" spans="4:7">
      <c r="D4930" s="46"/>
      <c r="E4930" s="46"/>
      <c r="F4930" s="46"/>
      <c r="G4930" s="46"/>
    </row>
    <row r="4931" spans="4:7">
      <c r="D4931" s="46"/>
      <c r="E4931" s="46"/>
      <c r="F4931" s="46"/>
      <c r="G4931" s="46"/>
    </row>
    <row r="4932" spans="4:7">
      <c r="D4932" s="46"/>
      <c r="E4932" s="46"/>
      <c r="F4932" s="46"/>
      <c r="G4932" s="46"/>
    </row>
    <row r="4933" spans="4:7">
      <c r="D4933" s="46"/>
      <c r="E4933" s="46"/>
      <c r="F4933" s="46"/>
      <c r="G4933" s="46"/>
    </row>
    <row r="4934" spans="4:7">
      <c r="D4934" s="46"/>
      <c r="E4934" s="46"/>
      <c r="F4934" s="46"/>
      <c r="G4934" s="46"/>
    </row>
    <row r="4935" spans="4:7">
      <c r="D4935" s="46"/>
      <c r="E4935" s="46"/>
      <c r="F4935" s="46"/>
      <c r="G4935" s="46"/>
    </row>
    <row r="4936" spans="4:7">
      <c r="D4936" s="46"/>
      <c r="E4936" s="46"/>
      <c r="F4936" s="46"/>
      <c r="G4936" s="46"/>
    </row>
    <row r="4937" spans="4:7">
      <c r="D4937" s="46"/>
      <c r="E4937" s="46"/>
      <c r="F4937" s="46"/>
      <c r="G4937" s="46"/>
    </row>
    <row r="4938" spans="4:7">
      <c r="D4938" s="46"/>
      <c r="E4938" s="46"/>
      <c r="F4938" s="46"/>
      <c r="G4938" s="46"/>
    </row>
    <row r="4939" spans="4:7">
      <c r="D4939" s="46"/>
      <c r="E4939" s="46"/>
      <c r="F4939" s="46"/>
      <c r="G4939" s="46"/>
    </row>
    <row r="4940" spans="4:7">
      <c r="D4940" s="46"/>
      <c r="E4940" s="46"/>
      <c r="F4940" s="46"/>
      <c r="G4940" s="46"/>
    </row>
    <row r="4941" spans="4:7">
      <c r="D4941" s="46"/>
      <c r="E4941" s="46"/>
      <c r="F4941" s="46"/>
      <c r="G4941" s="46"/>
    </row>
    <row r="4942" spans="4:7">
      <c r="D4942" s="46"/>
      <c r="E4942" s="46"/>
      <c r="F4942" s="46"/>
      <c r="G4942" s="46"/>
    </row>
    <row r="4943" spans="4:7">
      <c r="D4943" s="46"/>
      <c r="E4943" s="46"/>
      <c r="F4943" s="46"/>
      <c r="G4943" s="46"/>
    </row>
    <row r="4944" spans="4:7">
      <c r="D4944" s="46"/>
      <c r="E4944" s="46"/>
      <c r="F4944" s="46"/>
      <c r="G4944" s="46"/>
    </row>
    <row r="4945" spans="4:7">
      <c r="D4945" s="46"/>
      <c r="E4945" s="46"/>
      <c r="F4945" s="46"/>
      <c r="G4945" s="46"/>
    </row>
    <row r="4946" spans="4:7">
      <c r="D4946" s="46"/>
      <c r="E4946" s="46"/>
      <c r="F4946" s="46"/>
      <c r="G4946" s="46"/>
    </row>
    <row r="4947" spans="4:7">
      <c r="D4947" s="46"/>
      <c r="E4947" s="46"/>
      <c r="F4947" s="46"/>
      <c r="G4947" s="46"/>
    </row>
    <row r="4948" spans="4:7">
      <c r="D4948" s="46"/>
      <c r="E4948" s="46"/>
      <c r="F4948" s="46"/>
      <c r="G4948" s="46"/>
    </row>
    <row r="4949" spans="4:7">
      <c r="D4949" s="46"/>
      <c r="E4949" s="46"/>
      <c r="F4949" s="46"/>
      <c r="G4949" s="46"/>
    </row>
    <row r="4950" spans="4:7">
      <c r="D4950" s="46"/>
      <c r="E4950" s="46"/>
      <c r="F4950" s="46"/>
      <c r="G4950" s="46"/>
    </row>
    <row r="4951" spans="4:7">
      <c r="D4951" s="46"/>
      <c r="E4951" s="46"/>
      <c r="F4951" s="46"/>
      <c r="G4951" s="46"/>
    </row>
    <row r="4952" spans="4:7">
      <c r="D4952" s="46"/>
      <c r="E4952" s="46"/>
      <c r="F4952" s="46"/>
      <c r="G4952" s="46"/>
    </row>
    <row r="4953" spans="4:7">
      <c r="D4953" s="46"/>
      <c r="E4953" s="46"/>
      <c r="F4953" s="46"/>
      <c r="G4953" s="46"/>
    </row>
    <row r="4954" spans="4:7">
      <c r="D4954" s="46"/>
      <c r="E4954" s="46"/>
      <c r="F4954" s="46"/>
      <c r="G4954" s="46"/>
    </row>
    <row r="4955" spans="4:7">
      <c r="D4955" s="46"/>
      <c r="E4955" s="46"/>
      <c r="F4955" s="46"/>
      <c r="G4955" s="46"/>
    </row>
    <row r="4956" spans="4:7">
      <c r="D4956" s="46"/>
      <c r="E4956" s="46"/>
      <c r="F4956" s="46"/>
      <c r="G4956" s="46"/>
    </row>
    <row r="4957" spans="4:7">
      <c r="D4957" s="46"/>
      <c r="E4957" s="46"/>
      <c r="F4957" s="46"/>
      <c r="G4957" s="46"/>
    </row>
    <row r="4958" spans="4:7">
      <c r="D4958" s="46"/>
      <c r="E4958" s="46"/>
      <c r="F4958" s="46"/>
      <c r="G4958" s="46"/>
    </row>
    <row r="4959" spans="4:7">
      <c r="D4959" s="46"/>
      <c r="E4959" s="46"/>
      <c r="F4959" s="46"/>
      <c r="G4959" s="46"/>
    </row>
    <row r="4960" spans="4:7">
      <c r="D4960" s="46"/>
      <c r="E4960" s="46"/>
      <c r="F4960" s="46"/>
      <c r="G4960" s="46"/>
    </row>
    <row r="4961" spans="4:7">
      <c r="D4961" s="46"/>
      <c r="E4961" s="46"/>
      <c r="F4961" s="46"/>
      <c r="G4961" s="46"/>
    </row>
    <row r="4962" spans="4:7">
      <c r="D4962" s="46"/>
      <c r="E4962" s="46"/>
      <c r="F4962" s="46"/>
      <c r="G4962" s="46"/>
    </row>
    <row r="4963" spans="4:7">
      <c r="D4963" s="46"/>
      <c r="E4963" s="46"/>
      <c r="F4963" s="46"/>
      <c r="G4963" s="46"/>
    </row>
    <row r="4964" spans="4:7">
      <c r="D4964" s="46"/>
      <c r="E4964" s="46"/>
      <c r="F4964" s="46"/>
      <c r="G4964" s="46"/>
    </row>
    <row r="4965" spans="4:7">
      <c r="D4965" s="46"/>
      <c r="E4965" s="46"/>
      <c r="F4965" s="46"/>
      <c r="G4965" s="46"/>
    </row>
    <row r="4966" spans="4:7">
      <c r="D4966" s="46"/>
      <c r="E4966" s="46"/>
      <c r="F4966" s="46"/>
      <c r="G4966" s="46"/>
    </row>
    <row r="4967" spans="4:7">
      <c r="D4967" s="46"/>
      <c r="E4967" s="46"/>
      <c r="F4967" s="46"/>
      <c r="G4967" s="46"/>
    </row>
    <row r="4968" spans="4:7">
      <c r="D4968" s="46"/>
      <c r="E4968" s="46"/>
      <c r="F4968" s="46"/>
      <c r="G4968" s="46"/>
    </row>
    <row r="4969" spans="4:7">
      <c r="D4969" s="46"/>
      <c r="E4969" s="46"/>
      <c r="F4969" s="46"/>
      <c r="G4969" s="46"/>
    </row>
    <row r="4970" spans="4:7">
      <c r="D4970" s="46"/>
      <c r="E4970" s="46"/>
      <c r="F4970" s="46"/>
      <c r="G4970" s="46"/>
    </row>
    <row r="4971" spans="4:7">
      <c r="D4971" s="46"/>
      <c r="E4971" s="46"/>
      <c r="F4971" s="46"/>
      <c r="G4971" s="46"/>
    </row>
    <row r="4972" spans="4:7">
      <c r="D4972" s="46"/>
      <c r="E4972" s="46"/>
      <c r="F4972" s="46"/>
      <c r="G4972" s="46"/>
    </row>
    <row r="4973" spans="4:7">
      <c r="D4973" s="46"/>
      <c r="E4973" s="46"/>
      <c r="F4973" s="46"/>
      <c r="G4973" s="46"/>
    </row>
    <row r="4974" spans="4:7">
      <c r="D4974" s="46"/>
      <c r="E4974" s="46"/>
      <c r="F4974" s="46"/>
      <c r="G4974" s="46"/>
    </row>
    <row r="4975" spans="4:7">
      <c r="D4975" s="46"/>
      <c r="E4975" s="46"/>
      <c r="F4975" s="46"/>
      <c r="G4975" s="46"/>
    </row>
    <row r="4976" spans="4:7">
      <c r="D4976" s="46"/>
      <c r="E4976" s="46"/>
      <c r="F4976" s="46"/>
      <c r="G4976" s="46"/>
    </row>
    <row r="4977" spans="4:7">
      <c r="D4977" s="46"/>
      <c r="E4977" s="46"/>
      <c r="F4977" s="46"/>
      <c r="G4977" s="46"/>
    </row>
    <row r="4978" spans="4:7">
      <c r="D4978" s="46"/>
      <c r="E4978" s="46"/>
      <c r="F4978" s="46"/>
      <c r="G4978" s="46"/>
    </row>
    <row r="4979" spans="4:7">
      <c r="D4979" s="46"/>
      <c r="E4979" s="46"/>
      <c r="F4979" s="46"/>
      <c r="G4979" s="46"/>
    </row>
    <row r="4980" spans="4:7">
      <c r="D4980" s="46"/>
      <c r="E4980" s="46"/>
      <c r="F4980" s="46"/>
      <c r="G4980" s="46"/>
    </row>
    <row r="4981" spans="4:7">
      <c r="D4981" s="46"/>
      <c r="E4981" s="46"/>
      <c r="F4981" s="46"/>
      <c r="G4981" s="46"/>
    </row>
    <row r="4982" spans="4:7">
      <c r="D4982" s="46"/>
      <c r="E4982" s="46"/>
      <c r="F4982" s="46"/>
      <c r="G4982" s="46"/>
    </row>
    <row r="4983" spans="4:7">
      <c r="D4983" s="46"/>
      <c r="E4983" s="46"/>
      <c r="F4983" s="46"/>
      <c r="G4983" s="46"/>
    </row>
    <row r="4984" spans="4:7">
      <c r="D4984" s="46"/>
      <c r="E4984" s="46"/>
      <c r="F4984" s="46"/>
      <c r="G4984" s="46"/>
    </row>
    <row r="4985" spans="4:7">
      <c r="D4985" s="46"/>
      <c r="E4985" s="46"/>
      <c r="F4985" s="46"/>
      <c r="G4985" s="46"/>
    </row>
    <row r="4986" spans="4:7">
      <c r="D4986" s="46"/>
      <c r="E4986" s="46"/>
      <c r="F4986" s="46"/>
      <c r="G4986" s="46"/>
    </row>
    <row r="4987" spans="4:7">
      <c r="D4987" s="46"/>
      <c r="E4987" s="46"/>
      <c r="F4987" s="46"/>
      <c r="G4987" s="46"/>
    </row>
    <row r="4988" spans="4:7">
      <c r="D4988" s="46"/>
      <c r="E4988" s="46"/>
      <c r="F4988" s="46"/>
      <c r="G4988" s="46"/>
    </row>
    <row r="4989" spans="4:7">
      <c r="D4989" s="46"/>
      <c r="E4989" s="46"/>
      <c r="F4989" s="46"/>
      <c r="G4989" s="46"/>
    </row>
    <row r="4990" spans="4:7">
      <c r="D4990" s="46"/>
      <c r="E4990" s="46"/>
      <c r="F4990" s="46"/>
      <c r="G4990" s="46"/>
    </row>
    <row r="4991" spans="4:7">
      <c r="D4991" s="46"/>
      <c r="E4991" s="46"/>
      <c r="F4991" s="46"/>
      <c r="G4991" s="46"/>
    </row>
    <row r="4992" spans="4:7">
      <c r="D4992" s="46"/>
      <c r="E4992" s="46"/>
      <c r="F4992" s="46"/>
      <c r="G4992" s="46"/>
    </row>
    <row r="4993" spans="4:7">
      <c r="D4993" s="46"/>
      <c r="E4993" s="46"/>
      <c r="F4993" s="46"/>
      <c r="G4993" s="46"/>
    </row>
    <row r="4994" spans="4:7">
      <c r="D4994" s="46"/>
      <c r="E4994" s="46"/>
      <c r="F4994" s="46"/>
      <c r="G4994" s="46"/>
    </row>
    <row r="4995" spans="4:7">
      <c r="D4995" s="46"/>
      <c r="E4995" s="46"/>
      <c r="F4995" s="46"/>
      <c r="G4995" s="46"/>
    </row>
    <row r="4996" spans="4:7">
      <c r="D4996" s="46"/>
      <c r="E4996" s="46"/>
      <c r="F4996" s="46"/>
      <c r="G4996" s="46"/>
    </row>
    <row r="4997" spans="4:7">
      <c r="D4997" s="46"/>
      <c r="E4997" s="46"/>
      <c r="F4997" s="46"/>
      <c r="G4997" s="46"/>
    </row>
    <row r="4998" spans="4:7">
      <c r="D4998" s="46"/>
      <c r="E4998" s="46"/>
      <c r="F4998" s="46"/>
      <c r="G4998" s="46"/>
    </row>
    <row r="4999" spans="4:7">
      <c r="D4999" s="46"/>
      <c r="E4999" s="46"/>
      <c r="F4999" s="46"/>
      <c r="G4999" s="46"/>
    </row>
    <row r="5000" spans="4:7">
      <c r="D5000" s="46"/>
      <c r="E5000" s="46"/>
      <c r="F5000" s="46"/>
      <c r="G5000" s="46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600-000000000000}">
          <x14:formula1>
            <xm:f>Listas!$G$2:$G$20</xm:f>
          </x14:formula1>
          <xm:sqref>H2:H5000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2"/>
  <sheetViews>
    <sheetView showGridLines="0" workbookViewId="0">
      <pane ySplit="1" topLeftCell="A2" activePane="bottomLeft" state="frozen"/>
      <selection pane="bottomLeft"/>
    </sheetView>
  </sheetViews>
  <sheetFormatPr defaultRowHeight="14"/>
  <cols>
    <col min="1" max="3" width="16" customWidth="1"/>
    <col min="4" max="4" width="36" customWidth="1"/>
    <col min="5" max="11" width="16" customWidth="1"/>
    <col min="12" max="12" width="30" customWidth="1"/>
  </cols>
  <sheetData>
    <row r="1" spans="1:12" ht="32" customHeight="1">
      <c r="A1" s="3" t="s">
        <v>1795</v>
      </c>
      <c r="B1" s="29" t="s">
        <v>1787</v>
      </c>
      <c r="C1" s="29" t="s">
        <v>92</v>
      </c>
      <c r="D1" s="29" t="s">
        <v>17</v>
      </c>
      <c r="E1" s="29" t="s">
        <v>61</v>
      </c>
      <c r="F1" s="29" t="s">
        <v>62</v>
      </c>
      <c r="G1" s="29" t="s">
        <v>1796</v>
      </c>
      <c r="H1" s="29" t="s">
        <v>1797</v>
      </c>
      <c r="I1" s="29" t="s">
        <v>1798</v>
      </c>
      <c r="J1" s="29" t="s">
        <v>72</v>
      </c>
      <c r="K1" s="29" t="s">
        <v>1799</v>
      </c>
      <c r="L1" s="4" t="s">
        <v>43</v>
      </c>
    </row>
    <row r="2" spans="1:12">
      <c r="J2" t="str">
        <f>IF(A2="","",MAX(0,F2-G2-H2-I2))</f>
        <v/>
      </c>
      <c r="K2" t="str">
        <f>IF(A2="","",IF(J2=0,"Completo",IF(J2&lt;F2,"Retorno parcial","Pendiente")))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00"/>
  <sheetViews>
    <sheetView showGridLines="0" workbookViewId="0">
      <pane ySplit="1" topLeftCell="A2" activePane="bottomLeft" state="frozen"/>
      <selection pane="bottomLeft"/>
    </sheetView>
  </sheetViews>
  <sheetFormatPr defaultRowHeight="14"/>
  <cols>
    <col min="1" max="9" width="18" customWidth="1"/>
    <col min="10" max="10" width="36" customWidth="1"/>
  </cols>
  <sheetData>
    <row r="1" spans="1:10" ht="32" customHeight="1">
      <c r="A1" s="3" t="s">
        <v>1800</v>
      </c>
      <c r="B1" s="29" t="s">
        <v>1801</v>
      </c>
      <c r="C1" s="29" t="s">
        <v>1802</v>
      </c>
      <c r="D1" s="29" t="s">
        <v>92</v>
      </c>
      <c r="E1" s="29" t="s">
        <v>1787</v>
      </c>
      <c r="F1" s="29" t="s">
        <v>1803</v>
      </c>
      <c r="G1" s="29" t="s">
        <v>1804</v>
      </c>
      <c r="H1" s="29" t="s">
        <v>1805</v>
      </c>
      <c r="I1" s="29" t="s">
        <v>1806</v>
      </c>
      <c r="J1" s="4" t="s">
        <v>43</v>
      </c>
    </row>
    <row r="2" spans="1:10">
      <c r="B2" s="47"/>
    </row>
    <row r="3" spans="1:10">
      <c r="B3" s="47"/>
    </row>
    <row r="4" spans="1:10">
      <c r="B4" s="47"/>
    </row>
    <row r="5" spans="1:10">
      <c r="B5" s="47"/>
    </row>
    <row r="6" spans="1:10">
      <c r="B6" s="47"/>
    </row>
    <row r="7" spans="1:10">
      <c r="B7" s="47"/>
    </row>
    <row r="8" spans="1:10">
      <c r="B8" s="47"/>
    </row>
    <row r="9" spans="1:10">
      <c r="B9" s="47"/>
    </row>
    <row r="10" spans="1:10">
      <c r="B10" s="47"/>
    </row>
    <row r="11" spans="1:10">
      <c r="B11" s="47"/>
    </row>
    <row r="12" spans="1:10">
      <c r="B12" s="47"/>
    </row>
    <row r="13" spans="1:10">
      <c r="B13" s="47"/>
    </row>
    <row r="14" spans="1:10">
      <c r="B14" s="47"/>
    </row>
    <row r="15" spans="1:10">
      <c r="B15" s="47"/>
    </row>
    <row r="16" spans="1:10">
      <c r="B16" s="47"/>
    </row>
    <row r="17" spans="2:2">
      <c r="B17" s="47"/>
    </row>
    <row r="18" spans="2:2">
      <c r="B18" s="47"/>
    </row>
    <row r="19" spans="2:2">
      <c r="B19" s="47"/>
    </row>
    <row r="20" spans="2:2">
      <c r="B20" s="47"/>
    </row>
    <row r="21" spans="2:2">
      <c r="B21" s="47"/>
    </row>
    <row r="22" spans="2:2">
      <c r="B22" s="47"/>
    </row>
    <row r="23" spans="2:2">
      <c r="B23" s="47"/>
    </row>
    <row r="24" spans="2:2">
      <c r="B24" s="47"/>
    </row>
    <row r="25" spans="2:2">
      <c r="B25" s="47"/>
    </row>
    <row r="26" spans="2:2">
      <c r="B26" s="47"/>
    </row>
    <row r="27" spans="2:2">
      <c r="B27" s="47"/>
    </row>
    <row r="28" spans="2:2">
      <c r="B28" s="47"/>
    </row>
    <row r="29" spans="2:2">
      <c r="B29" s="47"/>
    </row>
    <row r="30" spans="2:2">
      <c r="B30" s="47"/>
    </row>
    <row r="31" spans="2:2">
      <c r="B31" s="47"/>
    </row>
    <row r="32" spans="2:2">
      <c r="B32" s="47"/>
    </row>
    <row r="33" spans="2:2">
      <c r="B33" s="47"/>
    </row>
    <row r="34" spans="2:2">
      <c r="B34" s="47"/>
    </row>
    <row r="35" spans="2:2">
      <c r="B35" s="47"/>
    </row>
    <row r="36" spans="2:2">
      <c r="B36" s="47"/>
    </row>
    <row r="37" spans="2:2">
      <c r="B37" s="47"/>
    </row>
    <row r="38" spans="2:2">
      <c r="B38" s="47"/>
    </row>
    <row r="39" spans="2:2">
      <c r="B39" s="47"/>
    </row>
    <row r="40" spans="2:2">
      <c r="B40" s="47"/>
    </row>
    <row r="41" spans="2:2">
      <c r="B41" s="47"/>
    </row>
    <row r="42" spans="2:2">
      <c r="B42" s="47"/>
    </row>
    <row r="43" spans="2:2">
      <c r="B43" s="47"/>
    </row>
    <row r="44" spans="2:2">
      <c r="B44" s="47"/>
    </row>
    <row r="45" spans="2:2">
      <c r="B45" s="47"/>
    </row>
    <row r="46" spans="2:2">
      <c r="B46" s="47"/>
    </row>
    <row r="47" spans="2:2">
      <c r="B47" s="47"/>
    </row>
    <row r="48" spans="2:2">
      <c r="B48" s="47"/>
    </row>
    <row r="49" spans="2:2">
      <c r="B49" s="47"/>
    </row>
    <row r="50" spans="2:2">
      <c r="B50" s="47"/>
    </row>
    <row r="51" spans="2:2">
      <c r="B51" s="47"/>
    </row>
    <row r="52" spans="2:2">
      <c r="B52" s="47"/>
    </row>
    <row r="53" spans="2:2">
      <c r="B53" s="47"/>
    </row>
    <row r="54" spans="2:2">
      <c r="B54" s="47"/>
    </row>
    <row r="55" spans="2:2">
      <c r="B55" s="47"/>
    </row>
    <row r="56" spans="2:2">
      <c r="B56" s="47"/>
    </row>
    <row r="57" spans="2:2">
      <c r="B57" s="47"/>
    </row>
    <row r="58" spans="2:2">
      <c r="B58" s="47"/>
    </row>
    <row r="59" spans="2:2">
      <c r="B59" s="47"/>
    </row>
    <row r="60" spans="2:2">
      <c r="B60" s="47"/>
    </row>
    <row r="61" spans="2:2">
      <c r="B61" s="47"/>
    </row>
    <row r="62" spans="2:2">
      <c r="B62" s="47"/>
    </row>
    <row r="63" spans="2:2">
      <c r="B63" s="47"/>
    </row>
    <row r="64" spans="2:2">
      <c r="B64" s="47"/>
    </row>
    <row r="65" spans="2:2">
      <c r="B65" s="47"/>
    </row>
    <row r="66" spans="2:2">
      <c r="B66" s="47"/>
    </row>
    <row r="67" spans="2:2">
      <c r="B67" s="47"/>
    </row>
    <row r="68" spans="2:2">
      <c r="B68" s="47"/>
    </row>
    <row r="69" spans="2:2">
      <c r="B69" s="47"/>
    </row>
    <row r="70" spans="2:2">
      <c r="B70" s="47"/>
    </row>
    <row r="71" spans="2:2">
      <c r="B71" s="47"/>
    </row>
    <row r="72" spans="2:2">
      <c r="B72" s="47"/>
    </row>
    <row r="73" spans="2:2">
      <c r="B73" s="47"/>
    </row>
    <row r="74" spans="2:2">
      <c r="B74" s="47"/>
    </row>
    <row r="75" spans="2:2">
      <c r="B75" s="47"/>
    </row>
    <row r="76" spans="2:2">
      <c r="B76" s="47"/>
    </row>
    <row r="77" spans="2:2">
      <c r="B77" s="47"/>
    </row>
    <row r="78" spans="2:2">
      <c r="B78" s="47"/>
    </row>
    <row r="79" spans="2:2">
      <c r="B79" s="47"/>
    </row>
    <row r="80" spans="2:2">
      <c r="B80" s="47"/>
    </row>
    <row r="81" spans="2:2">
      <c r="B81" s="47"/>
    </row>
    <row r="82" spans="2:2">
      <c r="B82" s="47"/>
    </row>
    <row r="83" spans="2:2">
      <c r="B83" s="47"/>
    </row>
    <row r="84" spans="2:2">
      <c r="B84" s="47"/>
    </row>
    <row r="85" spans="2:2">
      <c r="B85" s="47"/>
    </row>
    <row r="86" spans="2:2">
      <c r="B86" s="47"/>
    </row>
    <row r="87" spans="2:2">
      <c r="B87" s="47"/>
    </row>
    <row r="88" spans="2:2">
      <c r="B88" s="47"/>
    </row>
    <row r="89" spans="2:2">
      <c r="B89" s="47"/>
    </row>
    <row r="90" spans="2:2">
      <c r="B90" s="47"/>
    </row>
    <row r="91" spans="2:2">
      <c r="B91" s="47"/>
    </row>
    <row r="92" spans="2:2">
      <c r="B92" s="47"/>
    </row>
    <row r="93" spans="2:2">
      <c r="B93" s="47"/>
    </row>
    <row r="94" spans="2:2">
      <c r="B94" s="47"/>
    </row>
    <row r="95" spans="2:2">
      <c r="B95" s="47"/>
    </row>
    <row r="96" spans="2:2">
      <c r="B96" s="47"/>
    </row>
    <row r="97" spans="2:2">
      <c r="B97" s="47"/>
    </row>
    <row r="98" spans="2:2">
      <c r="B98" s="47"/>
    </row>
    <row r="99" spans="2:2">
      <c r="B99" s="47"/>
    </row>
    <row r="100" spans="2:2">
      <c r="B100" s="47"/>
    </row>
    <row r="101" spans="2:2">
      <c r="B101" s="47"/>
    </row>
    <row r="102" spans="2:2">
      <c r="B102" s="47"/>
    </row>
    <row r="103" spans="2:2">
      <c r="B103" s="47"/>
    </row>
    <row r="104" spans="2:2">
      <c r="B104" s="47"/>
    </row>
    <row r="105" spans="2:2">
      <c r="B105" s="47"/>
    </row>
    <row r="106" spans="2:2">
      <c r="B106" s="47"/>
    </row>
    <row r="107" spans="2:2">
      <c r="B107" s="47"/>
    </row>
    <row r="108" spans="2:2">
      <c r="B108" s="47"/>
    </row>
    <row r="109" spans="2:2">
      <c r="B109" s="47"/>
    </row>
    <row r="110" spans="2:2">
      <c r="B110" s="47"/>
    </row>
    <row r="111" spans="2:2">
      <c r="B111" s="47"/>
    </row>
    <row r="112" spans="2:2">
      <c r="B112" s="47"/>
    </row>
    <row r="113" spans="2:2">
      <c r="B113" s="47"/>
    </row>
    <row r="114" spans="2:2">
      <c r="B114" s="47"/>
    </row>
    <row r="115" spans="2:2">
      <c r="B115" s="47"/>
    </row>
    <row r="116" spans="2:2">
      <c r="B116" s="47"/>
    </row>
    <row r="117" spans="2:2">
      <c r="B117" s="47"/>
    </row>
    <row r="118" spans="2:2">
      <c r="B118" s="47"/>
    </row>
    <row r="119" spans="2:2">
      <c r="B119" s="47"/>
    </row>
    <row r="120" spans="2:2">
      <c r="B120" s="47"/>
    </row>
    <row r="121" spans="2:2">
      <c r="B121" s="47"/>
    </row>
    <row r="122" spans="2:2">
      <c r="B122" s="47"/>
    </row>
    <row r="123" spans="2:2">
      <c r="B123" s="47"/>
    </row>
    <row r="124" spans="2:2">
      <c r="B124" s="47"/>
    </row>
    <row r="125" spans="2:2">
      <c r="B125" s="47"/>
    </row>
    <row r="126" spans="2:2">
      <c r="B126" s="47"/>
    </row>
    <row r="127" spans="2:2">
      <c r="B127" s="47"/>
    </row>
    <row r="128" spans="2:2">
      <c r="B128" s="47"/>
    </row>
    <row r="129" spans="2:2">
      <c r="B129" s="47"/>
    </row>
    <row r="130" spans="2:2">
      <c r="B130" s="47"/>
    </row>
    <row r="131" spans="2:2">
      <c r="B131" s="47"/>
    </row>
    <row r="132" spans="2:2">
      <c r="B132" s="47"/>
    </row>
    <row r="133" spans="2:2">
      <c r="B133" s="47"/>
    </row>
    <row r="134" spans="2:2">
      <c r="B134" s="47"/>
    </row>
    <row r="135" spans="2:2">
      <c r="B135" s="47"/>
    </row>
    <row r="136" spans="2:2">
      <c r="B136" s="47"/>
    </row>
    <row r="137" spans="2:2">
      <c r="B137" s="47"/>
    </row>
    <row r="138" spans="2:2">
      <c r="B138" s="47"/>
    </row>
    <row r="139" spans="2:2">
      <c r="B139" s="47"/>
    </row>
    <row r="140" spans="2:2">
      <c r="B140" s="47"/>
    </row>
    <row r="141" spans="2:2">
      <c r="B141" s="47"/>
    </row>
    <row r="142" spans="2:2">
      <c r="B142" s="47"/>
    </row>
    <row r="143" spans="2:2">
      <c r="B143" s="47"/>
    </row>
    <row r="144" spans="2:2">
      <c r="B144" s="47"/>
    </row>
    <row r="145" spans="2:2">
      <c r="B145" s="47"/>
    </row>
    <row r="146" spans="2:2">
      <c r="B146" s="47"/>
    </row>
    <row r="147" spans="2:2">
      <c r="B147" s="47"/>
    </row>
    <row r="148" spans="2:2">
      <c r="B148" s="47"/>
    </row>
    <row r="149" spans="2:2">
      <c r="B149" s="47"/>
    </row>
    <row r="150" spans="2:2">
      <c r="B150" s="47"/>
    </row>
    <row r="151" spans="2:2">
      <c r="B151" s="47"/>
    </row>
    <row r="152" spans="2:2">
      <c r="B152" s="47"/>
    </row>
    <row r="153" spans="2:2">
      <c r="B153" s="47"/>
    </row>
    <row r="154" spans="2:2">
      <c r="B154" s="47"/>
    </row>
    <row r="155" spans="2:2">
      <c r="B155" s="47"/>
    </row>
    <row r="156" spans="2:2">
      <c r="B156" s="47"/>
    </row>
    <row r="157" spans="2:2">
      <c r="B157" s="47"/>
    </row>
    <row r="158" spans="2:2">
      <c r="B158" s="47"/>
    </row>
    <row r="159" spans="2:2">
      <c r="B159" s="47"/>
    </row>
    <row r="160" spans="2:2">
      <c r="B160" s="47"/>
    </row>
    <row r="161" spans="2:2">
      <c r="B161" s="47"/>
    </row>
    <row r="162" spans="2:2">
      <c r="B162" s="47"/>
    </row>
    <row r="163" spans="2:2">
      <c r="B163" s="47"/>
    </row>
    <row r="164" spans="2:2">
      <c r="B164" s="47"/>
    </row>
    <row r="165" spans="2:2">
      <c r="B165" s="47"/>
    </row>
    <row r="166" spans="2:2">
      <c r="B166" s="47"/>
    </row>
    <row r="167" spans="2:2">
      <c r="B167" s="47"/>
    </row>
    <row r="168" spans="2:2">
      <c r="B168" s="47"/>
    </row>
    <row r="169" spans="2:2">
      <c r="B169" s="47"/>
    </row>
    <row r="170" spans="2:2">
      <c r="B170" s="47"/>
    </row>
    <row r="171" spans="2:2">
      <c r="B171" s="47"/>
    </row>
    <row r="172" spans="2:2">
      <c r="B172" s="47"/>
    </row>
    <row r="173" spans="2:2">
      <c r="B173" s="47"/>
    </row>
    <row r="174" spans="2:2">
      <c r="B174" s="47"/>
    </row>
    <row r="175" spans="2:2">
      <c r="B175" s="47"/>
    </row>
    <row r="176" spans="2:2">
      <c r="B176" s="47"/>
    </row>
    <row r="177" spans="2:2">
      <c r="B177" s="47"/>
    </row>
    <row r="178" spans="2:2">
      <c r="B178" s="47"/>
    </row>
    <row r="179" spans="2:2">
      <c r="B179" s="47"/>
    </row>
    <row r="180" spans="2:2">
      <c r="B180" s="47"/>
    </row>
    <row r="181" spans="2:2">
      <c r="B181" s="47"/>
    </row>
    <row r="182" spans="2:2">
      <c r="B182" s="47"/>
    </row>
    <row r="183" spans="2:2">
      <c r="B183" s="47"/>
    </row>
    <row r="184" spans="2:2">
      <c r="B184" s="47"/>
    </row>
    <row r="185" spans="2:2">
      <c r="B185" s="47"/>
    </row>
    <row r="186" spans="2:2">
      <c r="B186" s="47"/>
    </row>
    <row r="187" spans="2:2">
      <c r="B187" s="47"/>
    </row>
    <row r="188" spans="2:2">
      <c r="B188" s="47"/>
    </row>
    <row r="189" spans="2:2">
      <c r="B189" s="47"/>
    </row>
    <row r="190" spans="2:2">
      <c r="B190" s="47"/>
    </row>
    <row r="191" spans="2:2">
      <c r="B191" s="47"/>
    </row>
    <row r="192" spans="2:2">
      <c r="B192" s="47"/>
    </row>
    <row r="193" spans="2:2">
      <c r="B193" s="47"/>
    </row>
    <row r="194" spans="2:2">
      <c r="B194" s="47"/>
    </row>
    <row r="195" spans="2:2">
      <c r="B195" s="47"/>
    </row>
    <row r="196" spans="2:2">
      <c r="B196" s="47"/>
    </row>
    <row r="197" spans="2:2">
      <c r="B197" s="47"/>
    </row>
    <row r="198" spans="2:2">
      <c r="B198" s="47"/>
    </row>
    <row r="199" spans="2:2">
      <c r="B199" s="47"/>
    </row>
    <row r="200" spans="2:2">
      <c r="B200" s="47"/>
    </row>
    <row r="201" spans="2:2">
      <c r="B201" s="47"/>
    </row>
    <row r="202" spans="2:2">
      <c r="B202" s="47"/>
    </row>
    <row r="203" spans="2:2">
      <c r="B203" s="47"/>
    </row>
    <row r="204" spans="2:2">
      <c r="B204" s="47"/>
    </row>
    <row r="205" spans="2:2">
      <c r="B205" s="47"/>
    </row>
    <row r="206" spans="2:2">
      <c r="B206" s="47"/>
    </row>
    <row r="207" spans="2:2">
      <c r="B207" s="47"/>
    </row>
    <row r="208" spans="2:2">
      <c r="B208" s="47"/>
    </row>
    <row r="209" spans="2:2">
      <c r="B209" s="47"/>
    </row>
    <row r="210" spans="2:2">
      <c r="B210" s="47"/>
    </row>
    <row r="211" spans="2:2">
      <c r="B211" s="47"/>
    </row>
    <row r="212" spans="2:2">
      <c r="B212" s="47"/>
    </row>
    <row r="213" spans="2:2">
      <c r="B213" s="47"/>
    </row>
    <row r="214" spans="2:2">
      <c r="B214" s="47"/>
    </row>
    <row r="215" spans="2:2">
      <c r="B215" s="47"/>
    </row>
    <row r="216" spans="2:2">
      <c r="B216" s="47"/>
    </row>
    <row r="217" spans="2:2">
      <c r="B217" s="47"/>
    </row>
    <row r="218" spans="2:2">
      <c r="B218" s="47"/>
    </row>
    <row r="219" spans="2:2">
      <c r="B219" s="47"/>
    </row>
    <row r="220" spans="2:2">
      <c r="B220" s="47"/>
    </row>
    <row r="221" spans="2:2">
      <c r="B221" s="47"/>
    </row>
    <row r="222" spans="2:2">
      <c r="B222" s="47"/>
    </row>
    <row r="223" spans="2:2">
      <c r="B223" s="47"/>
    </row>
    <row r="224" spans="2:2">
      <c r="B224" s="47"/>
    </row>
    <row r="225" spans="2:2">
      <c r="B225" s="47"/>
    </row>
    <row r="226" spans="2:2">
      <c r="B226" s="47"/>
    </row>
    <row r="227" spans="2:2">
      <c r="B227" s="47"/>
    </row>
    <row r="228" spans="2:2">
      <c r="B228" s="47"/>
    </row>
    <row r="229" spans="2:2">
      <c r="B229" s="47"/>
    </row>
    <row r="230" spans="2:2">
      <c r="B230" s="47"/>
    </row>
    <row r="231" spans="2:2">
      <c r="B231" s="47"/>
    </row>
    <row r="232" spans="2:2">
      <c r="B232" s="47"/>
    </row>
    <row r="233" spans="2:2">
      <c r="B233" s="47"/>
    </row>
    <row r="234" spans="2:2">
      <c r="B234" s="47"/>
    </row>
    <row r="235" spans="2:2">
      <c r="B235" s="47"/>
    </row>
    <row r="236" spans="2:2">
      <c r="B236" s="47"/>
    </row>
    <row r="237" spans="2:2">
      <c r="B237" s="47"/>
    </row>
    <row r="238" spans="2:2">
      <c r="B238" s="47"/>
    </row>
    <row r="239" spans="2:2">
      <c r="B239" s="47"/>
    </row>
    <row r="240" spans="2:2">
      <c r="B240" s="47"/>
    </row>
    <row r="241" spans="2:2">
      <c r="B241" s="47"/>
    </row>
    <row r="242" spans="2:2">
      <c r="B242" s="47"/>
    </row>
    <row r="243" spans="2:2">
      <c r="B243" s="47"/>
    </row>
    <row r="244" spans="2:2">
      <c r="B244" s="47"/>
    </row>
    <row r="245" spans="2:2">
      <c r="B245" s="47"/>
    </row>
    <row r="246" spans="2:2">
      <c r="B246" s="47"/>
    </row>
    <row r="247" spans="2:2">
      <c r="B247" s="47"/>
    </row>
    <row r="248" spans="2:2">
      <c r="B248" s="47"/>
    </row>
    <row r="249" spans="2:2">
      <c r="B249" s="47"/>
    </row>
    <row r="250" spans="2:2">
      <c r="B250" s="47"/>
    </row>
    <row r="251" spans="2:2">
      <c r="B251" s="47"/>
    </row>
    <row r="252" spans="2:2">
      <c r="B252" s="47"/>
    </row>
    <row r="253" spans="2:2">
      <c r="B253" s="47"/>
    </row>
    <row r="254" spans="2:2">
      <c r="B254" s="47"/>
    </row>
    <row r="255" spans="2:2">
      <c r="B255" s="47"/>
    </row>
    <row r="256" spans="2:2">
      <c r="B256" s="47"/>
    </row>
    <row r="257" spans="2:2">
      <c r="B257" s="47"/>
    </row>
    <row r="258" spans="2:2">
      <c r="B258" s="47"/>
    </row>
    <row r="259" spans="2:2">
      <c r="B259" s="47"/>
    </row>
    <row r="260" spans="2:2">
      <c r="B260" s="47"/>
    </row>
    <row r="261" spans="2:2">
      <c r="B261" s="47"/>
    </row>
    <row r="262" spans="2:2">
      <c r="B262" s="47"/>
    </row>
    <row r="263" spans="2:2">
      <c r="B263" s="47"/>
    </row>
    <row r="264" spans="2:2">
      <c r="B264" s="47"/>
    </row>
    <row r="265" spans="2:2">
      <c r="B265" s="47"/>
    </row>
    <row r="266" spans="2:2">
      <c r="B266" s="47"/>
    </row>
    <row r="267" spans="2:2">
      <c r="B267" s="47"/>
    </row>
    <row r="268" spans="2:2">
      <c r="B268" s="47"/>
    </row>
    <row r="269" spans="2:2">
      <c r="B269" s="47"/>
    </row>
    <row r="270" spans="2:2">
      <c r="B270" s="47"/>
    </row>
    <row r="271" spans="2:2">
      <c r="B271" s="47"/>
    </row>
    <row r="272" spans="2:2">
      <c r="B272" s="47"/>
    </row>
    <row r="273" spans="2:2">
      <c r="B273" s="47"/>
    </row>
    <row r="274" spans="2:2">
      <c r="B274" s="47"/>
    </row>
    <row r="275" spans="2:2">
      <c r="B275" s="47"/>
    </row>
    <row r="276" spans="2:2">
      <c r="B276" s="47"/>
    </row>
    <row r="277" spans="2:2">
      <c r="B277" s="47"/>
    </row>
    <row r="278" spans="2:2">
      <c r="B278" s="47"/>
    </row>
    <row r="279" spans="2:2">
      <c r="B279" s="47"/>
    </row>
    <row r="280" spans="2:2">
      <c r="B280" s="47"/>
    </row>
    <row r="281" spans="2:2">
      <c r="B281" s="47"/>
    </row>
    <row r="282" spans="2:2">
      <c r="B282" s="47"/>
    </row>
    <row r="283" spans="2:2">
      <c r="B283" s="47"/>
    </row>
    <row r="284" spans="2:2">
      <c r="B284" s="47"/>
    </row>
    <row r="285" spans="2:2">
      <c r="B285" s="47"/>
    </row>
    <row r="286" spans="2:2">
      <c r="B286" s="47"/>
    </row>
    <row r="287" spans="2:2">
      <c r="B287" s="47"/>
    </row>
    <row r="288" spans="2:2">
      <c r="B288" s="47"/>
    </row>
    <row r="289" spans="2:2">
      <c r="B289" s="47"/>
    </row>
    <row r="290" spans="2:2">
      <c r="B290" s="47"/>
    </row>
    <row r="291" spans="2:2">
      <c r="B291" s="47"/>
    </row>
    <row r="292" spans="2:2">
      <c r="B292" s="47"/>
    </row>
    <row r="293" spans="2:2">
      <c r="B293" s="47"/>
    </row>
    <row r="294" spans="2:2">
      <c r="B294" s="47"/>
    </row>
    <row r="295" spans="2:2">
      <c r="B295" s="47"/>
    </row>
    <row r="296" spans="2:2">
      <c r="B296" s="47"/>
    </row>
    <row r="297" spans="2:2">
      <c r="B297" s="47"/>
    </row>
    <row r="298" spans="2:2">
      <c r="B298" s="47"/>
    </row>
    <row r="299" spans="2:2">
      <c r="B299" s="47"/>
    </row>
    <row r="300" spans="2:2">
      <c r="B300" s="47"/>
    </row>
    <row r="301" spans="2:2">
      <c r="B301" s="47"/>
    </row>
    <row r="302" spans="2:2">
      <c r="B302" s="47"/>
    </row>
    <row r="303" spans="2:2">
      <c r="B303" s="47"/>
    </row>
    <row r="304" spans="2:2">
      <c r="B304" s="47"/>
    </row>
    <row r="305" spans="2:2">
      <c r="B305" s="47"/>
    </row>
    <row r="306" spans="2:2">
      <c r="B306" s="47"/>
    </row>
    <row r="307" spans="2:2">
      <c r="B307" s="47"/>
    </row>
    <row r="308" spans="2:2">
      <c r="B308" s="47"/>
    </row>
    <row r="309" spans="2:2">
      <c r="B309" s="47"/>
    </row>
    <row r="310" spans="2:2">
      <c r="B310" s="47"/>
    </row>
    <row r="311" spans="2:2">
      <c r="B311" s="47"/>
    </row>
    <row r="312" spans="2:2">
      <c r="B312" s="47"/>
    </row>
    <row r="313" spans="2:2">
      <c r="B313" s="47"/>
    </row>
    <row r="314" spans="2:2">
      <c r="B314" s="47"/>
    </row>
    <row r="315" spans="2:2">
      <c r="B315" s="47"/>
    </row>
    <row r="316" spans="2:2">
      <c r="B316" s="47"/>
    </row>
    <row r="317" spans="2:2">
      <c r="B317" s="47"/>
    </row>
    <row r="318" spans="2:2">
      <c r="B318" s="47"/>
    </row>
    <row r="319" spans="2:2">
      <c r="B319" s="47"/>
    </row>
    <row r="320" spans="2:2">
      <c r="B320" s="47"/>
    </row>
    <row r="321" spans="2:2">
      <c r="B321" s="47"/>
    </row>
    <row r="322" spans="2:2">
      <c r="B322" s="47"/>
    </row>
    <row r="323" spans="2:2">
      <c r="B323" s="47"/>
    </row>
    <row r="324" spans="2:2">
      <c r="B324" s="47"/>
    </row>
    <row r="325" spans="2:2">
      <c r="B325" s="47"/>
    </row>
    <row r="326" spans="2:2">
      <c r="B326" s="47"/>
    </row>
    <row r="327" spans="2:2">
      <c r="B327" s="47"/>
    </row>
    <row r="328" spans="2:2">
      <c r="B328" s="47"/>
    </row>
    <row r="329" spans="2:2">
      <c r="B329" s="47"/>
    </row>
    <row r="330" spans="2:2">
      <c r="B330" s="47"/>
    </row>
    <row r="331" spans="2:2">
      <c r="B331" s="47"/>
    </row>
    <row r="332" spans="2:2">
      <c r="B332" s="47"/>
    </row>
    <row r="333" spans="2:2">
      <c r="B333" s="47"/>
    </row>
    <row r="334" spans="2:2">
      <c r="B334" s="47"/>
    </row>
    <row r="335" spans="2:2">
      <c r="B335" s="47"/>
    </row>
    <row r="336" spans="2:2">
      <c r="B336" s="47"/>
    </row>
    <row r="337" spans="2:2">
      <c r="B337" s="47"/>
    </row>
    <row r="338" spans="2:2">
      <c r="B338" s="47"/>
    </row>
    <row r="339" spans="2:2">
      <c r="B339" s="47"/>
    </row>
    <row r="340" spans="2:2">
      <c r="B340" s="47"/>
    </row>
    <row r="341" spans="2:2">
      <c r="B341" s="47"/>
    </row>
    <row r="342" spans="2:2">
      <c r="B342" s="47"/>
    </row>
    <row r="343" spans="2:2">
      <c r="B343" s="47"/>
    </row>
    <row r="344" spans="2:2">
      <c r="B344" s="47"/>
    </row>
    <row r="345" spans="2:2">
      <c r="B345" s="47"/>
    </row>
    <row r="346" spans="2:2">
      <c r="B346" s="47"/>
    </row>
    <row r="347" spans="2:2">
      <c r="B347" s="47"/>
    </row>
    <row r="348" spans="2:2">
      <c r="B348" s="47"/>
    </row>
    <row r="349" spans="2:2">
      <c r="B349" s="47"/>
    </row>
    <row r="350" spans="2:2">
      <c r="B350" s="47"/>
    </row>
    <row r="351" spans="2:2">
      <c r="B351" s="47"/>
    </row>
    <row r="352" spans="2:2">
      <c r="B352" s="47"/>
    </row>
    <row r="353" spans="2:2">
      <c r="B353" s="47"/>
    </row>
    <row r="354" spans="2:2">
      <c r="B354" s="47"/>
    </row>
    <row r="355" spans="2:2">
      <c r="B355" s="47"/>
    </row>
    <row r="356" spans="2:2">
      <c r="B356" s="47"/>
    </row>
    <row r="357" spans="2:2">
      <c r="B357" s="47"/>
    </row>
    <row r="358" spans="2:2">
      <c r="B358" s="47"/>
    </row>
    <row r="359" spans="2:2">
      <c r="B359" s="47"/>
    </row>
    <row r="360" spans="2:2">
      <c r="B360" s="47"/>
    </row>
    <row r="361" spans="2:2">
      <c r="B361" s="47"/>
    </row>
    <row r="362" spans="2:2">
      <c r="B362" s="47"/>
    </row>
    <row r="363" spans="2:2">
      <c r="B363" s="47"/>
    </row>
    <row r="364" spans="2:2">
      <c r="B364" s="47"/>
    </row>
    <row r="365" spans="2:2">
      <c r="B365" s="47"/>
    </row>
    <row r="366" spans="2:2">
      <c r="B366" s="47"/>
    </row>
    <row r="367" spans="2:2">
      <c r="B367" s="47"/>
    </row>
    <row r="368" spans="2:2">
      <c r="B368" s="47"/>
    </row>
    <row r="369" spans="2:2">
      <c r="B369" s="47"/>
    </row>
    <row r="370" spans="2:2">
      <c r="B370" s="47"/>
    </row>
    <row r="371" spans="2:2">
      <c r="B371" s="47"/>
    </row>
    <row r="372" spans="2:2">
      <c r="B372" s="47"/>
    </row>
    <row r="373" spans="2:2">
      <c r="B373" s="47"/>
    </row>
    <row r="374" spans="2:2">
      <c r="B374" s="47"/>
    </row>
    <row r="375" spans="2:2">
      <c r="B375" s="47"/>
    </row>
    <row r="376" spans="2:2">
      <c r="B376" s="47"/>
    </row>
    <row r="377" spans="2:2">
      <c r="B377" s="47"/>
    </row>
    <row r="378" spans="2:2">
      <c r="B378" s="47"/>
    </row>
    <row r="379" spans="2:2">
      <c r="B379" s="47"/>
    </row>
    <row r="380" spans="2:2">
      <c r="B380" s="47"/>
    </row>
    <row r="381" spans="2:2">
      <c r="B381" s="47"/>
    </row>
    <row r="382" spans="2:2">
      <c r="B382" s="47"/>
    </row>
    <row r="383" spans="2:2">
      <c r="B383" s="47"/>
    </row>
    <row r="384" spans="2:2">
      <c r="B384" s="47"/>
    </row>
    <row r="385" spans="2:2">
      <c r="B385" s="47"/>
    </row>
    <row r="386" spans="2:2">
      <c r="B386" s="47"/>
    </row>
    <row r="387" spans="2:2">
      <c r="B387" s="47"/>
    </row>
    <row r="388" spans="2:2">
      <c r="B388" s="47"/>
    </row>
    <row r="389" spans="2:2">
      <c r="B389" s="47"/>
    </row>
    <row r="390" spans="2:2">
      <c r="B390" s="47"/>
    </row>
    <row r="391" spans="2:2">
      <c r="B391" s="47"/>
    </row>
    <row r="392" spans="2:2">
      <c r="B392" s="47"/>
    </row>
    <row r="393" spans="2:2">
      <c r="B393" s="47"/>
    </row>
    <row r="394" spans="2:2">
      <c r="B394" s="47"/>
    </row>
    <row r="395" spans="2:2">
      <c r="B395" s="47"/>
    </row>
    <row r="396" spans="2:2">
      <c r="B396" s="47"/>
    </row>
    <row r="397" spans="2:2">
      <c r="B397" s="47"/>
    </row>
    <row r="398" spans="2:2">
      <c r="B398" s="47"/>
    </row>
    <row r="399" spans="2:2">
      <c r="B399" s="47"/>
    </row>
    <row r="400" spans="2:2">
      <c r="B400" s="47"/>
    </row>
    <row r="401" spans="2:2">
      <c r="B401" s="47"/>
    </row>
    <row r="402" spans="2:2">
      <c r="B402" s="47"/>
    </row>
    <row r="403" spans="2:2">
      <c r="B403" s="47"/>
    </row>
    <row r="404" spans="2:2">
      <c r="B404" s="47"/>
    </row>
    <row r="405" spans="2:2">
      <c r="B405" s="47"/>
    </row>
    <row r="406" spans="2:2">
      <c r="B406" s="47"/>
    </row>
    <row r="407" spans="2:2">
      <c r="B407" s="47"/>
    </row>
    <row r="408" spans="2:2">
      <c r="B408" s="47"/>
    </row>
    <row r="409" spans="2:2">
      <c r="B409" s="47"/>
    </row>
    <row r="410" spans="2:2">
      <c r="B410" s="47"/>
    </row>
    <row r="411" spans="2:2">
      <c r="B411" s="47"/>
    </row>
    <row r="412" spans="2:2">
      <c r="B412" s="47"/>
    </row>
    <row r="413" spans="2:2">
      <c r="B413" s="47"/>
    </row>
    <row r="414" spans="2:2">
      <c r="B414" s="47"/>
    </row>
    <row r="415" spans="2:2">
      <c r="B415" s="47"/>
    </row>
    <row r="416" spans="2:2">
      <c r="B416" s="47"/>
    </row>
    <row r="417" spans="2:2">
      <c r="B417" s="47"/>
    </row>
    <row r="418" spans="2:2">
      <c r="B418" s="47"/>
    </row>
    <row r="419" spans="2:2">
      <c r="B419" s="47"/>
    </row>
    <row r="420" spans="2:2">
      <c r="B420" s="47"/>
    </row>
    <row r="421" spans="2:2">
      <c r="B421" s="47"/>
    </row>
    <row r="422" spans="2:2">
      <c r="B422" s="47"/>
    </row>
    <row r="423" spans="2:2">
      <c r="B423" s="47"/>
    </row>
    <row r="424" spans="2:2">
      <c r="B424" s="47"/>
    </row>
    <row r="425" spans="2:2">
      <c r="B425" s="47"/>
    </row>
    <row r="426" spans="2:2">
      <c r="B426" s="47"/>
    </row>
    <row r="427" spans="2:2">
      <c r="B427" s="47"/>
    </row>
    <row r="428" spans="2:2">
      <c r="B428" s="47"/>
    </row>
    <row r="429" spans="2:2">
      <c r="B429" s="47"/>
    </row>
    <row r="430" spans="2:2">
      <c r="B430" s="47"/>
    </row>
    <row r="431" spans="2:2">
      <c r="B431" s="47"/>
    </row>
    <row r="432" spans="2:2">
      <c r="B432" s="47"/>
    </row>
    <row r="433" spans="2:2">
      <c r="B433" s="47"/>
    </row>
    <row r="434" spans="2:2">
      <c r="B434" s="47"/>
    </row>
    <row r="435" spans="2:2">
      <c r="B435" s="47"/>
    </row>
    <row r="436" spans="2:2">
      <c r="B436" s="47"/>
    </row>
    <row r="437" spans="2:2">
      <c r="B437" s="47"/>
    </row>
    <row r="438" spans="2:2">
      <c r="B438" s="47"/>
    </row>
    <row r="439" spans="2:2">
      <c r="B439" s="47"/>
    </row>
    <row r="440" spans="2:2">
      <c r="B440" s="47"/>
    </row>
    <row r="441" spans="2:2">
      <c r="B441" s="47"/>
    </row>
    <row r="442" spans="2:2">
      <c r="B442" s="47"/>
    </row>
    <row r="443" spans="2:2">
      <c r="B443" s="47"/>
    </row>
    <row r="444" spans="2:2">
      <c r="B444" s="47"/>
    </row>
    <row r="445" spans="2:2">
      <c r="B445" s="47"/>
    </row>
    <row r="446" spans="2:2">
      <c r="B446" s="47"/>
    </row>
    <row r="447" spans="2:2">
      <c r="B447" s="47"/>
    </row>
    <row r="448" spans="2:2">
      <c r="B448" s="47"/>
    </row>
    <row r="449" spans="2:2">
      <c r="B449" s="47"/>
    </row>
    <row r="450" spans="2:2">
      <c r="B450" s="47"/>
    </row>
    <row r="451" spans="2:2">
      <c r="B451" s="47"/>
    </row>
    <row r="452" spans="2:2">
      <c r="B452" s="47"/>
    </row>
    <row r="453" spans="2:2">
      <c r="B453" s="47"/>
    </row>
    <row r="454" spans="2:2">
      <c r="B454" s="47"/>
    </row>
    <row r="455" spans="2:2">
      <c r="B455" s="47"/>
    </row>
    <row r="456" spans="2:2">
      <c r="B456" s="47"/>
    </row>
    <row r="457" spans="2:2">
      <c r="B457" s="47"/>
    </row>
    <row r="458" spans="2:2">
      <c r="B458" s="47"/>
    </row>
    <row r="459" spans="2:2">
      <c r="B459" s="47"/>
    </row>
    <row r="460" spans="2:2">
      <c r="B460" s="47"/>
    </row>
    <row r="461" spans="2:2">
      <c r="B461" s="47"/>
    </row>
    <row r="462" spans="2:2">
      <c r="B462" s="47"/>
    </row>
    <row r="463" spans="2:2">
      <c r="B463" s="47"/>
    </row>
    <row r="464" spans="2:2">
      <c r="B464" s="47"/>
    </row>
    <row r="465" spans="2:2">
      <c r="B465" s="47"/>
    </row>
    <row r="466" spans="2:2">
      <c r="B466" s="47"/>
    </row>
    <row r="467" spans="2:2">
      <c r="B467" s="47"/>
    </row>
    <row r="468" spans="2:2">
      <c r="B468" s="47"/>
    </row>
    <row r="469" spans="2:2">
      <c r="B469" s="47"/>
    </row>
    <row r="470" spans="2:2">
      <c r="B470" s="47"/>
    </row>
    <row r="471" spans="2:2">
      <c r="B471" s="47"/>
    </row>
    <row r="472" spans="2:2">
      <c r="B472" s="47"/>
    </row>
    <row r="473" spans="2:2">
      <c r="B473" s="47"/>
    </row>
    <row r="474" spans="2:2">
      <c r="B474" s="47"/>
    </row>
    <row r="475" spans="2:2">
      <c r="B475" s="47"/>
    </row>
    <row r="476" spans="2:2">
      <c r="B476" s="47"/>
    </row>
    <row r="477" spans="2:2">
      <c r="B477" s="47"/>
    </row>
    <row r="478" spans="2:2">
      <c r="B478" s="47"/>
    </row>
    <row r="479" spans="2:2">
      <c r="B479" s="47"/>
    </row>
    <row r="480" spans="2:2">
      <c r="B480" s="47"/>
    </row>
    <row r="481" spans="2:2">
      <c r="B481" s="47"/>
    </row>
    <row r="482" spans="2:2">
      <c r="B482" s="47"/>
    </row>
    <row r="483" spans="2:2">
      <c r="B483" s="47"/>
    </row>
    <row r="484" spans="2:2">
      <c r="B484" s="47"/>
    </row>
    <row r="485" spans="2:2">
      <c r="B485" s="47"/>
    </row>
    <row r="486" spans="2:2">
      <c r="B486" s="47"/>
    </row>
    <row r="487" spans="2:2">
      <c r="B487" s="47"/>
    </row>
    <row r="488" spans="2:2">
      <c r="B488" s="47"/>
    </row>
    <row r="489" spans="2:2">
      <c r="B489" s="47"/>
    </row>
    <row r="490" spans="2:2">
      <c r="B490" s="47"/>
    </row>
    <row r="491" spans="2:2">
      <c r="B491" s="47"/>
    </row>
    <row r="492" spans="2:2">
      <c r="B492" s="47"/>
    </row>
    <row r="493" spans="2:2">
      <c r="B493" s="47"/>
    </row>
    <row r="494" spans="2:2">
      <c r="B494" s="47"/>
    </row>
    <row r="495" spans="2:2">
      <c r="B495" s="47"/>
    </row>
    <row r="496" spans="2:2">
      <c r="B496" s="47"/>
    </row>
    <row r="497" spans="2:2">
      <c r="B497" s="47"/>
    </row>
    <row r="498" spans="2:2">
      <c r="B498" s="47"/>
    </row>
    <row r="499" spans="2:2">
      <c r="B499" s="47"/>
    </row>
    <row r="500" spans="2:2">
      <c r="B500" s="47"/>
    </row>
    <row r="501" spans="2:2">
      <c r="B501" s="47"/>
    </row>
    <row r="502" spans="2:2">
      <c r="B502" s="47"/>
    </row>
    <row r="503" spans="2:2">
      <c r="B503" s="47"/>
    </row>
    <row r="504" spans="2:2">
      <c r="B504" s="47"/>
    </row>
    <row r="505" spans="2:2">
      <c r="B505" s="47"/>
    </row>
    <row r="506" spans="2:2">
      <c r="B506" s="47"/>
    </row>
    <row r="507" spans="2:2">
      <c r="B507" s="47"/>
    </row>
    <row r="508" spans="2:2">
      <c r="B508" s="47"/>
    </row>
    <row r="509" spans="2:2">
      <c r="B509" s="47"/>
    </row>
    <row r="510" spans="2:2">
      <c r="B510" s="47"/>
    </row>
    <row r="511" spans="2:2">
      <c r="B511" s="47"/>
    </row>
    <row r="512" spans="2:2">
      <c r="B512" s="47"/>
    </row>
    <row r="513" spans="2:2">
      <c r="B513" s="47"/>
    </row>
    <row r="514" spans="2:2">
      <c r="B514" s="47"/>
    </row>
    <row r="515" spans="2:2">
      <c r="B515" s="47"/>
    </row>
    <row r="516" spans="2:2">
      <c r="B516" s="47"/>
    </row>
    <row r="517" spans="2:2">
      <c r="B517" s="47"/>
    </row>
    <row r="518" spans="2:2">
      <c r="B518" s="47"/>
    </row>
    <row r="519" spans="2:2">
      <c r="B519" s="47"/>
    </row>
    <row r="520" spans="2:2">
      <c r="B520" s="47"/>
    </row>
    <row r="521" spans="2:2">
      <c r="B521" s="47"/>
    </row>
    <row r="522" spans="2:2">
      <c r="B522" s="47"/>
    </row>
    <row r="523" spans="2:2">
      <c r="B523" s="47"/>
    </row>
    <row r="524" spans="2:2">
      <c r="B524" s="47"/>
    </row>
    <row r="525" spans="2:2">
      <c r="B525" s="47"/>
    </row>
    <row r="526" spans="2:2">
      <c r="B526" s="47"/>
    </row>
    <row r="527" spans="2:2">
      <c r="B527" s="47"/>
    </row>
    <row r="528" spans="2:2">
      <c r="B528" s="47"/>
    </row>
    <row r="529" spans="2:2">
      <c r="B529" s="47"/>
    </row>
    <row r="530" spans="2:2">
      <c r="B530" s="47"/>
    </row>
    <row r="531" spans="2:2">
      <c r="B531" s="47"/>
    </row>
    <row r="532" spans="2:2">
      <c r="B532" s="47"/>
    </row>
    <row r="533" spans="2:2">
      <c r="B533" s="47"/>
    </row>
    <row r="534" spans="2:2">
      <c r="B534" s="47"/>
    </row>
    <row r="535" spans="2:2">
      <c r="B535" s="47"/>
    </row>
    <row r="536" spans="2:2">
      <c r="B536" s="47"/>
    </row>
    <row r="537" spans="2:2">
      <c r="B537" s="47"/>
    </row>
    <row r="538" spans="2:2">
      <c r="B538" s="47"/>
    </row>
    <row r="539" spans="2:2">
      <c r="B539" s="47"/>
    </row>
    <row r="540" spans="2:2">
      <c r="B540" s="47"/>
    </row>
    <row r="541" spans="2:2">
      <c r="B541" s="47"/>
    </row>
    <row r="542" spans="2:2">
      <c r="B542" s="47"/>
    </row>
    <row r="543" spans="2:2">
      <c r="B543" s="47"/>
    </row>
    <row r="544" spans="2:2">
      <c r="B544" s="47"/>
    </row>
    <row r="545" spans="2:2">
      <c r="B545" s="47"/>
    </row>
    <row r="546" spans="2:2">
      <c r="B546" s="47"/>
    </row>
    <row r="547" spans="2:2">
      <c r="B547" s="47"/>
    </row>
    <row r="548" spans="2:2">
      <c r="B548" s="47"/>
    </row>
    <row r="549" spans="2:2">
      <c r="B549" s="47"/>
    </row>
    <row r="550" spans="2:2">
      <c r="B550" s="47"/>
    </row>
    <row r="551" spans="2:2">
      <c r="B551" s="47"/>
    </row>
    <row r="552" spans="2:2">
      <c r="B552" s="47"/>
    </row>
    <row r="553" spans="2:2">
      <c r="B553" s="47"/>
    </row>
    <row r="554" spans="2:2">
      <c r="B554" s="47"/>
    </row>
    <row r="555" spans="2:2">
      <c r="B555" s="47"/>
    </row>
    <row r="556" spans="2:2">
      <c r="B556" s="47"/>
    </row>
    <row r="557" spans="2:2">
      <c r="B557" s="47"/>
    </row>
    <row r="558" spans="2:2">
      <c r="B558" s="47"/>
    </row>
    <row r="559" spans="2:2">
      <c r="B559" s="47"/>
    </row>
    <row r="560" spans="2:2">
      <c r="B560" s="47"/>
    </row>
    <row r="561" spans="2:2">
      <c r="B561" s="47"/>
    </row>
    <row r="562" spans="2:2">
      <c r="B562" s="47"/>
    </row>
    <row r="563" spans="2:2">
      <c r="B563" s="47"/>
    </row>
    <row r="564" spans="2:2">
      <c r="B564" s="47"/>
    </row>
    <row r="565" spans="2:2">
      <c r="B565" s="47"/>
    </row>
    <row r="566" spans="2:2">
      <c r="B566" s="47"/>
    </row>
    <row r="567" spans="2:2">
      <c r="B567" s="47"/>
    </row>
    <row r="568" spans="2:2">
      <c r="B568" s="47"/>
    </row>
    <row r="569" spans="2:2">
      <c r="B569" s="47"/>
    </row>
    <row r="570" spans="2:2">
      <c r="B570" s="47"/>
    </row>
    <row r="571" spans="2:2">
      <c r="B571" s="47"/>
    </row>
    <row r="572" spans="2:2">
      <c r="B572" s="47"/>
    </row>
    <row r="573" spans="2:2">
      <c r="B573" s="47"/>
    </row>
    <row r="574" spans="2:2">
      <c r="B574" s="47"/>
    </row>
    <row r="575" spans="2:2">
      <c r="B575" s="47"/>
    </row>
    <row r="576" spans="2:2">
      <c r="B576" s="47"/>
    </row>
    <row r="577" spans="2:2">
      <c r="B577" s="47"/>
    </row>
    <row r="578" spans="2:2">
      <c r="B578" s="47"/>
    </row>
    <row r="579" spans="2:2">
      <c r="B579" s="47"/>
    </row>
    <row r="580" spans="2:2">
      <c r="B580" s="47"/>
    </row>
    <row r="581" spans="2:2">
      <c r="B581" s="47"/>
    </row>
    <row r="582" spans="2:2">
      <c r="B582" s="47"/>
    </row>
    <row r="583" spans="2:2">
      <c r="B583" s="47"/>
    </row>
    <row r="584" spans="2:2">
      <c r="B584" s="47"/>
    </row>
    <row r="585" spans="2:2">
      <c r="B585" s="47"/>
    </row>
    <row r="586" spans="2:2">
      <c r="B586" s="47"/>
    </row>
    <row r="587" spans="2:2">
      <c r="B587" s="47"/>
    </row>
    <row r="588" spans="2:2">
      <c r="B588" s="47"/>
    </row>
    <row r="589" spans="2:2">
      <c r="B589" s="47"/>
    </row>
    <row r="590" spans="2:2">
      <c r="B590" s="47"/>
    </row>
    <row r="591" spans="2:2">
      <c r="B591" s="47"/>
    </row>
    <row r="592" spans="2:2">
      <c r="B592" s="47"/>
    </row>
    <row r="593" spans="2:2">
      <c r="B593" s="47"/>
    </row>
    <row r="594" spans="2:2">
      <c r="B594" s="47"/>
    </row>
    <row r="595" spans="2:2">
      <c r="B595" s="47"/>
    </row>
    <row r="596" spans="2:2">
      <c r="B596" s="47"/>
    </row>
    <row r="597" spans="2:2">
      <c r="B597" s="47"/>
    </row>
    <row r="598" spans="2:2">
      <c r="B598" s="47"/>
    </row>
    <row r="599" spans="2:2">
      <c r="B599" s="47"/>
    </row>
    <row r="600" spans="2:2">
      <c r="B600" s="47"/>
    </row>
    <row r="601" spans="2:2">
      <c r="B601" s="47"/>
    </row>
    <row r="602" spans="2:2">
      <c r="B602" s="47"/>
    </row>
    <row r="603" spans="2:2">
      <c r="B603" s="47"/>
    </row>
    <row r="604" spans="2:2">
      <c r="B604" s="47"/>
    </row>
    <row r="605" spans="2:2">
      <c r="B605" s="47"/>
    </row>
    <row r="606" spans="2:2">
      <c r="B606" s="47"/>
    </row>
    <row r="607" spans="2:2">
      <c r="B607" s="47"/>
    </row>
    <row r="608" spans="2:2">
      <c r="B608" s="47"/>
    </row>
    <row r="609" spans="2:2">
      <c r="B609" s="47"/>
    </row>
    <row r="610" spans="2:2">
      <c r="B610" s="47"/>
    </row>
    <row r="611" spans="2:2">
      <c r="B611" s="47"/>
    </row>
    <row r="612" spans="2:2">
      <c r="B612" s="47"/>
    </row>
    <row r="613" spans="2:2">
      <c r="B613" s="47"/>
    </row>
    <row r="614" spans="2:2">
      <c r="B614" s="47"/>
    </row>
    <row r="615" spans="2:2">
      <c r="B615" s="47"/>
    </row>
    <row r="616" spans="2:2">
      <c r="B616" s="47"/>
    </row>
    <row r="617" spans="2:2">
      <c r="B617" s="47"/>
    </row>
    <row r="618" spans="2:2">
      <c r="B618" s="47"/>
    </row>
    <row r="619" spans="2:2">
      <c r="B619" s="47"/>
    </row>
    <row r="620" spans="2:2">
      <c r="B620" s="47"/>
    </row>
    <row r="621" spans="2:2">
      <c r="B621" s="47"/>
    </row>
    <row r="622" spans="2:2">
      <c r="B622" s="47"/>
    </row>
    <row r="623" spans="2:2">
      <c r="B623" s="47"/>
    </row>
    <row r="624" spans="2:2">
      <c r="B624" s="47"/>
    </row>
    <row r="625" spans="2:2">
      <c r="B625" s="47"/>
    </row>
    <row r="626" spans="2:2">
      <c r="B626" s="47"/>
    </row>
    <row r="627" spans="2:2">
      <c r="B627" s="47"/>
    </row>
    <row r="628" spans="2:2">
      <c r="B628" s="47"/>
    </row>
    <row r="629" spans="2:2">
      <c r="B629" s="47"/>
    </row>
    <row r="630" spans="2:2">
      <c r="B630" s="47"/>
    </row>
    <row r="631" spans="2:2">
      <c r="B631" s="47"/>
    </row>
    <row r="632" spans="2:2">
      <c r="B632" s="47"/>
    </row>
    <row r="633" spans="2:2">
      <c r="B633" s="47"/>
    </row>
    <row r="634" spans="2:2">
      <c r="B634" s="47"/>
    </row>
    <row r="635" spans="2:2">
      <c r="B635" s="47"/>
    </row>
    <row r="636" spans="2:2">
      <c r="B636" s="47"/>
    </row>
    <row r="637" spans="2:2">
      <c r="B637" s="47"/>
    </row>
    <row r="638" spans="2:2">
      <c r="B638" s="47"/>
    </row>
    <row r="639" spans="2:2">
      <c r="B639" s="47"/>
    </row>
    <row r="640" spans="2:2">
      <c r="B640" s="47"/>
    </row>
    <row r="641" spans="2:2">
      <c r="B641" s="47"/>
    </row>
    <row r="642" spans="2:2">
      <c r="B642" s="47"/>
    </row>
    <row r="643" spans="2:2">
      <c r="B643" s="47"/>
    </row>
    <row r="644" spans="2:2">
      <c r="B644" s="47"/>
    </row>
    <row r="645" spans="2:2">
      <c r="B645" s="47"/>
    </row>
    <row r="646" spans="2:2">
      <c r="B646" s="47"/>
    </row>
    <row r="647" spans="2:2">
      <c r="B647" s="47"/>
    </row>
    <row r="648" spans="2:2">
      <c r="B648" s="47"/>
    </row>
    <row r="649" spans="2:2">
      <c r="B649" s="47"/>
    </row>
    <row r="650" spans="2:2">
      <c r="B650" s="47"/>
    </row>
    <row r="651" spans="2:2">
      <c r="B651" s="47"/>
    </row>
    <row r="652" spans="2:2">
      <c r="B652" s="47"/>
    </row>
    <row r="653" spans="2:2">
      <c r="B653" s="47"/>
    </row>
    <row r="654" spans="2:2">
      <c r="B654" s="47"/>
    </row>
    <row r="655" spans="2:2">
      <c r="B655" s="47"/>
    </row>
    <row r="656" spans="2:2">
      <c r="B656" s="47"/>
    </row>
    <row r="657" spans="2:2">
      <c r="B657" s="47"/>
    </row>
    <row r="658" spans="2:2">
      <c r="B658" s="47"/>
    </row>
    <row r="659" spans="2:2">
      <c r="B659" s="47"/>
    </row>
    <row r="660" spans="2:2">
      <c r="B660" s="47"/>
    </row>
    <row r="661" spans="2:2">
      <c r="B661" s="47"/>
    </row>
    <row r="662" spans="2:2">
      <c r="B662" s="47"/>
    </row>
    <row r="663" spans="2:2">
      <c r="B663" s="47"/>
    </row>
    <row r="664" spans="2:2">
      <c r="B664" s="47"/>
    </row>
    <row r="665" spans="2:2">
      <c r="B665" s="47"/>
    </row>
    <row r="666" spans="2:2">
      <c r="B666" s="47"/>
    </row>
    <row r="667" spans="2:2">
      <c r="B667" s="47"/>
    </row>
    <row r="668" spans="2:2">
      <c r="B668" s="47"/>
    </row>
    <row r="669" spans="2:2">
      <c r="B669" s="47"/>
    </row>
    <row r="670" spans="2:2">
      <c r="B670" s="47"/>
    </row>
    <row r="671" spans="2:2">
      <c r="B671" s="47"/>
    </row>
    <row r="672" spans="2:2">
      <c r="B672" s="47"/>
    </row>
    <row r="673" spans="2:2">
      <c r="B673" s="47"/>
    </row>
    <row r="674" spans="2:2">
      <c r="B674" s="47"/>
    </row>
    <row r="675" spans="2:2">
      <c r="B675" s="47"/>
    </row>
    <row r="676" spans="2:2">
      <c r="B676" s="47"/>
    </row>
    <row r="677" spans="2:2">
      <c r="B677" s="47"/>
    </row>
    <row r="678" spans="2:2">
      <c r="B678" s="47"/>
    </row>
    <row r="679" spans="2:2">
      <c r="B679" s="47"/>
    </row>
    <row r="680" spans="2:2">
      <c r="B680" s="47"/>
    </row>
    <row r="681" spans="2:2">
      <c r="B681" s="47"/>
    </row>
    <row r="682" spans="2:2">
      <c r="B682" s="47"/>
    </row>
    <row r="683" spans="2:2">
      <c r="B683" s="47"/>
    </row>
    <row r="684" spans="2:2">
      <c r="B684" s="47"/>
    </row>
    <row r="685" spans="2:2">
      <c r="B685" s="47"/>
    </row>
    <row r="686" spans="2:2">
      <c r="B686" s="47"/>
    </row>
    <row r="687" spans="2:2">
      <c r="B687" s="47"/>
    </row>
    <row r="688" spans="2:2">
      <c r="B688" s="47"/>
    </row>
    <row r="689" spans="2:2">
      <c r="B689" s="47"/>
    </row>
    <row r="690" spans="2:2">
      <c r="B690" s="47"/>
    </row>
    <row r="691" spans="2:2">
      <c r="B691" s="47"/>
    </row>
    <row r="692" spans="2:2">
      <c r="B692" s="47"/>
    </row>
    <row r="693" spans="2:2">
      <c r="B693" s="47"/>
    </row>
    <row r="694" spans="2:2">
      <c r="B694" s="47"/>
    </row>
    <row r="695" spans="2:2">
      <c r="B695" s="47"/>
    </row>
    <row r="696" spans="2:2">
      <c r="B696" s="47"/>
    </row>
    <row r="697" spans="2:2">
      <c r="B697" s="47"/>
    </row>
    <row r="698" spans="2:2">
      <c r="B698" s="47"/>
    </row>
    <row r="699" spans="2:2">
      <c r="B699" s="47"/>
    </row>
    <row r="700" spans="2:2">
      <c r="B700" s="47"/>
    </row>
    <row r="701" spans="2:2">
      <c r="B701" s="47"/>
    </row>
    <row r="702" spans="2:2">
      <c r="B702" s="47"/>
    </row>
    <row r="703" spans="2:2">
      <c r="B703" s="47"/>
    </row>
    <row r="704" spans="2:2">
      <c r="B704" s="47"/>
    </row>
    <row r="705" spans="2:2">
      <c r="B705" s="47"/>
    </row>
    <row r="706" spans="2:2">
      <c r="B706" s="47"/>
    </row>
    <row r="707" spans="2:2">
      <c r="B707" s="47"/>
    </row>
    <row r="708" spans="2:2">
      <c r="B708" s="47"/>
    </row>
    <row r="709" spans="2:2">
      <c r="B709" s="47"/>
    </row>
    <row r="710" spans="2:2">
      <c r="B710" s="47"/>
    </row>
    <row r="711" spans="2:2">
      <c r="B711" s="47"/>
    </row>
    <row r="712" spans="2:2">
      <c r="B712" s="47"/>
    </row>
    <row r="713" spans="2:2">
      <c r="B713" s="47"/>
    </row>
    <row r="714" spans="2:2">
      <c r="B714" s="47"/>
    </row>
    <row r="715" spans="2:2">
      <c r="B715" s="47"/>
    </row>
    <row r="716" spans="2:2">
      <c r="B716" s="47"/>
    </row>
    <row r="717" spans="2:2">
      <c r="B717" s="47"/>
    </row>
    <row r="718" spans="2:2">
      <c r="B718" s="47"/>
    </row>
    <row r="719" spans="2:2">
      <c r="B719" s="47"/>
    </row>
    <row r="720" spans="2:2">
      <c r="B720" s="47"/>
    </row>
    <row r="721" spans="2:2">
      <c r="B721" s="47"/>
    </row>
    <row r="722" spans="2:2">
      <c r="B722" s="47"/>
    </row>
    <row r="723" spans="2:2">
      <c r="B723" s="47"/>
    </row>
    <row r="724" spans="2:2">
      <c r="B724" s="47"/>
    </row>
    <row r="725" spans="2:2">
      <c r="B725" s="47"/>
    </row>
    <row r="726" spans="2:2">
      <c r="B726" s="47"/>
    </row>
    <row r="727" spans="2:2">
      <c r="B727" s="47"/>
    </row>
    <row r="728" spans="2:2">
      <c r="B728" s="47"/>
    </row>
    <row r="729" spans="2:2">
      <c r="B729" s="47"/>
    </row>
    <row r="730" spans="2:2">
      <c r="B730" s="47"/>
    </row>
    <row r="731" spans="2:2">
      <c r="B731" s="47"/>
    </row>
    <row r="732" spans="2:2">
      <c r="B732" s="47"/>
    </row>
    <row r="733" spans="2:2">
      <c r="B733" s="47"/>
    </row>
    <row r="734" spans="2:2">
      <c r="B734" s="47"/>
    </row>
    <row r="735" spans="2:2">
      <c r="B735" s="47"/>
    </row>
    <row r="736" spans="2:2">
      <c r="B736" s="47"/>
    </row>
    <row r="737" spans="2:2">
      <c r="B737" s="47"/>
    </row>
    <row r="738" spans="2:2">
      <c r="B738" s="47"/>
    </row>
    <row r="739" spans="2:2">
      <c r="B739" s="47"/>
    </row>
    <row r="740" spans="2:2">
      <c r="B740" s="47"/>
    </row>
    <row r="741" spans="2:2">
      <c r="B741" s="47"/>
    </row>
    <row r="742" spans="2:2">
      <c r="B742" s="47"/>
    </row>
    <row r="743" spans="2:2">
      <c r="B743" s="47"/>
    </row>
    <row r="744" spans="2:2">
      <c r="B744" s="47"/>
    </row>
    <row r="745" spans="2:2">
      <c r="B745" s="47"/>
    </row>
    <row r="746" spans="2:2">
      <c r="B746" s="47"/>
    </row>
    <row r="747" spans="2:2">
      <c r="B747" s="47"/>
    </row>
    <row r="748" spans="2:2">
      <c r="B748" s="47"/>
    </row>
    <row r="749" spans="2:2">
      <c r="B749" s="47"/>
    </row>
    <row r="750" spans="2:2">
      <c r="B750" s="47"/>
    </row>
    <row r="751" spans="2:2">
      <c r="B751" s="47"/>
    </row>
    <row r="752" spans="2:2">
      <c r="B752" s="47"/>
    </row>
    <row r="753" spans="2:2">
      <c r="B753" s="47"/>
    </row>
    <row r="754" spans="2:2">
      <c r="B754" s="47"/>
    </row>
    <row r="755" spans="2:2">
      <c r="B755" s="47"/>
    </row>
    <row r="756" spans="2:2">
      <c r="B756" s="47"/>
    </row>
    <row r="757" spans="2:2">
      <c r="B757" s="47"/>
    </row>
    <row r="758" spans="2:2">
      <c r="B758" s="47"/>
    </row>
    <row r="759" spans="2:2">
      <c r="B759" s="47"/>
    </row>
    <row r="760" spans="2:2">
      <c r="B760" s="47"/>
    </row>
    <row r="761" spans="2:2">
      <c r="B761" s="47"/>
    </row>
    <row r="762" spans="2:2">
      <c r="B762" s="47"/>
    </row>
    <row r="763" spans="2:2">
      <c r="B763" s="47"/>
    </row>
    <row r="764" spans="2:2">
      <c r="B764" s="47"/>
    </row>
    <row r="765" spans="2:2">
      <c r="B765" s="47"/>
    </row>
    <row r="766" spans="2:2">
      <c r="B766" s="47"/>
    </row>
    <row r="767" spans="2:2">
      <c r="B767" s="47"/>
    </row>
    <row r="768" spans="2:2">
      <c r="B768" s="47"/>
    </row>
    <row r="769" spans="2:2">
      <c r="B769" s="47"/>
    </row>
    <row r="770" spans="2:2">
      <c r="B770" s="47"/>
    </row>
    <row r="771" spans="2:2">
      <c r="B771" s="47"/>
    </row>
    <row r="772" spans="2:2">
      <c r="B772" s="47"/>
    </row>
    <row r="773" spans="2:2">
      <c r="B773" s="47"/>
    </row>
    <row r="774" spans="2:2">
      <c r="B774" s="47"/>
    </row>
    <row r="775" spans="2:2">
      <c r="B775" s="47"/>
    </row>
    <row r="776" spans="2:2">
      <c r="B776" s="47"/>
    </row>
    <row r="777" spans="2:2">
      <c r="B777" s="47"/>
    </row>
    <row r="778" spans="2:2">
      <c r="B778" s="47"/>
    </row>
    <row r="779" spans="2:2">
      <c r="B779" s="47"/>
    </row>
    <row r="780" spans="2:2">
      <c r="B780" s="47"/>
    </row>
    <row r="781" spans="2:2">
      <c r="B781" s="47"/>
    </row>
    <row r="782" spans="2:2">
      <c r="B782" s="47"/>
    </row>
    <row r="783" spans="2:2">
      <c r="B783" s="47"/>
    </row>
    <row r="784" spans="2:2">
      <c r="B784" s="47"/>
    </row>
    <row r="785" spans="2:2">
      <c r="B785" s="47"/>
    </row>
    <row r="786" spans="2:2">
      <c r="B786" s="47"/>
    </row>
    <row r="787" spans="2:2">
      <c r="B787" s="47"/>
    </row>
    <row r="788" spans="2:2">
      <c r="B788" s="47"/>
    </row>
    <row r="789" spans="2:2">
      <c r="B789" s="47"/>
    </row>
    <row r="790" spans="2:2">
      <c r="B790" s="47"/>
    </row>
    <row r="791" spans="2:2">
      <c r="B791" s="47"/>
    </row>
    <row r="792" spans="2:2">
      <c r="B792" s="47"/>
    </row>
    <row r="793" spans="2:2">
      <c r="B793" s="47"/>
    </row>
    <row r="794" spans="2:2">
      <c r="B794" s="47"/>
    </row>
    <row r="795" spans="2:2">
      <c r="B795" s="47"/>
    </row>
    <row r="796" spans="2:2">
      <c r="B796" s="47"/>
    </row>
    <row r="797" spans="2:2">
      <c r="B797" s="47"/>
    </row>
    <row r="798" spans="2:2">
      <c r="B798" s="47"/>
    </row>
    <row r="799" spans="2:2">
      <c r="B799" s="47"/>
    </row>
    <row r="800" spans="2:2">
      <c r="B800" s="47"/>
    </row>
    <row r="801" spans="2:2">
      <c r="B801" s="47"/>
    </row>
    <row r="802" spans="2:2">
      <c r="B802" s="47"/>
    </row>
    <row r="803" spans="2:2">
      <c r="B803" s="47"/>
    </row>
    <row r="804" spans="2:2">
      <c r="B804" s="47"/>
    </row>
    <row r="805" spans="2:2">
      <c r="B805" s="47"/>
    </row>
    <row r="806" spans="2:2">
      <c r="B806" s="47"/>
    </row>
    <row r="807" spans="2:2">
      <c r="B807" s="47"/>
    </row>
    <row r="808" spans="2:2">
      <c r="B808" s="47"/>
    </row>
    <row r="809" spans="2:2">
      <c r="B809" s="47"/>
    </row>
    <row r="810" spans="2:2">
      <c r="B810" s="47"/>
    </row>
    <row r="811" spans="2:2">
      <c r="B811" s="47"/>
    </row>
    <row r="812" spans="2:2">
      <c r="B812" s="47"/>
    </row>
    <row r="813" spans="2:2">
      <c r="B813" s="47"/>
    </row>
    <row r="814" spans="2:2">
      <c r="B814" s="47"/>
    </row>
    <row r="815" spans="2:2">
      <c r="B815" s="47"/>
    </row>
    <row r="816" spans="2:2">
      <c r="B816" s="47"/>
    </row>
    <row r="817" spans="2:2">
      <c r="B817" s="47"/>
    </row>
    <row r="818" spans="2:2">
      <c r="B818" s="47"/>
    </row>
    <row r="819" spans="2:2">
      <c r="B819" s="47"/>
    </row>
    <row r="820" spans="2:2">
      <c r="B820" s="47"/>
    </row>
    <row r="821" spans="2:2">
      <c r="B821" s="47"/>
    </row>
    <row r="822" spans="2:2">
      <c r="B822" s="47"/>
    </row>
    <row r="823" spans="2:2">
      <c r="B823" s="47"/>
    </row>
    <row r="824" spans="2:2">
      <c r="B824" s="47"/>
    </row>
    <row r="825" spans="2:2">
      <c r="B825" s="47"/>
    </row>
    <row r="826" spans="2:2">
      <c r="B826" s="47"/>
    </row>
    <row r="827" spans="2:2">
      <c r="B827" s="47"/>
    </row>
    <row r="828" spans="2:2">
      <c r="B828" s="47"/>
    </row>
    <row r="829" spans="2:2">
      <c r="B829" s="47"/>
    </row>
    <row r="830" spans="2:2">
      <c r="B830" s="47"/>
    </row>
    <row r="831" spans="2:2">
      <c r="B831" s="47"/>
    </row>
    <row r="832" spans="2:2">
      <c r="B832" s="47"/>
    </row>
    <row r="833" spans="2:2">
      <c r="B833" s="47"/>
    </row>
    <row r="834" spans="2:2">
      <c r="B834" s="47"/>
    </row>
    <row r="835" spans="2:2">
      <c r="B835" s="47"/>
    </row>
    <row r="836" spans="2:2">
      <c r="B836" s="47"/>
    </row>
    <row r="837" spans="2:2">
      <c r="B837" s="47"/>
    </row>
    <row r="838" spans="2:2">
      <c r="B838" s="47"/>
    </row>
    <row r="839" spans="2:2">
      <c r="B839" s="47"/>
    </row>
    <row r="840" spans="2:2">
      <c r="B840" s="47"/>
    </row>
    <row r="841" spans="2:2">
      <c r="B841" s="47"/>
    </row>
    <row r="842" spans="2:2">
      <c r="B842" s="47"/>
    </row>
    <row r="843" spans="2:2">
      <c r="B843" s="47"/>
    </row>
    <row r="844" spans="2:2">
      <c r="B844" s="47"/>
    </row>
    <row r="845" spans="2:2">
      <c r="B845" s="47"/>
    </row>
    <row r="846" spans="2:2">
      <c r="B846" s="47"/>
    </row>
    <row r="847" spans="2:2">
      <c r="B847" s="47"/>
    </row>
    <row r="848" spans="2:2">
      <c r="B848" s="47"/>
    </row>
    <row r="849" spans="2:2">
      <c r="B849" s="47"/>
    </row>
    <row r="850" spans="2:2">
      <c r="B850" s="47"/>
    </row>
    <row r="851" spans="2:2">
      <c r="B851" s="47"/>
    </row>
    <row r="852" spans="2:2">
      <c r="B852" s="47"/>
    </row>
    <row r="853" spans="2:2">
      <c r="B853" s="47"/>
    </row>
    <row r="854" spans="2:2">
      <c r="B854" s="47"/>
    </row>
    <row r="855" spans="2:2">
      <c r="B855" s="47"/>
    </row>
    <row r="856" spans="2:2">
      <c r="B856" s="47"/>
    </row>
    <row r="857" spans="2:2">
      <c r="B857" s="47"/>
    </row>
    <row r="858" spans="2:2">
      <c r="B858" s="47"/>
    </row>
    <row r="859" spans="2:2">
      <c r="B859" s="47"/>
    </row>
    <row r="860" spans="2:2">
      <c r="B860" s="47"/>
    </row>
    <row r="861" spans="2:2">
      <c r="B861" s="47"/>
    </row>
    <row r="862" spans="2:2">
      <c r="B862" s="47"/>
    </row>
    <row r="863" spans="2:2">
      <c r="B863" s="47"/>
    </row>
    <row r="864" spans="2:2">
      <c r="B864" s="47"/>
    </row>
    <row r="865" spans="2:2">
      <c r="B865" s="47"/>
    </row>
    <row r="866" spans="2:2">
      <c r="B866" s="47"/>
    </row>
    <row r="867" spans="2:2">
      <c r="B867" s="47"/>
    </row>
    <row r="868" spans="2:2">
      <c r="B868" s="47"/>
    </row>
    <row r="869" spans="2:2">
      <c r="B869" s="47"/>
    </row>
    <row r="870" spans="2:2">
      <c r="B870" s="47"/>
    </row>
    <row r="871" spans="2:2">
      <c r="B871" s="47"/>
    </row>
    <row r="872" spans="2:2">
      <c r="B872" s="47"/>
    </row>
    <row r="873" spans="2:2">
      <c r="B873" s="47"/>
    </row>
    <row r="874" spans="2:2">
      <c r="B874" s="47"/>
    </row>
    <row r="875" spans="2:2">
      <c r="B875" s="47"/>
    </row>
    <row r="876" spans="2:2">
      <c r="B876" s="47"/>
    </row>
    <row r="877" spans="2:2">
      <c r="B877" s="47"/>
    </row>
    <row r="878" spans="2:2">
      <c r="B878" s="47"/>
    </row>
    <row r="879" spans="2:2">
      <c r="B879" s="47"/>
    </row>
    <row r="880" spans="2:2">
      <c r="B880" s="47"/>
    </row>
    <row r="881" spans="2:2">
      <c r="B881" s="47"/>
    </row>
    <row r="882" spans="2:2">
      <c r="B882" s="47"/>
    </row>
    <row r="883" spans="2:2">
      <c r="B883" s="47"/>
    </row>
    <row r="884" spans="2:2">
      <c r="B884" s="47"/>
    </row>
    <row r="885" spans="2:2">
      <c r="B885" s="47"/>
    </row>
    <row r="886" spans="2:2">
      <c r="B886" s="47"/>
    </row>
    <row r="887" spans="2:2">
      <c r="B887" s="47"/>
    </row>
    <row r="888" spans="2:2">
      <c r="B888" s="47"/>
    </row>
    <row r="889" spans="2:2">
      <c r="B889" s="47"/>
    </row>
    <row r="890" spans="2:2">
      <c r="B890" s="47"/>
    </row>
    <row r="891" spans="2:2">
      <c r="B891" s="47"/>
    </row>
    <row r="892" spans="2:2">
      <c r="B892" s="47"/>
    </row>
    <row r="893" spans="2:2">
      <c r="B893" s="47"/>
    </row>
    <row r="894" spans="2:2">
      <c r="B894" s="47"/>
    </row>
    <row r="895" spans="2:2">
      <c r="B895" s="47"/>
    </row>
    <row r="896" spans="2:2">
      <c r="B896" s="47"/>
    </row>
    <row r="897" spans="2:2">
      <c r="B897" s="47"/>
    </row>
    <row r="898" spans="2:2">
      <c r="B898" s="47"/>
    </row>
    <row r="899" spans="2:2">
      <c r="B899" s="47"/>
    </row>
    <row r="900" spans="2:2">
      <c r="B900" s="47"/>
    </row>
    <row r="901" spans="2:2">
      <c r="B901" s="47"/>
    </row>
    <row r="902" spans="2:2">
      <c r="B902" s="47"/>
    </row>
    <row r="903" spans="2:2">
      <c r="B903" s="47"/>
    </row>
    <row r="904" spans="2:2">
      <c r="B904" s="47"/>
    </row>
    <row r="905" spans="2:2">
      <c r="B905" s="47"/>
    </row>
    <row r="906" spans="2:2">
      <c r="B906" s="47"/>
    </row>
    <row r="907" spans="2:2">
      <c r="B907" s="47"/>
    </row>
    <row r="908" spans="2:2">
      <c r="B908" s="47"/>
    </row>
    <row r="909" spans="2:2">
      <c r="B909" s="47"/>
    </row>
    <row r="910" spans="2:2">
      <c r="B910" s="47"/>
    </row>
    <row r="911" spans="2:2">
      <c r="B911" s="47"/>
    </row>
    <row r="912" spans="2:2">
      <c r="B912" s="47"/>
    </row>
    <row r="913" spans="2:2">
      <c r="B913" s="47"/>
    </row>
    <row r="914" spans="2:2">
      <c r="B914" s="47"/>
    </row>
    <row r="915" spans="2:2">
      <c r="B915" s="47"/>
    </row>
    <row r="916" spans="2:2">
      <c r="B916" s="47"/>
    </row>
    <row r="917" spans="2:2">
      <c r="B917" s="47"/>
    </row>
    <row r="918" spans="2:2">
      <c r="B918" s="47"/>
    </row>
    <row r="919" spans="2:2">
      <c r="B919" s="47"/>
    </row>
    <row r="920" spans="2:2">
      <c r="B920" s="47"/>
    </row>
    <row r="921" spans="2:2">
      <c r="B921" s="47"/>
    </row>
    <row r="922" spans="2:2">
      <c r="B922" s="47"/>
    </row>
    <row r="923" spans="2:2">
      <c r="B923" s="47"/>
    </row>
    <row r="924" spans="2:2">
      <c r="B924" s="47"/>
    </row>
    <row r="925" spans="2:2">
      <c r="B925" s="47"/>
    </row>
    <row r="926" spans="2:2">
      <c r="B926" s="47"/>
    </row>
    <row r="927" spans="2:2">
      <c r="B927" s="47"/>
    </row>
    <row r="928" spans="2:2">
      <c r="B928" s="47"/>
    </row>
    <row r="929" spans="2:2">
      <c r="B929" s="47"/>
    </row>
    <row r="930" spans="2:2">
      <c r="B930" s="47"/>
    </row>
    <row r="931" spans="2:2">
      <c r="B931" s="47"/>
    </row>
    <row r="932" spans="2:2">
      <c r="B932" s="47"/>
    </row>
    <row r="933" spans="2:2">
      <c r="B933" s="47"/>
    </row>
    <row r="934" spans="2:2">
      <c r="B934" s="47"/>
    </row>
    <row r="935" spans="2:2">
      <c r="B935" s="47"/>
    </row>
    <row r="936" spans="2:2">
      <c r="B936" s="47"/>
    </row>
    <row r="937" spans="2:2">
      <c r="B937" s="47"/>
    </row>
    <row r="938" spans="2:2">
      <c r="B938" s="47"/>
    </row>
    <row r="939" spans="2:2">
      <c r="B939" s="47"/>
    </row>
    <row r="940" spans="2:2">
      <c r="B940" s="47"/>
    </row>
    <row r="941" spans="2:2">
      <c r="B941" s="47"/>
    </row>
    <row r="942" spans="2:2">
      <c r="B942" s="47"/>
    </row>
    <row r="943" spans="2:2">
      <c r="B943" s="47"/>
    </row>
    <row r="944" spans="2:2">
      <c r="B944" s="47"/>
    </row>
    <row r="945" spans="2:2">
      <c r="B945" s="47"/>
    </row>
    <row r="946" spans="2:2">
      <c r="B946" s="47"/>
    </row>
    <row r="947" spans="2:2">
      <c r="B947" s="47"/>
    </row>
    <row r="948" spans="2:2">
      <c r="B948" s="47"/>
    </row>
    <row r="949" spans="2:2">
      <c r="B949" s="47"/>
    </row>
    <row r="950" spans="2:2">
      <c r="B950" s="47"/>
    </row>
    <row r="951" spans="2:2">
      <c r="B951" s="47"/>
    </row>
    <row r="952" spans="2:2">
      <c r="B952" s="47"/>
    </row>
    <row r="953" spans="2:2">
      <c r="B953" s="47"/>
    </row>
    <row r="954" spans="2:2">
      <c r="B954" s="47"/>
    </row>
    <row r="955" spans="2:2">
      <c r="B955" s="47"/>
    </row>
    <row r="956" spans="2:2">
      <c r="B956" s="47"/>
    </row>
    <row r="957" spans="2:2">
      <c r="B957" s="47"/>
    </row>
    <row r="958" spans="2:2">
      <c r="B958" s="47"/>
    </row>
    <row r="959" spans="2:2">
      <c r="B959" s="47"/>
    </row>
    <row r="960" spans="2:2">
      <c r="B960" s="47"/>
    </row>
    <row r="961" spans="2:2">
      <c r="B961" s="47"/>
    </row>
    <row r="962" spans="2:2">
      <c r="B962" s="47"/>
    </row>
    <row r="963" spans="2:2">
      <c r="B963" s="47"/>
    </row>
    <row r="964" spans="2:2">
      <c r="B964" s="47"/>
    </row>
    <row r="965" spans="2:2">
      <c r="B965" s="47"/>
    </row>
    <row r="966" spans="2:2">
      <c r="B966" s="47"/>
    </row>
    <row r="967" spans="2:2">
      <c r="B967" s="47"/>
    </row>
    <row r="968" spans="2:2">
      <c r="B968" s="47"/>
    </row>
    <row r="969" spans="2:2">
      <c r="B969" s="47"/>
    </row>
    <row r="970" spans="2:2">
      <c r="B970" s="47"/>
    </row>
    <row r="971" spans="2:2">
      <c r="B971" s="47"/>
    </row>
    <row r="972" spans="2:2">
      <c r="B972" s="47"/>
    </row>
    <row r="973" spans="2:2">
      <c r="B973" s="47"/>
    </row>
    <row r="974" spans="2:2">
      <c r="B974" s="47"/>
    </row>
    <row r="975" spans="2:2">
      <c r="B975" s="47"/>
    </row>
    <row r="976" spans="2:2">
      <c r="B976" s="47"/>
    </row>
    <row r="977" spans="2:2">
      <c r="B977" s="47"/>
    </row>
    <row r="978" spans="2:2">
      <c r="B978" s="47"/>
    </row>
    <row r="979" spans="2:2">
      <c r="B979" s="47"/>
    </row>
    <row r="980" spans="2:2">
      <c r="B980" s="47"/>
    </row>
    <row r="981" spans="2:2">
      <c r="B981" s="47"/>
    </row>
    <row r="982" spans="2:2">
      <c r="B982" s="47"/>
    </row>
    <row r="983" spans="2:2">
      <c r="B983" s="47"/>
    </row>
    <row r="984" spans="2:2">
      <c r="B984" s="47"/>
    </row>
    <row r="985" spans="2:2">
      <c r="B985" s="47"/>
    </row>
    <row r="986" spans="2:2">
      <c r="B986" s="47"/>
    </row>
    <row r="987" spans="2:2">
      <c r="B987" s="47"/>
    </row>
    <row r="988" spans="2:2">
      <c r="B988" s="47"/>
    </row>
    <row r="989" spans="2:2">
      <c r="B989" s="47"/>
    </row>
    <row r="990" spans="2:2">
      <c r="B990" s="47"/>
    </row>
    <row r="991" spans="2:2">
      <c r="B991" s="47"/>
    </row>
    <row r="992" spans="2:2">
      <c r="B992" s="47"/>
    </row>
    <row r="993" spans="2:2">
      <c r="B993" s="47"/>
    </row>
    <row r="994" spans="2:2">
      <c r="B994" s="47"/>
    </row>
    <row r="995" spans="2:2">
      <c r="B995" s="47"/>
    </row>
    <row r="996" spans="2:2">
      <c r="B996" s="47"/>
    </row>
    <row r="997" spans="2:2">
      <c r="B997" s="47"/>
    </row>
    <row r="998" spans="2:2">
      <c r="B998" s="47"/>
    </row>
    <row r="999" spans="2:2">
      <c r="B999" s="47"/>
    </row>
    <row r="1000" spans="2:2">
      <c r="B1000" s="47"/>
    </row>
    <row r="1001" spans="2:2">
      <c r="B1001" s="47"/>
    </row>
    <row r="1002" spans="2:2">
      <c r="B1002" s="47"/>
    </row>
    <row r="1003" spans="2:2">
      <c r="B1003" s="47"/>
    </row>
    <row r="1004" spans="2:2">
      <c r="B1004" s="47"/>
    </row>
    <row r="1005" spans="2:2">
      <c r="B1005" s="47"/>
    </row>
    <row r="1006" spans="2:2">
      <c r="B1006" s="47"/>
    </row>
    <row r="1007" spans="2:2">
      <c r="B1007" s="47"/>
    </row>
    <row r="1008" spans="2:2">
      <c r="B1008" s="47"/>
    </row>
    <row r="1009" spans="2:2">
      <c r="B1009" s="47"/>
    </row>
    <row r="1010" spans="2:2">
      <c r="B1010" s="47"/>
    </row>
    <row r="1011" spans="2:2">
      <c r="B1011" s="47"/>
    </row>
    <row r="1012" spans="2:2">
      <c r="B1012" s="47"/>
    </row>
    <row r="1013" spans="2:2">
      <c r="B1013" s="47"/>
    </row>
    <row r="1014" spans="2:2">
      <c r="B1014" s="47"/>
    </row>
    <row r="1015" spans="2:2">
      <c r="B1015" s="47"/>
    </row>
    <row r="1016" spans="2:2">
      <c r="B1016" s="47"/>
    </row>
    <row r="1017" spans="2:2">
      <c r="B1017" s="47"/>
    </row>
    <row r="1018" spans="2:2">
      <c r="B1018" s="47"/>
    </row>
    <row r="1019" spans="2:2">
      <c r="B1019" s="47"/>
    </row>
    <row r="1020" spans="2:2">
      <c r="B1020" s="47"/>
    </row>
    <row r="1021" spans="2:2">
      <c r="B1021" s="47"/>
    </row>
    <row r="1022" spans="2:2">
      <c r="B1022" s="47"/>
    </row>
    <row r="1023" spans="2:2">
      <c r="B1023" s="47"/>
    </row>
    <row r="1024" spans="2:2">
      <c r="B1024" s="47"/>
    </row>
    <row r="1025" spans="2:2">
      <c r="B1025" s="47"/>
    </row>
    <row r="1026" spans="2:2">
      <c r="B1026" s="47"/>
    </row>
    <row r="1027" spans="2:2">
      <c r="B1027" s="47"/>
    </row>
    <row r="1028" spans="2:2">
      <c r="B1028" s="47"/>
    </row>
    <row r="1029" spans="2:2">
      <c r="B1029" s="47"/>
    </row>
    <row r="1030" spans="2:2">
      <c r="B1030" s="47"/>
    </row>
    <row r="1031" spans="2:2">
      <c r="B1031" s="47"/>
    </row>
    <row r="1032" spans="2:2">
      <c r="B1032" s="47"/>
    </row>
    <row r="1033" spans="2:2">
      <c r="B1033" s="47"/>
    </row>
    <row r="1034" spans="2:2">
      <c r="B1034" s="47"/>
    </row>
    <row r="1035" spans="2:2">
      <c r="B1035" s="47"/>
    </row>
    <row r="1036" spans="2:2">
      <c r="B1036" s="47"/>
    </row>
    <row r="1037" spans="2:2">
      <c r="B1037" s="47"/>
    </row>
    <row r="1038" spans="2:2">
      <c r="B1038" s="47"/>
    </row>
    <row r="1039" spans="2:2">
      <c r="B1039" s="47"/>
    </row>
    <row r="1040" spans="2:2">
      <c r="B1040" s="47"/>
    </row>
    <row r="1041" spans="2:2">
      <c r="B1041" s="47"/>
    </row>
    <row r="1042" spans="2:2">
      <c r="B1042" s="47"/>
    </row>
    <row r="1043" spans="2:2">
      <c r="B1043" s="47"/>
    </row>
    <row r="1044" spans="2:2">
      <c r="B1044" s="47"/>
    </row>
    <row r="1045" spans="2:2">
      <c r="B1045" s="47"/>
    </row>
    <row r="1046" spans="2:2">
      <c r="B1046" s="47"/>
    </row>
    <row r="1047" spans="2:2">
      <c r="B1047" s="47"/>
    </row>
    <row r="1048" spans="2:2">
      <c r="B1048" s="47"/>
    </row>
    <row r="1049" spans="2:2">
      <c r="B1049" s="47"/>
    </row>
    <row r="1050" spans="2:2">
      <c r="B1050" s="47"/>
    </row>
    <row r="1051" spans="2:2">
      <c r="B1051" s="47"/>
    </row>
    <row r="1052" spans="2:2">
      <c r="B1052" s="47"/>
    </row>
    <row r="1053" spans="2:2">
      <c r="B1053" s="47"/>
    </row>
    <row r="1054" spans="2:2">
      <c r="B1054" s="47"/>
    </row>
    <row r="1055" spans="2:2">
      <c r="B1055" s="47"/>
    </row>
    <row r="1056" spans="2:2">
      <c r="B1056" s="47"/>
    </row>
    <row r="1057" spans="2:2">
      <c r="B1057" s="47"/>
    </row>
    <row r="1058" spans="2:2">
      <c r="B1058" s="47"/>
    </row>
    <row r="1059" spans="2:2">
      <c r="B1059" s="47"/>
    </row>
    <row r="1060" spans="2:2">
      <c r="B1060" s="47"/>
    </row>
    <row r="1061" spans="2:2">
      <c r="B1061" s="47"/>
    </row>
    <row r="1062" spans="2:2">
      <c r="B1062" s="47"/>
    </row>
    <row r="1063" spans="2:2">
      <c r="B1063" s="47"/>
    </row>
    <row r="1064" spans="2:2">
      <c r="B1064" s="47"/>
    </row>
    <row r="1065" spans="2:2">
      <c r="B1065" s="47"/>
    </row>
    <row r="1066" spans="2:2">
      <c r="B1066" s="47"/>
    </row>
    <row r="1067" spans="2:2">
      <c r="B1067" s="47"/>
    </row>
    <row r="1068" spans="2:2">
      <c r="B1068" s="47"/>
    </row>
    <row r="1069" spans="2:2">
      <c r="B1069" s="47"/>
    </row>
    <row r="1070" spans="2:2">
      <c r="B1070" s="47"/>
    </row>
    <row r="1071" spans="2:2">
      <c r="B1071" s="47"/>
    </row>
    <row r="1072" spans="2:2">
      <c r="B1072" s="47"/>
    </row>
    <row r="1073" spans="2:2">
      <c r="B1073" s="47"/>
    </row>
    <row r="1074" spans="2:2">
      <c r="B1074" s="47"/>
    </row>
    <row r="1075" spans="2:2">
      <c r="B1075" s="47"/>
    </row>
    <row r="1076" spans="2:2">
      <c r="B1076" s="47"/>
    </row>
    <row r="1077" spans="2:2">
      <c r="B1077" s="47"/>
    </row>
    <row r="1078" spans="2:2">
      <c r="B1078" s="47"/>
    </row>
    <row r="1079" spans="2:2">
      <c r="B1079" s="47"/>
    </row>
    <row r="1080" spans="2:2">
      <c r="B1080" s="47"/>
    </row>
    <row r="1081" spans="2:2">
      <c r="B1081" s="47"/>
    </row>
    <row r="1082" spans="2:2">
      <c r="B1082" s="47"/>
    </row>
    <row r="1083" spans="2:2">
      <c r="B1083" s="47"/>
    </row>
    <row r="1084" spans="2:2">
      <c r="B1084" s="47"/>
    </row>
    <row r="1085" spans="2:2">
      <c r="B1085" s="47"/>
    </row>
    <row r="1086" spans="2:2">
      <c r="B1086" s="47"/>
    </row>
    <row r="1087" spans="2:2">
      <c r="B1087" s="47"/>
    </row>
    <row r="1088" spans="2:2">
      <c r="B1088" s="47"/>
    </row>
    <row r="1089" spans="2:2">
      <c r="B1089" s="47"/>
    </row>
    <row r="1090" spans="2:2">
      <c r="B1090" s="47"/>
    </row>
    <row r="1091" spans="2:2">
      <c r="B1091" s="47"/>
    </row>
    <row r="1092" spans="2:2">
      <c r="B1092" s="47"/>
    </row>
    <row r="1093" spans="2:2">
      <c r="B1093" s="47"/>
    </row>
    <row r="1094" spans="2:2">
      <c r="B1094" s="47"/>
    </row>
    <row r="1095" spans="2:2">
      <c r="B1095" s="47"/>
    </row>
    <row r="1096" spans="2:2">
      <c r="B1096" s="47"/>
    </row>
    <row r="1097" spans="2:2">
      <c r="B1097" s="47"/>
    </row>
    <row r="1098" spans="2:2">
      <c r="B1098" s="47"/>
    </row>
    <row r="1099" spans="2:2">
      <c r="B1099" s="47"/>
    </row>
    <row r="1100" spans="2:2">
      <c r="B1100" s="47"/>
    </row>
    <row r="1101" spans="2:2">
      <c r="B1101" s="47"/>
    </row>
    <row r="1102" spans="2:2">
      <c r="B1102" s="47"/>
    </row>
    <row r="1103" spans="2:2">
      <c r="B1103" s="47"/>
    </row>
    <row r="1104" spans="2:2">
      <c r="B1104" s="47"/>
    </row>
    <row r="1105" spans="2:2">
      <c r="B1105" s="47"/>
    </row>
    <row r="1106" spans="2:2">
      <c r="B1106" s="47"/>
    </row>
    <row r="1107" spans="2:2">
      <c r="B1107" s="47"/>
    </row>
    <row r="1108" spans="2:2">
      <c r="B1108" s="47"/>
    </row>
    <row r="1109" spans="2:2">
      <c r="B1109" s="47"/>
    </row>
    <row r="1110" spans="2:2">
      <c r="B1110" s="47"/>
    </row>
    <row r="1111" spans="2:2">
      <c r="B1111" s="47"/>
    </row>
    <row r="1112" spans="2:2">
      <c r="B1112" s="47"/>
    </row>
    <row r="1113" spans="2:2">
      <c r="B1113" s="47"/>
    </row>
    <row r="1114" spans="2:2">
      <c r="B1114" s="47"/>
    </row>
    <row r="1115" spans="2:2">
      <c r="B1115" s="47"/>
    </row>
    <row r="1116" spans="2:2">
      <c r="B1116" s="47"/>
    </row>
    <row r="1117" spans="2:2">
      <c r="B1117" s="47"/>
    </row>
    <row r="1118" spans="2:2">
      <c r="B1118" s="47"/>
    </row>
    <row r="1119" spans="2:2">
      <c r="B1119" s="47"/>
    </row>
    <row r="1120" spans="2:2">
      <c r="B1120" s="47"/>
    </row>
    <row r="1121" spans="2:2">
      <c r="B1121" s="47"/>
    </row>
    <row r="1122" spans="2:2">
      <c r="B1122" s="47"/>
    </row>
    <row r="1123" spans="2:2">
      <c r="B1123" s="47"/>
    </row>
    <row r="1124" spans="2:2">
      <c r="B1124" s="47"/>
    </row>
    <row r="1125" spans="2:2">
      <c r="B1125" s="47"/>
    </row>
    <row r="1126" spans="2:2">
      <c r="B1126" s="47"/>
    </row>
    <row r="1127" spans="2:2">
      <c r="B1127" s="47"/>
    </row>
    <row r="1128" spans="2:2">
      <c r="B1128" s="47"/>
    </row>
    <row r="1129" spans="2:2">
      <c r="B1129" s="47"/>
    </row>
    <row r="1130" spans="2:2">
      <c r="B1130" s="47"/>
    </row>
    <row r="1131" spans="2:2">
      <c r="B1131" s="47"/>
    </row>
    <row r="1132" spans="2:2">
      <c r="B1132" s="47"/>
    </row>
    <row r="1133" spans="2:2">
      <c r="B1133" s="47"/>
    </row>
    <row r="1134" spans="2:2">
      <c r="B1134" s="47"/>
    </row>
    <row r="1135" spans="2:2">
      <c r="B1135" s="47"/>
    </row>
    <row r="1136" spans="2:2">
      <c r="B1136" s="47"/>
    </row>
    <row r="1137" spans="2:2">
      <c r="B1137" s="47"/>
    </row>
    <row r="1138" spans="2:2">
      <c r="B1138" s="47"/>
    </row>
    <row r="1139" spans="2:2">
      <c r="B1139" s="47"/>
    </row>
    <row r="1140" spans="2:2">
      <c r="B1140" s="47"/>
    </row>
    <row r="1141" spans="2:2">
      <c r="B1141" s="47"/>
    </row>
    <row r="1142" spans="2:2">
      <c r="B1142" s="47"/>
    </row>
    <row r="1143" spans="2:2">
      <c r="B1143" s="47"/>
    </row>
    <row r="1144" spans="2:2">
      <c r="B1144" s="47"/>
    </row>
    <row r="1145" spans="2:2">
      <c r="B1145" s="47"/>
    </row>
    <row r="1146" spans="2:2">
      <c r="B1146" s="47"/>
    </row>
    <row r="1147" spans="2:2">
      <c r="B1147" s="47"/>
    </row>
    <row r="1148" spans="2:2">
      <c r="B1148" s="47"/>
    </row>
    <row r="1149" spans="2:2">
      <c r="B1149" s="47"/>
    </row>
    <row r="1150" spans="2:2">
      <c r="B1150" s="47"/>
    </row>
    <row r="1151" spans="2:2">
      <c r="B1151" s="47"/>
    </row>
    <row r="1152" spans="2:2">
      <c r="B1152" s="47"/>
    </row>
    <row r="1153" spans="2:2">
      <c r="B1153" s="47"/>
    </row>
    <row r="1154" spans="2:2">
      <c r="B1154" s="47"/>
    </row>
    <row r="1155" spans="2:2">
      <c r="B1155" s="47"/>
    </row>
    <row r="1156" spans="2:2">
      <c r="B1156" s="47"/>
    </row>
    <row r="1157" spans="2:2">
      <c r="B1157" s="47"/>
    </row>
    <row r="1158" spans="2:2">
      <c r="B1158" s="47"/>
    </row>
    <row r="1159" spans="2:2">
      <c r="B1159" s="47"/>
    </row>
    <row r="1160" spans="2:2">
      <c r="B1160" s="47"/>
    </row>
    <row r="1161" spans="2:2">
      <c r="B1161" s="47"/>
    </row>
    <row r="1162" spans="2:2">
      <c r="B1162" s="47"/>
    </row>
    <row r="1163" spans="2:2">
      <c r="B1163" s="47"/>
    </row>
    <row r="1164" spans="2:2">
      <c r="B1164" s="47"/>
    </row>
    <row r="1165" spans="2:2">
      <c r="B1165" s="47"/>
    </row>
    <row r="1166" spans="2:2">
      <c r="B1166" s="47"/>
    </row>
    <row r="1167" spans="2:2">
      <c r="B1167" s="47"/>
    </row>
    <row r="1168" spans="2:2">
      <c r="B1168" s="47"/>
    </row>
    <row r="1169" spans="2:2">
      <c r="B1169" s="47"/>
    </row>
    <row r="1170" spans="2:2">
      <c r="B1170" s="47"/>
    </row>
    <row r="1171" spans="2:2">
      <c r="B1171" s="47"/>
    </row>
    <row r="1172" spans="2:2">
      <c r="B1172" s="47"/>
    </row>
    <row r="1173" spans="2:2">
      <c r="B1173" s="47"/>
    </row>
    <row r="1174" spans="2:2">
      <c r="B1174" s="47"/>
    </row>
    <row r="1175" spans="2:2">
      <c r="B1175" s="47"/>
    </row>
    <row r="1176" spans="2:2">
      <c r="B1176" s="47"/>
    </row>
    <row r="1177" spans="2:2">
      <c r="B1177" s="47"/>
    </row>
    <row r="1178" spans="2:2">
      <c r="B1178" s="47"/>
    </row>
    <row r="1179" spans="2:2">
      <c r="B1179" s="47"/>
    </row>
    <row r="1180" spans="2:2">
      <c r="B1180" s="47"/>
    </row>
    <row r="1181" spans="2:2">
      <c r="B1181" s="47"/>
    </row>
    <row r="1182" spans="2:2">
      <c r="B1182" s="47"/>
    </row>
    <row r="1183" spans="2:2">
      <c r="B1183" s="47"/>
    </row>
    <row r="1184" spans="2:2">
      <c r="B1184" s="47"/>
    </row>
    <row r="1185" spans="2:2">
      <c r="B1185" s="47"/>
    </row>
    <row r="1186" spans="2:2">
      <c r="B1186" s="47"/>
    </row>
    <row r="1187" spans="2:2">
      <c r="B1187" s="47"/>
    </row>
    <row r="1188" spans="2:2">
      <c r="B1188" s="47"/>
    </row>
    <row r="1189" spans="2:2">
      <c r="B1189" s="47"/>
    </row>
    <row r="1190" spans="2:2">
      <c r="B1190" s="47"/>
    </row>
    <row r="1191" spans="2:2">
      <c r="B1191" s="47"/>
    </row>
    <row r="1192" spans="2:2">
      <c r="B1192" s="47"/>
    </row>
    <row r="1193" spans="2:2">
      <c r="B1193" s="47"/>
    </row>
    <row r="1194" spans="2:2">
      <c r="B1194" s="47"/>
    </row>
    <row r="1195" spans="2:2">
      <c r="B1195" s="47"/>
    </row>
    <row r="1196" spans="2:2">
      <c r="B1196" s="47"/>
    </row>
    <row r="1197" spans="2:2">
      <c r="B1197" s="47"/>
    </row>
    <row r="1198" spans="2:2">
      <c r="B1198" s="47"/>
    </row>
    <row r="1199" spans="2:2">
      <c r="B1199" s="47"/>
    </row>
    <row r="1200" spans="2:2">
      <c r="B1200" s="47"/>
    </row>
    <row r="1201" spans="2:2">
      <c r="B1201" s="47"/>
    </row>
    <row r="1202" spans="2:2">
      <c r="B1202" s="47"/>
    </row>
    <row r="1203" spans="2:2">
      <c r="B1203" s="47"/>
    </row>
    <row r="1204" spans="2:2">
      <c r="B1204" s="47"/>
    </row>
    <row r="1205" spans="2:2">
      <c r="B1205" s="47"/>
    </row>
    <row r="1206" spans="2:2">
      <c r="B1206" s="47"/>
    </row>
    <row r="1207" spans="2:2">
      <c r="B1207" s="47"/>
    </row>
    <row r="1208" spans="2:2">
      <c r="B1208" s="47"/>
    </row>
    <row r="1209" spans="2:2">
      <c r="B1209" s="47"/>
    </row>
    <row r="1210" spans="2:2">
      <c r="B1210" s="47"/>
    </row>
    <row r="1211" spans="2:2">
      <c r="B1211" s="47"/>
    </row>
    <row r="1212" spans="2:2">
      <c r="B1212" s="47"/>
    </row>
    <row r="1213" spans="2:2">
      <c r="B1213" s="47"/>
    </row>
    <row r="1214" spans="2:2">
      <c r="B1214" s="47"/>
    </row>
    <row r="1215" spans="2:2">
      <c r="B1215" s="47"/>
    </row>
    <row r="1216" spans="2:2">
      <c r="B1216" s="47"/>
    </row>
    <row r="1217" spans="2:2">
      <c r="B1217" s="47"/>
    </row>
    <row r="1218" spans="2:2">
      <c r="B1218" s="47"/>
    </row>
    <row r="1219" spans="2:2">
      <c r="B1219" s="47"/>
    </row>
    <row r="1220" spans="2:2">
      <c r="B1220" s="47"/>
    </row>
    <row r="1221" spans="2:2">
      <c r="B1221" s="47"/>
    </row>
    <row r="1222" spans="2:2">
      <c r="B1222" s="47"/>
    </row>
    <row r="1223" spans="2:2">
      <c r="B1223" s="47"/>
    </row>
    <row r="1224" spans="2:2">
      <c r="B1224" s="47"/>
    </row>
    <row r="1225" spans="2:2">
      <c r="B1225" s="47"/>
    </row>
    <row r="1226" spans="2:2">
      <c r="B1226" s="47"/>
    </row>
    <row r="1227" spans="2:2">
      <c r="B1227" s="47"/>
    </row>
    <row r="1228" spans="2:2">
      <c r="B1228" s="47"/>
    </row>
    <row r="1229" spans="2:2">
      <c r="B1229" s="47"/>
    </row>
    <row r="1230" spans="2:2">
      <c r="B1230" s="47"/>
    </row>
    <row r="1231" spans="2:2">
      <c r="B1231" s="47"/>
    </row>
    <row r="1232" spans="2:2">
      <c r="B1232" s="47"/>
    </row>
    <row r="1233" spans="2:2">
      <c r="B1233" s="47"/>
    </row>
    <row r="1234" spans="2:2">
      <c r="B1234" s="47"/>
    </row>
    <row r="1235" spans="2:2">
      <c r="B1235" s="47"/>
    </row>
    <row r="1236" spans="2:2">
      <c r="B1236" s="47"/>
    </row>
    <row r="1237" spans="2:2">
      <c r="B1237" s="47"/>
    </row>
    <row r="1238" spans="2:2">
      <c r="B1238" s="47"/>
    </row>
    <row r="1239" spans="2:2">
      <c r="B1239" s="47"/>
    </row>
    <row r="1240" spans="2:2">
      <c r="B1240" s="47"/>
    </row>
    <row r="1241" spans="2:2">
      <c r="B1241" s="47"/>
    </row>
    <row r="1242" spans="2:2">
      <c r="B1242" s="47"/>
    </row>
    <row r="1243" spans="2:2">
      <c r="B1243" s="47"/>
    </row>
    <row r="1244" spans="2:2">
      <c r="B1244" s="47"/>
    </row>
    <row r="1245" spans="2:2">
      <c r="B1245" s="47"/>
    </row>
    <row r="1246" spans="2:2">
      <c r="B1246" s="47"/>
    </row>
    <row r="1247" spans="2:2">
      <c r="B1247" s="47"/>
    </row>
    <row r="1248" spans="2:2">
      <c r="B1248" s="47"/>
    </row>
    <row r="1249" spans="2:2">
      <c r="B1249" s="47"/>
    </row>
    <row r="1250" spans="2:2">
      <c r="B1250" s="47"/>
    </row>
    <row r="1251" spans="2:2">
      <c r="B1251" s="47"/>
    </row>
    <row r="1252" spans="2:2">
      <c r="B1252" s="47"/>
    </row>
    <row r="1253" spans="2:2">
      <c r="B1253" s="47"/>
    </row>
    <row r="1254" spans="2:2">
      <c r="B1254" s="47"/>
    </row>
    <row r="1255" spans="2:2">
      <c r="B1255" s="47"/>
    </row>
    <row r="1256" spans="2:2">
      <c r="B1256" s="47"/>
    </row>
    <row r="1257" spans="2:2">
      <c r="B1257" s="47"/>
    </row>
    <row r="1258" spans="2:2">
      <c r="B1258" s="47"/>
    </row>
    <row r="1259" spans="2:2">
      <c r="B1259" s="47"/>
    </row>
    <row r="1260" spans="2:2">
      <c r="B1260" s="47"/>
    </row>
    <row r="1261" spans="2:2">
      <c r="B1261" s="47"/>
    </row>
    <row r="1262" spans="2:2">
      <c r="B1262" s="47"/>
    </row>
    <row r="1263" spans="2:2">
      <c r="B1263" s="47"/>
    </row>
    <row r="1264" spans="2:2">
      <c r="B1264" s="47"/>
    </row>
    <row r="1265" spans="2:2">
      <c r="B1265" s="47"/>
    </row>
    <row r="1266" spans="2:2">
      <c r="B1266" s="47"/>
    </row>
    <row r="1267" spans="2:2">
      <c r="B1267" s="47"/>
    </row>
    <row r="1268" spans="2:2">
      <c r="B1268" s="47"/>
    </row>
    <row r="1269" spans="2:2">
      <c r="B1269" s="47"/>
    </row>
    <row r="1270" spans="2:2">
      <c r="B1270" s="47"/>
    </row>
    <row r="1271" spans="2:2">
      <c r="B1271" s="47"/>
    </row>
    <row r="1272" spans="2:2">
      <c r="B1272" s="47"/>
    </row>
    <row r="1273" spans="2:2">
      <c r="B1273" s="47"/>
    </row>
    <row r="1274" spans="2:2">
      <c r="B1274" s="47"/>
    </row>
    <row r="1275" spans="2:2">
      <c r="B1275" s="47"/>
    </row>
    <row r="1276" spans="2:2">
      <c r="B1276" s="47"/>
    </row>
    <row r="1277" spans="2:2">
      <c r="B1277" s="47"/>
    </row>
    <row r="1278" spans="2:2">
      <c r="B1278" s="47"/>
    </row>
    <row r="1279" spans="2:2">
      <c r="B1279" s="47"/>
    </row>
    <row r="1280" spans="2:2">
      <c r="B1280" s="47"/>
    </row>
    <row r="1281" spans="2:2">
      <c r="B1281" s="47"/>
    </row>
    <row r="1282" spans="2:2">
      <c r="B1282" s="47"/>
    </row>
    <row r="1283" spans="2:2">
      <c r="B1283" s="47"/>
    </row>
    <row r="1284" spans="2:2">
      <c r="B1284" s="47"/>
    </row>
    <row r="1285" spans="2:2">
      <c r="B1285" s="47"/>
    </row>
    <row r="1286" spans="2:2">
      <c r="B1286" s="47"/>
    </row>
    <row r="1287" spans="2:2">
      <c r="B1287" s="47"/>
    </row>
    <row r="1288" spans="2:2">
      <c r="B1288" s="47"/>
    </row>
    <row r="1289" spans="2:2">
      <c r="B1289" s="47"/>
    </row>
    <row r="1290" spans="2:2">
      <c r="B1290" s="47"/>
    </row>
    <row r="1291" spans="2:2">
      <c r="B1291" s="47"/>
    </row>
    <row r="1292" spans="2:2">
      <c r="B1292" s="47"/>
    </row>
    <row r="1293" spans="2:2">
      <c r="B1293" s="47"/>
    </row>
    <row r="1294" spans="2:2">
      <c r="B1294" s="47"/>
    </row>
    <row r="1295" spans="2:2">
      <c r="B1295" s="47"/>
    </row>
    <row r="1296" spans="2:2">
      <c r="B1296" s="47"/>
    </row>
    <row r="1297" spans="2:2">
      <c r="B1297" s="47"/>
    </row>
    <row r="1298" spans="2:2">
      <c r="B1298" s="47"/>
    </row>
    <row r="1299" spans="2:2">
      <c r="B1299" s="47"/>
    </row>
    <row r="1300" spans="2:2">
      <c r="B1300" s="47"/>
    </row>
    <row r="1301" spans="2:2">
      <c r="B1301" s="47"/>
    </row>
    <row r="1302" spans="2:2">
      <c r="B1302" s="47"/>
    </row>
    <row r="1303" spans="2:2">
      <c r="B1303" s="47"/>
    </row>
    <row r="1304" spans="2:2">
      <c r="B1304" s="47"/>
    </row>
    <row r="1305" spans="2:2">
      <c r="B1305" s="47"/>
    </row>
    <row r="1306" spans="2:2">
      <c r="B1306" s="47"/>
    </row>
    <row r="1307" spans="2:2">
      <c r="B1307" s="47"/>
    </row>
    <row r="1308" spans="2:2">
      <c r="B1308" s="47"/>
    </row>
    <row r="1309" spans="2:2">
      <c r="B1309" s="47"/>
    </row>
    <row r="1310" spans="2:2">
      <c r="B1310" s="47"/>
    </row>
    <row r="1311" spans="2:2">
      <c r="B1311" s="47"/>
    </row>
    <row r="1312" spans="2:2">
      <c r="B1312" s="47"/>
    </row>
    <row r="1313" spans="2:2">
      <c r="B1313" s="47"/>
    </row>
    <row r="1314" spans="2:2">
      <c r="B1314" s="47"/>
    </row>
    <row r="1315" spans="2:2">
      <c r="B1315" s="47"/>
    </row>
    <row r="1316" spans="2:2">
      <c r="B1316" s="47"/>
    </row>
    <row r="1317" spans="2:2">
      <c r="B1317" s="47"/>
    </row>
    <row r="1318" spans="2:2">
      <c r="B1318" s="47"/>
    </row>
    <row r="1319" spans="2:2">
      <c r="B1319" s="47"/>
    </row>
    <row r="1320" spans="2:2">
      <c r="B1320" s="47"/>
    </row>
    <row r="1321" spans="2:2">
      <c r="B1321" s="47"/>
    </row>
    <row r="1322" spans="2:2">
      <c r="B1322" s="47"/>
    </row>
    <row r="1323" spans="2:2">
      <c r="B1323" s="47"/>
    </row>
    <row r="1324" spans="2:2">
      <c r="B1324" s="47"/>
    </row>
    <row r="1325" spans="2:2">
      <c r="B1325" s="47"/>
    </row>
    <row r="1326" spans="2:2">
      <c r="B1326" s="47"/>
    </row>
    <row r="1327" spans="2:2">
      <c r="B1327" s="47"/>
    </row>
    <row r="1328" spans="2:2">
      <c r="B1328" s="47"/>
    </row>
    <row r="1329" spans="2:2">
      <c r="B1329" s="47"/>
    </row>
    <row r="1330" spans="2:2">
      <c r="B1330" s="47"/>
    </row>
    <row r="1331" spans="2:2">
      <c r="B1331" s="47"/>
    </row>
    <row r="1332" spans="2:2">
      <c r="B1332" s="47"/>
    </row>
    <row r="1333" spans="2:2">
      <c r="B1333" s="47"/>
    </row>
    <row r="1334" spans="2:2">
      <c r="B1334" s="47"/>
    </row>
    <row r="1335" spans="2:2">
      <c r="B1335" s="47"/>
    </row>
    <row r="1336" spans="2:2">
      <c r="B1336" s="47"/>
    </row>
    <row r="1337" spans="2:2">
      <c r="B1337" s="47"/>
    </row>
    <row r="1338" spans="2:2">
      <c r="B1338" s="47"/>
    </row>
    <row r="1339" spans="2:2">
      <c r="B1339" s="47"/>
    </row>
    <row r="1340" spans="2:2">
      <c r="B1340" s="47"/>
    </row>
    <row r="1341" spans="2:2">
      <c r="B1341" s="47"/>
    </row>
    <row r="1342" spans="2:2">
      <c r="B1342" s="47"/>
    </row>
    <row r="1343" spans="2:2">
      <c r="B1343" s="47"/>
    </row>
    <row r="1344" spans="2:2">
      <c r="B1344" s="47"/>
    </row>
    <row r="1345" spans="2:2">
      <c r="B1345" s="47"/>
    </row>
    <row r="1346" spans="2:2">
      <c r="B1346" s="47"/>
    </row>
    <row r="1347" spans="2:2">
      <c r="B1347" s="47"/>
    </row>
    <row r="1348" spans="2:2">
      <c r="B1348" s="47"/>
    </row>
    <row r="1349" spans="2:2">
      <c r="B1349" s="47"/>
    </row>
    <row r="1350" spans="2:2">
      <c r="B1350" s="47"/>
    </row>
    <row r="1351" spans="2:2">
      <c r="B1351" s="47"/>
    </row>
    <row r="1352" spans="2:2">
      <c r="B1352" s="47"/>
    </row>
    <row r="1353" spans="2:2">
      <c r="B1353" s="47"/>
    </row>
    <row r="1354" spans="2:2">
      <c r="B1354" s="47"/>
    </row>
    <row r="1355" spans="2:2">
      <c r="B1355" s="47"/>
    </row>
    <row r="1356" spans="2:2">
      <c r="B1356" s="47"/>
    </row>
    <row r="1357" spans="2:2">
      <c r="B1357" s="47"/>
    </row>
    <row r="1358" spans="2:2">
      <c r="B1358" s="47"/>
    </row>
    <row r="1359" spans="2:2">
      <c r="B1359" s="47"/>
    </row>
    <row r="1360" spans="2:2">
      <c r="B1360" s="47"/>
    </row>
    <row r="1361" spans="2:2">
      <c r="B1361" s="47"/>
    </row>
    <row r="1362" spans="2:2">
      <c r="B1362" s="47"/>
    </row>
    <row r="1363" spans="2:2">
      <c r="B1363" s="47"/>
    </row>
    <row r="1364" spans="2:2">
      <c r="B1364" s="47"/>
    </row>
    <row r="1365" spans="2:2">
      <c r="B1365" s="47"/>
    </row>
    <row r="1366" spans="2:2">
      <c r="B1366" s="47"/>
    </row>
    <row r="1367" spans="2:2">
      <c r="B1367" s="47"/>
    </row>
    <row r="1368" spans="2:2">
      <c r="B1368" s="47"/>
    </row>
    <row r="1369" spans="2:2">
      <c r="B1369" s="47"/>
    </row>
    <row r="1370" spans="2:2">
      <c r="B1370" s="47"/>
    </row>
    <row r="1371" spans="2:2">
      <c r="B1371" s="47"/>
    </row>
    <row r="1372" spans="2:2">
      <c r="B1372" s="47"/>
    </row>
    <row r="1373" spans="2:2">
      <c r="B1373" s="47"/>
    </row>
    <row r="1374" spans="2:2">
      <c r="B1374" s="47"/>
    </row>
    <row r="1375" spans="2:2">
      <c r="B1375" s="47"/>
    </row>
    <row r="1376" spans="2:2">
      <c r="B1376" s="47"/>
    </row>
    <row r="1377" spans="2:2">
      <c r="B1377" s="47"/>
    </row>
    <row r="1378" spans="2:2">
      <c r="B1378" s="47"/>
    </row>
    <row r="1379" spans="2:2">
      <c r="B1379" s="47"/>
    </row>
    <row r="1380" spans="2:2">
      <c r="B1380" s="47"/>
    </row>
    <row r="1381" spans="2:2">
      <c r="B1381" s="47"/>
    </row>
    <row r="1382" spans="2:2">
      <c r="B1382" s="47"/>
    </row>
    <row r="1383" spans="2:2">
      <c r="B1383" s="47"/>
    </row>
    <row r="1384" spans="2:2">
      <c r="B1384" s="47"/>
    </row>
    <row r="1385" spans="2:2">
      <c r="B1385" s="47"/>
    </row>
    <row r="1386" spans="2:2">
      <c r="B1386" s="47"/>
    </row>
    <row r="1387" spans="2:2">
      <c r="B1387" s="47"/>
    </row>
    <row r="1388" spans="2:2">
      <c r="B1388" s="47"/>
    </row>
    <row r="1389" spans="2:2">
      <c r="B1389" s="47"/>
    </row>
    <row r="1390" spans="2:2">
      <c r="B1390" s="47"/>
    </row>
    <row r="1391" spans="2:2">
      <c r="B1391" s="47"/>
    </row>
    <row r="1392" spans="2:2">
      <c r="B1392" s="47"/>
    </row>
    <row r="1393" spans="2:2">
      <c r="B1393" s="47"/>
    </row>
    <row r="1394" spans="2:2">
      <c r="B1394" s="47"/>
    </row>
    <row r="1395" spans="2:2">
      <c r="B1395" s="47"/>
    </row>
    <row r="1396" spans="2:2">
      <c r="B1396" s="47"/>
    </row>
    <row r="1397" spans="2:2">
      <c r="B1397" s="47"/>
    </row>
    <row r="1398" spans="2:2">
      <c r="B1398" s="47"/>
    </row>
    <row r="1399" spans="2:2">
      <c r="B1399" s="47"/>
    </row>
    <row r="1400" spans="2:2">
      <c r="B1400" s="47"/>
    </row>
    <row r="1401" spans="2:2">
      <c r="B1401" s="47"/>
    </row>
    <row r="1402" spans="2:2">
      <c r="B1402" s="47"/>
    </row>
    <row r="1403" spans="2:2">
      <c r="B1403" s="47"/>
    </row>
    <row r="1404" spans="2:2">
      <c r="B1404" s="47"/>
    </row>
    <row r="1405" spans="2:2">
      <c r="B1405" s="47"/>
    </row>
    <row r="1406" spans="2:2">
      <c r="B1406" s="47"/>
    </row>
    <row r="1407" spans="2:2">
      <c r="B1407" s="47"/>
    </row>
    <row r="1408" spans="2:2">
      <c r="B1408" s="47"/>
    </row>
    <row r="1409" spans="2:2">
      <c r="B1409" s="47"/>
    </row>
    <row r="1410" spans="2:2">
      <c r="B1410" s="47"/>
    </row>
    <row r="1411" spans="2:2">
      <c r="B1411" s="47"/>
    </row>
    <row r="1412" spans="2:2">
      <c r="B1412" s="47"/>
    </row>
    <row r="1413" spans="2:2">
      <c r="B1413" s="47"/>
    </row>
    <row r="1414" spans="2:2">
      <c r="B1414" s="47"/>
    </row>
    <row r="1415" spans="2:2">
      <c r="B1415" s="47"/>
    </row>
    <row r="1416" spans="2:2">
      <c r="B1416" s="47"/>
    </row>
    <row r="1417" spans="2:2">
      <c r="B1417" s="47"/>
    </row>
    <row r="1418" spans="2:2">
      <c r="B1418" s="47"/>
    </row>
    <row r="1419" spans="2:2">
      <c r="B1419" s="47"/>
    </row>
    <row r="1420" spans="2:2">
      <c r="B1420" s="47"/>
    </row>
    <row r="1421" spans="2:2">
      <c r="B1421" s="47"/>
    </row>
    <row r="1422" spans="2:2">
      <c r="B1422" s="47"/>
    </row>
    <row r="1423" spans="2:2">
      <c r="B1423" s="47"/>
    </row>
    <row r="1424" spans="2:2">
      <c r="B1424" s="47"/>
    </row>
    <row r="1425" spans="2:2">
      <c r="B1425" s="47"/>
    </row>
    <row r="1426" spans="2:2">
      <c r="B1426" s="47"/>
    </row>
    <row r="1427" spans="2:2">
      <c r="B1427" s="47"/>
    </row>
    <row r="1428" spans="2:2">
      <c r="B1428" s="47"/>
    </row>
    <row r="1429" spans="2:2">
      <c r="B1429" s="47"/>
    </row>
    <row r="1430" spans="2:2">
      <c r="B1430" s="47"/>
    </row>
    <row r="1431" spans="2:2">
      <c r="B1431" s="47"/>
    </row>
    <row r="1432" spans="2:2">
      <c r="B1432" s="47"/>
    </row>
    <row r="1433" spans="2:2">
      <c r="B1433" s="47"/>
    </row>
    <row r="1434" spans="2:2">
      <c r="B1434" s="47"/>
    </row>
    <row r="1435" spans="2:2">
      <c r="B1435" s="47"/>
    </row>
    <row r="1436" spans="2:2">
      <c r="B1436" s="47"/>
    </row>
    <row r="1437" spans="2:2">
      <c r="B1437" s="47"/>
    </row>
    <row r="1438" spans="2:2">
      <c r="B1438" s="47"/>
    </row>
    <row r="1439" spans="2:2">
      <c r="B1439" s="47"/>
    </row>
    <row r="1440" spans="2:2">
      <c r="B1440" s="47"/>
    </row>
    <row r="1441" spans="2:2">
      <c r="B1441" s="47"/>
    </row>
    <row r="1442" spans="2:2">
      <c r="B1442" s="47"/>
    </row>
    <row r="1443" spans="2:2">
      <c r="B1443" s="47"/>
    </row>
    <row r="1444" spans="2:2">
      <c r="B1444" s="47"/>
    </row>
    <row r="1445" spans="2:2">
      <c r="B1445" s="47"/>
    </row>
    <row r="1446" spans="2:2">
      <c r="B1446" s="47"/>
    </row>
    <row r="1447" spans="2:2">
      <c r="B1447" s="47"/>
    </row>
    <row r="1448" spans="2:2">
      <c r="B1448" s="47"/>
    </row>
    <row r="1449" spans="2:2">
      <c r="B1449" s="47"/>
    </row>
    <row r="1450" spans="2:2">
      <c r="B1450" s="47"/>
    </row>
    <row r="1451" spans="2:2">
      <c r="B1451" s="47"/>
    </row>
    <row r="1452" spans="2:2">
      <c r="B1452" s="47"/>
    </row>
    <row r="1453" spans="2:2">
      <c r="B1453" s="47"/>
    </row>
    <row r="1454" spans="2:2">
      <c r="B1454" s="47"/>
    </row>
    <row r="1455" spans="2:2">
      <c r="B1455" s="47"/>
    </row>
    <row r="1456" spans="2:2">
      <c r="B1456" s="47"/>
    </row>
    <row r="1457" spans="2:2">
      <c r="B1457" s="47"/>
    </row>
    <row r="1458" spans="2:2">
      <c r="B1458" s="47"/>
    </row>
    <row r="1459" spans="2:2">
      <c r="B1459" s="47"/>
    </row>
    <row r="1460" spans="2:2">
      <c r="B1460" s="47"/>
    </row>
    <row r="1461" spans="2:2">
      <c r="B1461" s="47"/>
    </row>
    <row r="1462" spans="2:2">
      <c r="B1462" s="47"/>
    </row>
    <row r="1463" spans="2:2">
      <c r="B1463" s="47"/>
    </row>
    <row r="1464" spans="2:2">
      <c r="B1464" s="47"/>
    </row>
    <row r="1465" spans="2:2">
      <c r="B1465" s="47"/>
    </row>
    <row r="1466" spans="2:2">
      <c r="B1466" s="47"/>
    </row>
    <row r="1467" spans="2:2">
      <c r="B1467" s="47"/>
    </row>
    <row r="1468" spans="2:2">
      <c r="B1468" s="47"/>
    </row>
    <row r="1469" spans="2:2">
      <c r="B1469" s="47"/>
    </row>
    <row r="1470" spans="2:2">
      <c r="B1470" s="47"/>
    </row>
    <row r="1471" spans="2:2">
      <c r="B1471" s="47"/>
    </row>
    <row r="1472" spans="2:2">
      <c r="B1472" s="47"/>
    </row>
    <row r="1473" spans="2:2">
      <c r="B1473" s="47"/>
    </row>
    <row r="1474" spans="2:2">
      <c r="B1474" s="47"/>
    </row>
    <row r="1475" spans="2:2">
      <c r="B1475" s="47"/>
    </row>
    <row r="1476" spans="2:2">
      <c r="B1476" s="47"/>
    </row>
    <row r="1477" spans="2:2">
      <c r="B1477" s="47"/>
    </row>
    <row r="1478" spans="2:2">
      <c r="B1478" s="47"/>
    </row>
    <row r="1479" spans="2:2">
      <c r="B1479" s="47"/>
    </row>
    <row r="1480" spans="2:2">
      <c r="B1480" s="47"/>
    </row>
    <row r="1481" spans="2:2">
      <c r="B1481" s="47"/>
    </row>
    <row r="1482" spans="2:2">
      <c r="B1482" s="47"/>
    </row>
    <row r="1483" spans="2:2">
      <c r="B1483" s="47"/>
    </row>
    <row r="1484" spans="2:2">
      <c r="B1484" s="47"/>
    </row>
    <row r="1485" spans="2:2">
      <c r="B1485" s="47"/>
    </row>
    <row r="1486" spans="2:2">
      <c r="B1486" s="47"/>
    </row>
    <row r="1487" spans="2:2">
      <c r="B1487" s="47"/>
    </row>
    <row r="1488" spans="2:2">
      <c r="B1488" s="47"/>
    </row>
    <row r="1489" spans="2:2">
      <c r="B1489" s="47"/>
    </row>
    <row r="1490" spans="2:2">
      <c r="B1490" s="47"/>
    </row>
    <row r="1491" spans="2:2">
      <c r="B1491" s="47"/>
    </row>
    <row r="1492" spans="2:2">
      <c r="B1492" s="47"/>
    </row>
    <row r="1493" spans="2:2">
      <c r="B1493" s="47"/>
    </row>
    <row r="1494" spans="2:2">
      <c r="B1494" s="47"/>
    </row>
    <row r="1495" spans="2:2">
      <c r="B1495" s="47"/>
    </row>
    <row r="1496" spans="2:2">
      <c r="B1496" s="47"/>
    </row>
    <row r="1497" spans="2:2">
      <c r="B1497" s="47"/>
    </row>
    <row r="1498" spans="2:2">
      <c r="B1498" s="47"/>
    </row>
    <row r="1499" spans="2:2">
      <c r="B1499" s="47"/>
    </row>
    <row r="1500" spans="2:2">
      <c r="B1500" s="47"/>
    </row>
    <row r="1501" spans="2:2">
      <c r="B1501" s="47"/>
    </row>
    <row r="1502" spans="2:2">
      <c r="B1502" s="47"/>
    </row>
    <row r="1503" spans="2:2">
      <c r="B1503" s="47"/>
    </row>
    <row r="1504" spans="2:2">
      <c r="B1504" s="47"/>
    </row>
    <row r="1505" spans="2:2">
      <c r="B1505" s="47"/>
    </row>
    <row r="1506" spans="2:2">
      <c r="B1506" s="47"/>
    </row>
    <row r="1507" spans="2:2">
      <c r="B1507" s="47"/>
    </row>
    <row r="1508" spans="2:2">
      <c r="B1508" s="47"/>
    </row>
    <row r="1509" spans="2:2">
      <c r="B1509" s="47"/>
    </row>
    <row r="1510" spans="2:2">
      <c r="B1510" s="47"/>
    </row>
    <row r="1511" spans="2:2">
      <c r="B1511" s="47"/>
    </row>
    <row r="1512" spans="2:2">
      <c r="B1512" s="47"/>
    </row>
    <row r="1513" spans="2:2">
      <c r="B1513" s="47"/>
    </row>
    <row r="1514" spans="2:2">
      <c r="B1514" s="47"/>
    </row>
    <row r="1515" spans="2:2">
      <c r="B1515" s="47"/>
    </row>
    <row r="1516" spans="2:2">
      <c r="B1516" s="47"/>
    </row>
    <row r="1517" spans="2:2">
      <c r="B1517" s="47"/>
    </row>
    <row r="1518" spans="2:2">
      <c r="B1518" s="47"/>
    </row>
    <row r="1519" spans="2:2">
      <c r="B1519" s="47"/>
    </row>
    <row r="1520" spans="2:2">
      <c r="B1520" s="47"/>
    </row>
    <row r="1521" spans="2:2">
      <c r="B1521" s="47"/>
    </row>
    <row r="1522" spans="2:2">
      <c r="B1522" s="47"/>
    </row>
    <row r="1523" spans="2:2">
      <c r="B1523" s="47"/>
    </row>
    <row r="1524" spans="2:2">
      <c r="B1524" s="47"/>
    </row>
    <row r="1525" spans="2:2">
      <c r="B1525" s="47"/>
    </row>
    <row r="1526" spans="2:2">
      <c r="B1526" s="47"/>
    </row>
    <row r="1527" spans="2:2">
      <c r="B1527" s="47"/>
    </row>
    <row r="1528" spans="2:2">
      <c r="B1528" s="47"/>
    </row>
    <row r="1529" spans="2:2">
      <c r="B1529" s="47"/>
    </row>
    <row r="1530" spans="2:2">
      <c r="B1530" s="47"/>
    </row>
    <row r="1531" spans="2:2">
      <c r="B1531" s="47"/>
    </row>
    <row r="1532" spans="2:2">
      <c r="B1532" s="47"/>
    </row>
    <row r="1533" spans="2:2">
      <c r="B1533" s="47"/>
    </row>
    <row r="1534" spans="2:2">
      <c r="B1534" s="47"/>
    </row>
    <row r="1535" spans="2:2">
      <c r="B1535" s="47"/>
    </row>
    <row r="1536" spans="2:2">
      <c r="B1536" s="47"/>
    </row>
    <row r="1537" spans="2:2">
      <c r="B1537" s="47"/>
    </row>
    <row r="1538" spans="2:2">
      <c r="B1538" s="47"/>
    </row>
    <row r="1539" spans="2:2">
      <c r="B1539" s="47"/>
    </row>
    <row r="1540" spans="2:2">
      <c r="B1540" s="47"/>
    </row>
    <row r="1541" spans="2:2">
      <c r="B1541" s="47"/>
    </row>
    <row r="1542" spans="2:2">
      <c r="B1542" s="47"/>
    </row>
    <row r="1543" spans="2:2">
      <c r="B1543" s="47"/>
    </row>
    <row r="1544" spans="2:2">
      <c r="B1544" s="47"/>
    </row>
    <row r="1545" spans="2:2">
      <c r="B1545" s="47"/>
    </row>
    <row r="1546" spans="2:2">
      <c r="B1546" s="47"/>
    </row>
    <row r="1547" spans="2:2">
      <c r="B1547" s="47"/>
    </row>
    <row r="1548" spans="2:2">
      <c r="B1548" s="47"/>
    </row>
    <row r="1549" spans="2:2">
      <c r="B1549" s="47"/>
    </row>
    <row r="1550" spans="2:2">
      <c r="B1550" s="47"/>
    </row>
    <row r="1551" spans="2:2">
      <c r="B1551" s="47"/>
    </row>
    <row r="1552" spans="2:2">
      <c r="B1552" s="47"/>
    </row>
    <row r="1553" spans="2:2">
      <c r="B1553" s="47"/>
    </row>
    <row r="1554" spans="2:2">
      <c r="B1554" s="47"/>
    </row>
    <row r="1555" spans="2:2">
      <c r="B1555" s="47"/>
    </row>
    <row r="1556" spans="2:2">
      <c r="B1556" s="47"/>
    </row>
    <row r="1557" spans="2:2">
      <c r="B1557" s="47"/>
    </row>
    <row r="1558" spans="2:2">
      <c r="B1558" s="47"/>
    </row>
    <row r="1559" spans="2:2">
      <c r="B1559" s="47"/>
    </row>
    <row r="1560" spans="2:2">
      <c r="B1560" s="47"/>
    </row>
    <row r="1561" spans="2:2">
      <c r="B1561" s="47"/>
    </row>
    <row r="1562" spans="2:2">
      <c r="B1562" s="47"/>
    </row>
    <row r="1563" spans="2:2">
      <c r="B1563" s="47"/>
    </row>
    <row r="1564" spans="2:2">
      <c r="B1564" s="47"/>
    </row>
    <row r="1565" spans="2:2">
      <c r="B1565" s="47"/>
    </row>
    <row r="1566" spans="2:2">
      <c r="B1566" s="47"/>
    </row>
    <row r="1567" spans="2:2">
      <c r="B1567" s="47"/>
    </row>
    <row r="1568" spans="2:2">
      <c r="B1568" s="47"/>
    </row>
    <row r="1569" spans="2:2">
      <c r="B1569" s="47"/>
    </row>
    <row r="1570" spans="2:2">
      <c r="B1570" s="47"/>
    </row>
    <row r="1571" spans="2:2">
      <c r="B1571" s="47"/>
    </row>
    <row r="1572" spans="2:2">
      <c r="B1572" s="47"/>
    </row>
    <row r="1573" spans="2:2">
      <c r="B1573" s="47"/>
    </row>
    <row r="1574" spans="2:2">
      <c r="B1574" s="47"/>
    </row>
    <row r="1575" spans="2:2">
      <c r="B1575" s="47"/>
    </row>
    <row r="1576" spans="2:2">
      <c r="B1576" s="47"/>
    </row>
    <row r="1577" spans="2:2">
      <c r="B1577" s="47"/>
    </row>
    <row r="1578" spans="2:2">
      <c r="B1578" s="47"/>
    </row>
    <row r="1579" spans="2:2">
      <c r="B1579" s="47"/>
    </row>
    <row r="1580" spans="2:2">
      <c r="B1580" s="47"/>
    </row>
    <row r="1581" spans="2:2">
      <c r="B1581" s="47"/>
    </row>
    <row r="1582" spans="2:2">
      <c r="B1582" s="47"/>
    </row>
    <row r="1583" spans="2:2">
      <c r="B1583" s="47"/>
    </row>
    <row r="1584" spans="2:2">
      <c r="B1584" s="47"/>
    </row>
    <row r="1585" spans="2:2">
      <c r="B1585" s="47"/>
    </row>
    <row r="1586" spans="2:2">
      <c r="B1586" s="47"/>
    </row>
    <row r="1587" spans="2:2">
      <c r="B1587" s="47"/>
    </row>
    <row r="1588" spans="2:2">
      <c r="B1588" s="47"/>
    </row>
    <row r="1589" spans="2:2">
      <c r="B1589" s="47"/>
    </row>
    <row r="1590" spans="2:2">
      <c r="B1590" s="47"/>
    </row>
    <row r="1591" spans="2:2">
      <c r="B1591" s="47"/>
    </row>
    <row r="1592" spans="2:2">
      <c r="B1592" s="47"/>
    </row>
    <row r="1593" spans="2:2">
      <c r="B1593" s="47"/>
    </row>
    <row r="1594" spans="2:2">
      <c r="B1594" s="47"/>
    </row>
    <row r="1595" spans="2:2">
      <c r="B1595" s="47"/>
    </row>
    <row r="1596" spans="2:2">
      <c r="B1596" s="47"/>
    </row>
    <row r="1597" spans="2:2">
      <c r="B1597" s="47"/>
    </row>
    <row r="1598" spans="2:2">
      <c r="B1598" s="47"/>
    </row>
    <row r="1599" spans="2:2">
      <c r="B1599" s="47"/>
    </row>
    <row r="1600" spans="2:2">
      <c r="B1600" s="47"/>
    </row>
    <row r="1601" spans="2:2">
      <c r="B1601" s="47"/>
    </row>
    <row r="1602" spans="2:2">
      <c r="B1602" s="47"/>
    </row>
    <row r="1603" spans="2:2">
      <c r="B1603" s="47"/>
    </row>
    <row r="1604" spans="2:2">
      <c r="B1604" s="47"/>
    </row>
    <row r="1605" spans="2:2">
      <c r="B1605" s="47"/>
    </row>
    <row r="1606" spans="2:2">
      <c r="B1606" s="47"/>
    </row>
    <row r="1607" spans="2:2">
      <c r="B1607" s="47"/>
    </row>
    <row r="1608" spans="2:2">
      <c r="B1608" s="47"/>
    </row>
    <row r="1609" spans="2:2">
      <c r="B1609" s="47"/>
    </row>
    <row r="1610" spans="2:2">
      <c r="B1610" s="47"/>
    </row>
    <row r="1611" spans="2:2">
      <c r="B1611" s="47"/>
    </row>
    <row r="1612" spans="2:2">
      <c r="B1612" s="47"/>
    </row>
    <row r="1613" spans="2:2">
      <c r="B1613" s="47"/>
    </row>
    <row r="1614" spans="2:2">
      <c r="B1614" s="47"/>
    </row>
    <row r="1615" spans="2:2">
      <c r="B1615" s="47"/>
    </row>
    <row r="1616" spans="2:2">
      <c r="B1616" s="47"/>
    </row>
    <row r="1617" spans="2:2">
      <c r="B1617" s="47"/>
    </row>
    <row r="1618" spans="2:2">
      <c r="B1618" s="47"/>
    </row>
    <row r="1619" spans="2:2">
      <c r="B1619" s="47"/>
    </row>
    <row r="1620" spans="2:2">
      <c r="B1620" s="47"/>
    </row>
    <row r="1621" spans="2:2">
      <c r="B1621" s="47"/>
    </row>
    <row r="1622" spans="2:2">
      <c r="B1622" s="47"/>
    </row>
    <row r="1623" spans="2:2">
      <c r="B1623" s="47"/>
    </row>
    <row r="1624" spans="2:2">
      <c r="B1624" s="47"/>
    </row>
    <row r="1625" spans="2:2">
      <c r="B1625" s="47"/>
    </row>
    <row r="1626" spans="2:2">
      <c r="B1626" s="47"/>
    </row>
    <row r="1627" spans="2:2">
      <c r="B1627" s="47"/>
    </row>
    <row r="1628" spans="2:2">
      <c r="B1628" s="47"/>
    </row>
    <row r="1629" spans="2:2">
      <c r="B1629" s="47"/>
    </row>
    <row r="1630" spans="2:2">
      <c r="B1630" s="47"/>
    </row>
    <row r="1631" spans="2:2">
      <c r="B1631" s="47"/>
    </row>
    <row r="1632" spans="2:2">
      <c r="B1632" s="47"/>
    </row>
    <row r="1633" spans="2:2">
      <c r="B1633" s="47"/>
    </row>
    <row r="1634" spans="2:2">
      <c r="B1634" s="47"/>
    </row>
    <row r="1635" spans="2:2">
      <c r="B1635" s="47"/>
    </row>
    <row r="1636" spans="2:2">
      <c r="B1636" s="47"/>
    </row>
    <row r="1637" spans="2:2">
      <c r="B1637" s="47"/>
    </row>
    <row r="1638" spans="2:2">
      <c r="B1638" s="47"/>
    </row>
    <row r="1639" spans="2:2">
      <c r="B1639" s="47"/>
    </row>
    <row r="1640" spans="2:2">
      <c r="B1640" s="47"/>
    </row>
    <row r="1641" spans="2:2">
      <c r="B1641" s="47"/>
    </row>
    <row r="1642" spans="2:2">
      <c r="B1642" s="47"/>
    </row>
    <row r="1643" spans="2:2">
      <c r="B1643" s="47"/>
    </row>
    <row r="1644" spans="2:2">
      <c r="B1644" s="47"/>
    </row>
    <row r="1645" spans="2:2">
      <c r="B1645" s="47"/>
    </row>
    <row r="1646" spans="2:2">
      <c r="B1646" s="47"/>
    </row>
    <row r="1647" spans="2:2">
      <c r="B1647" s="47"/>
    </row>
    <row r="1648" spans="2:2">
      <c r="B1648" s="47"/>
    </row>
    <row r="1649" spans="2:2">
      <c r="B1649" s="47"/>
    </row>
    <row r="1650" spans="2:2">
      <c r="B1650" s="47"/>
    </row>
    <row r="1651" spans="2:2">
      <c r="B1651" s="47"/>
    </row>
    <row r="1652" spans="2:2">
      <c r="B1652" s="47"/>
    </row>
    <row r="1653" spans="2:2">
      <c r="B1653" s="47"/>
    </row>
    <row r="1654" spans="2:2">
      <c r="B1654" s="47"/>
    </row>
    <row r="1655" spans="2:2">
      <c r="B1655" s="47"/>
    </row>
    <row r="1656" spans="2:2">
      <c r="B1656" s="47"/>
    </row>
    <row r="1657" spans="2:2">
      <c r="B1657" s="47"/>
    </row>
    <row r="1658" spans="2:2">
      <c r="B1658" s="47"/>
    </row>
    <row r="1659" spans="2:2">
      <c r="B1659" s="47"/>
    </row>
    <row r="1660" spans="2:2">
      <c r="B1660" s="47"/>
    </row>
    <row r="1661" spans="2:2">
      <c r="B1661" s="47"/>
    </row>
    <row r="1662" spans="2:2">
      <c r="B1662" s="47"/>
    </row>
    <row r="1663" spans="2:2">
      <c r="B1663" s="47"/>
    </row>
    <row r="1664" spans="2:2">
      <c r="B1664" s="47"/>
    </row>
    <row r="1665" spans="2:2">
      <c r="B1665" s="47"/>
    </row>
    <row r="1666" spans="2:2">
      <c r="B1666" s="47"/>
    </row>
    <row r="1667" spans="2:2">
      <c r="B1667" s="47"/>
    </row>
    <row r="1668" spans="2:2">
      <c r="B1668" s="47"/>
    </row>
    <row r="1669" spans="2:2">
      <c r="B1669" s="47"/>
    </row>
    <row r="1670" spans="2:2">
      <c r="B1670" s="47"/>
    </row>
    <row r="1671" spans="2:2">
      <c r="B1671" s="47"/>
    </row>
    <row r="1672" spans="2:2">
      <c r="B1672" s="47"/>
    </row>
    <row r="1673" spans="2:2">
      <c r="B1673" s="47"/>
    </row>
    <row r="1674" spans="2:2">
      <c r="B1674" s="47"/>
    </row>
    <row r="1675" spans="2:2">
      <c r="B1675" s="47"/>
    </row>
    <row r="1676" spans="2:2">
      <c r="B1676" s="47"/>
    </row>
    <row r="1677" spans="2:2">
      <c r="B1677" s="47"/>
    </row>
    <row r="1678" spans="2:2">
      <c r="B1678" s="47"/>
    </row>
    <row r="1679" spans="2:2">
      <c r="B1679" s="47"/>
    </row>
    <row r="1680" spans="2:2">
      <c r="B1680" s="47"/>
    </row>
    <row r="1681" spans="2:2">
      <c r="B1681" s="47"/>
    </row>
    <row r="1682" spans="2:2">
      <c r="B1682" s="47"/>
    </row>
    <row r="1683" spans="2:2">
      <c r="B1683" s="47"/>
    </row>
    <row r="1684" spans="2:2">
      <c r="B1684" s="47"/>
    </row>
    <row r="1685" spans="2:2">
      <c r="B1685" s="47"/>
    </row>
    <row r="1686" spans="2:2">
      <c r="B1686" s="47"/>
    </row>
    <row r="1687" spans="2:2">
      <c r="B1687" s="47"/>
    </row>
    <row r="1688" spans="2:2">
      <c r="B1688" s="47"/>
    </row>
    <row r="1689" spans="2:2">
      <c r="B1689" s="47"/>
    </row>
    <row r="1690" spans="2:2">
      <c r="B1690" s="47"/>
    </row>
    <row r="1691" spans="2:2">
      <c r="B1691" s="47"/>
    </row>
    <row r="1692" spans="2:2">
      <c r="B1692" s="47"/>
    </row>
    <row r="1693" spans="2:2">
      <c r="B1693" s="47"/>
    </row>
    <row r="1694" spans="2:2">
      <c r="B1694" s="47"/>
    </row>
    <row r="1695" spans="2:2">
      <c r="B1695" s="47"/>
    </row>
    <row r="1696" spans="2:2">
      <c r="B1696" s="47"/>
    </row>
    <row r="1697" spans="2:2">
      <c r="B1697" s="47"/>
    </row>
    <row r="1698" spans="2:2">
      <c r="B1698" s="47"/>
    </row>
    <row r="1699" spans="2:2">
      <c r="B1699" s="47"/>
    </row>
    <row r="1700" spans="2:2">
      <c r="B1700" s="47"/>
    </row>
    <row r="1701" spans="2:2">
      <c r="B1701" s="47"/>
    </row>
    <row r="1702" spans="2:2">
      <c r="B1702" s="47"/>
    </row>
    <row r="1703" spans="2:2">
      <c r="B1703" s="47"/>
    </row>
    <row r="1704" spans="2:2">
      <c r="B1704" s="47"/>
    </row>
    <row r="1705" spans="2:2">
      <c r="B1705" s="47"/>
    </row>
    <row r="1706" spans="2:2">
      <c r="B1706" s="47"/>
    </row>
    <row r="1707" spans="2:2">
      <c r="B1707" s="47"/>
    </row>
    <row r="1708" spans="2:2">
      <c r="B1708" s="47"/>
    </row>
    <row r="1709" spans="2:2">
      <c r="B1709" s="47"/>
    </row>
    <row r="1710" spans="2:2">
      <c r="B1710" s="47"/>
    </row>
    <row r="1711" spans="2:2">
      <c r="B1711" s="47"/>
    </row>
    <row r="1712" spans="2:2">
      <c r="B1712" s="47"/>
    </row>
    <row r="1713" spans="2:2">
      <c r="B1713" s="47"/>
    </row>
    <row r="1714" spans="2:2">
      <c r="B1714" s="47"/>
    </row>
    <row r="1715" spans="2:2">
      <c r="B1715" s="47"/>
    </row>
    <row r="1716" spans="2:2">
      <c r="B1716" s="47"/>
    </row>
    <row r="1717" spans="2:2">
      <c r="B1717" s="47"/>
    </row>
    <row r="1718" spans="2:2">
      <c r="B1718" s="47"/>
    </row>
    <row r="1719" spans="2:2">
      <c r="B1719" s="47"/>
    </row>
    <row r="1720" spans="2:2">
      <c r="B1720" s="47"/>
    </row>
    <row r="1721" spans="2:2">
      <c r="B1721" s="47"/>
    </row>
    <row r="1722" spans="2:2">
      <c r="B1722" s="47"/>
    </row>
    <row r="1723" spans="2:2">
      <c r="B1723" s="47"/>
    </row>
    <row r="1724" spans="2:2">
      <c r="B1724" s="47"/>
    </row>
    <row r="1725" spans="2:2">
      <c r="B1725" s="47"/>
    </row>
    <row r="1726" spans="2:2">
      <c r="B1726" s="47"/>
    </row>
    <row r="1727" spans="2:2">
      <c r="B1727" s="47"/>
    </row>
    <row r="1728" spans="2:2">
      <c r="B1728" s="47"/>
    </row>
    <row r="1729" spans="2:2">
      <c r="B1729" s="47"/>
    </row>
    <row r="1730" spans="2:2">
      <c r="B1730" s="47"/>
    </row>
    <row r="1731" spans="2:2">
      <c r="B1731" s="47"/>
    </row>
    <row r="1732" spans="2:2">
      <c r="B1732" s="47"/>
    </row>
    <row r="1733" spans="2:2">
      <c r="B1733" s="47"/>
    </row>
    <row r="1734" spans="2:2">
      <c r="B1734" s="47"/>
    </row>
    <row r="1735" spans="2:2">
      <c r="B1735" s="47"/>
    </row>
    <row r="1736" spans="2:2">
      <c r="B1736" s="47"/>
    </row>
    <row r="1737" spans="2:2">
      <c r="B1737" s="47"/>
    </row>
    <row r="1738" spans="2:2">
      <c r="B1738" s="47"/>
    </row>
    <row r="1739" spans="2:2">
      <c r="B1739" s="47"/>
    </row>
    <row r="1740" spans="2:2">
      <c r="B1740" s="47"/>
    </row>
    <row r="1741" spans="2:2">
      <c r="B1741" s="47"/>
    </row>
    <row r="1742" spans="2:2">
      <c r="B1742" s="47"/>
    </row>
    <row r="1743" spans="2:2">
      <c r="B1743" s="47"/>
    </row>
    <row r="1744" spans="2:2">
      <c r="B1744" s="47"/>
    </row>
    <row r="1745" spans="2:2">
      <c r="B1745" s="47"/>
    </row>
    <row r="1746" spans="2:2">
      <c r="B1746" s="47"/>
    </row>
    <row r="1747" spans="2:2">
      <c r="B1747" s="47"/>
    </row>
    <row r="1748" spans="2:2">
      <c r="B1748" s="47"/>
    </row>
    <row r="1749" spans="2:2">
      <c r="B1749" s="47"/>
    </row>
    <row r="1750" spans="2:2">
      <c r="B1750" s="47"/>
    </row>
    <row r="1751" spans="2:2">
      <c r="B1751" s="47"/>
    </row>
    <row r="1752" spans="2:2">
      <c r="B1752" s="47"/>
    </row>
    <row r="1753" spans="2:2">
      <c r="B1753" s="47"/>
    </row>
    <row r="1754" spans="2:2">
      <c r="B1754" s="47"/>
    </row>
    <row r="1755" spans="2:2">
      <c r="B1755" s="47"/>
    </row>
    <row r="1756" spans="2:2">
      <c r="B1756" s="47"/>
    </row>
    <row r="1757" spans="2:2">
      <c r="B1757" s="47"/>
    </row>
    <row r="1758" spans="2:2">
      <c r="B1758" s="47"/>
    </row>
    <row r="1759" spans="2:2">
      <c r="B1759" s="47"/>
    </row>
    <row r="1760" spans="2:2">
      <c r="B1760" s="47"/>
    </row>
    <row r="1761" spans="2:2">
      <c r="B1761" s="47"/>
    </row>
    <row r="1762" spans="2:2">
      <c r="B1762" s="47"/>
    </row>
    <row r="1763" spans="2:2">
      <c r="B1763" s="47"/>
    </row>
    <row r="1764" spans="2:2">
      <c r="B1764" s="47"/>
    </row>
    <row r="1765" spans="2:2">
      <c r="B1765" s="47"/>
    </row>
    <row r="1766" spans="2:2">
      <c r="B1766" s="47"/>
    </row>
    <row r="1767" spans="2:2">
      <c r="B1767" s="47"/>
    </row>
    <row r="1768" spans="2:2">
      <c r="B1768" s="47"/>
    </row>
    <row r="1769" spans="2:2">
      <c r="B1769" s="47"/>
    </row>
    <row r="1770" spans="2:2">
      <c r="B1770" s="47"/>
    </row>
    <row r="1771" spans="2:2">
      <c r="B1771" s="47"/>
    </row>
    <row r="1772" spans="2:2">
      <c r="B1772" s="47"/>
    </row>
    <row r="1773" spans="2:2">
      <c r="B1773" s="47"/>
    </row>
    <row r="1774" spans="2:2">
      <c r="B1774" s="47"/>
    </row>
    <row r="1775" spans="2:2">
      <c r="B1775" s="47"/>
    </row>
    <row r="1776" spans="2:2">
      <c r="B1776" s="47"/>
    </row>
    <row r="1777" spans="2:2">
      <c r="B1777" s="47"/>
    </row>
    <row r="1778" spans="2:2">
      <c r="B1778" s="47"/>
    </row>
    <row r="1779" spans="2:2">
      <c r="B1779" s="47"/>
    </row>
    <row r="1780" spans="2:2">
      <c r="B1780" s="47"/>
    </row>
    <row r="1781" spans="2:2">
      <c r="B1781" s="47"/>
    </row>
    <row r="1782" spans="2:2">
      <c r="B1782" s="47"/>
    </row>
    <row r="1783" spans="2:2">
      <c r="B1783" s="47"/>
    </row>
    <row r="1784" spans="2:2">
      <c r="B1784" s="47"/>
    </row>
    <row r="1785" spans="2:2">
      <c r="B1785" s="47"/>
    </row>
    <row r="1786" spans="2:2">
      <c r="B1786" s="47"/>
    </row>
    <row r="1787" spans="2:2">
      <c r="B1787" s="47"/>
    </row>
    <row r="1788" spans="2:2">
      <c r="B1788" s="47"/>
    </row>
    <row r="1789" spans="2:2">
      <c r="B1789" s="47"/>
    </row>
    <row r="1790" spans="2:2">
      <c r="B1790" s="47"/>
    </row>
    <row r="1791" spans="2:2">
      <c r="B1791" s="47"/>
    </row>
    <row r="1792" spans="2:2">
      <c r="B1792" s="47"/>
    </row>
    <row r="1793" spans="2:2">
      <c r="B1793" s="47"/>
    </row>
    <row r="1794" spans="2:2">
      <c r="B1794" s="47"/>
    </row>
    <row r="1795" spans="2:2">
      <c r="B1795" s="47"/>
    </row>
    <row r="1796" spans="2:2">
      <c r="B1796" s="47"/>
    </row>
    <row r="1797" spans="2:2">
      <c r="B1797" s="47"/>
    </row>
    <row r="1798" spans="2:2">
      <c r="B1798" s="47"/>
    </row>
    <row r="1799" spans="2:2">
      <c r="B1799" s="47"/>
    </row>
    <row r="1800" spans="2:2">
      <c r="B1800" s="47"/>
    </row>
    <row r="1801" spans="2:2">
      <c r="B1801" s="47"/>
    </row>
    <row r="1802" spans="2:2">
      <c r="B1802" s="47"/>
    </row>
    <row r="1803" spans="2:2">
      <c r="B1803" s="47"/>
    </row>
    <row r="1804" spans="2:2">
      <c r="B1804" s="47"/>
    </row>
    <row r="1805" spans="2:2">
      <c r="B1805" s="47"/>
    </row>
    <row r="1806" spans="2:2">
      <c r="B1806" s="47"/>
    </row>
    <row r="1807" spans="2:2">
      <c r="B1807" s="47"/>
    </row>
    <row r="1808" spans="2:2">
      <c r="B1808" s="47"/>
    </row>
    <row r="1809" spans="2:2">
      <c r="B1809" s="47"/>
    </row>
    <row r="1810" spans="2:2">
      <c r="B1810" s="47"/>
    </row>
    <row r="1811" spans="2:2">
      <c r="B1811" s="47"/>
    </row>
    <row r="1812" spans="2:2">
      <c r="B1812" s="47"/>
    </row>
    <row r="1813" spans="2:2">
      <c r="B1813" s="47"/>
    </row>
    <row r="1814" spans="2:2">
      <c r="B1814" s="47"/>
    </row>
    <row r="1815" spans="2:2">
      <c r="B1815" s="47"/>
    </row>
    <row r="1816" spans="2:2">
      <c r="B1816" s="47"/>
    </row>
    <row r="1817" spans="2:2">
      <c r="B1817" s="47"/>
    </row>
    <row r="1818" spans="2:2">
      <c r="B1818" s="47"/>
    </row>
    <row r="1819" spans="2:2">
      <c r="B1819" s="47"/>
    </row>
    <row r="1820" spans="2:2">
      <c r="B1820" s="47"/>
    </row>
    <row r="1821" spans="2:2">
      <c r="B1821" s="47"/>
    </row>
    <row r="1822" spans="2:2">
      <c r="B1822" s="47"/>
    </row>
    <row r="1823" spans="2:2">
      <c r="B1823" s="47"/>
    </row>
    <row r="1824" spans="2:2">
      <c r="B1824" s="47"/>
    </row>
    <row r="1825" spans="2:2">
      <c r="B1825" s="47"/>
    </row>
    <row r="1826" spans="2:2">
      <c r="B1826" s="47"/>
    </row>
    <row r="1827" spans="2:2">
      <c r="B1827" s="47"/>
    </row>
    <row r="1828" spans="2:2">
      <c r="B1828" s="47"/>
    </row>
    <row r="1829" spans="2:2">
      <c r="B1829" s="47"/>
    </row>
    <row r="1830" spans="2:2">
      <c r="B1830" s="47"/>
    </row>
    <row r="1831" spans="2:2">
      <c r="B1831" s="47"/>
    </row>
    <row r="1832" spans="2:2">
      <c r="B1832" s="47"/>
    </row>
    <row r="1833" spans="2:2">
      <c r="B1833" s="47"/>
    </row>
    <row r="1834" spans="2:2">
      <c r="B1834" s="47"/>
    </row>
    <row r="1835" spans="2:2">
      <c r="B1835" s="47"/>
    </row>
    <row r="1836" spans="2:2">
      <c r="B1836" s="47"/>
    </row>
    <row r="1837" spans="2:2">
      <c r="B1837" s="47"/>
    </row>
    <row r="1838" spans="2:2">
      <c r="B1838" s="47"/>
    </row>
    <row r="1839" spans="2:2">
      <c r="B1839" s="47"/>
    </row>
    <row r="1840" spans="2:2">
      <c r="B1840" s="47"/>
    </row>
    <row r="1841" spans="2:2">
      <c r="B1841" s="47"/>
    </row>
    <row r="1842" spans="2:2">
      <c r="B1842" s="47"/>
    </row>
    <row r="1843" spans="2:2">
      <c r="B1843" s="47"/>
    </row>
    <row r="1844" spans="2:2">
      <c r="B1844" s="47"/>
    </row>
    <row r="1845" spans="2:2">
      <c r="B1845" s="47"/>
    </row>
    <row r="1846" spans="2:2">
      <c r="B1846" s="47"/>
    </row>
    <row r="1847" spans="2:2">
      <c r="B1847" s="47"/>
    </row>
    <row r="1848" spans="2:2">
      <c r="B1848" s="47"/>
    </row>
    <row r="1849" spans="2:2">
      <c r="B1849" s="47"/>
    </row>
    <row r="1850" spans="2:2">
      <c r="B1850" s="47"/>
    </row>
    <row r="1851" spans="2:2">
      <c r="B1851" s="47"/>
    </row>
    <row r="1852" spans="2:2">
      <c r="B1852" s="47"/>
    </row>
    <row r="1853" spans="2:2">
      <c r="B1853" s="47"/>
    </row>
    <row r="1854" spans="2:2">
      <c r="B1854" s="47"/>
    </row>
    <row r="1855" spans="2:2">
      <c r="B1855" s="47"/>
    </row>
    <row r="1856" spans="2:2">
      <c r="B1856" s="47"/>
    </row>
    <row r="1857" spans="2:2">
      <c r="B1857" s="47"/>
    </row>
    <row r="1858" spans="2:2">
      <c r="B1858" s="47"/>
    </row>
    <row r="1859" spans="2:2">
      <c r="B1859" s="47"/>
    </row>
    <row r="1860" spans="2:2">
      <c r="B1860" s="47"/>
    </row>
    <row r="1861" spans="2:2">
      <c r="B1861" s="47"/>
    </row>
    <row r="1862" spans="2:2">
      <c r="B1862" s="47"/>
    </row>
    <row r="1863" spans="2:2">
      <c r="B1863" s="47"/>
    </row>
    <row r="1864" spans="2:2">
      <c r="B1864" s="47"/>
    </row>
    <row r="1865" spans="2:2">
      <c r="B1865" s="47"/>
    </row>
    <row r="1866" spans="2:2">
      <c r="B1866" s="47"/>
    </row>
    <row r="1867" spans="2:2">
      <c r="B1867" s="47"/>
    </row>
    <row r="1868" spans="2:2">
      <c r="B1868" s="47"/>
    </row>
    <row r="1869" spans="2:2">
      <c r="B1869" s="47"/>
    </row>
    <row r="1870" spans="2:2">
      <c r="B1870" s="47"/>
    </row>
    <row r="1871" spans="2:2">
      <c r="B1871" s="47"/>
    </row>
    <row r="1872" spans="2:2">
      <c r="B1872" s="47"/>
    </row>
    <row r="1873" spans="2:2">
      <c r="B1873" s="47"/>
    </row>
    <row r="1874" spans="2:2">
      <c r="B1874" s="47"/>
    </row>
    <row r="1875" spans="2:2">
      <c r="B1875" s="47"/>
    </row>
    <row r="1876" spans="2:2">
      <c r="B1876" s="47"/>
    </row>
    <row r="1877" spans="2:2">
      <c r="B1877" s="47"/>
    </row>
    <row r="1878" spans="2:2">
      <c r="B1878" s="47"/>
    </row>
    <row r="1879" spans="2:2">
      <c r="B1879" s="47"/>
    </row>
    <row r="1880" spans="2:2">
      <c r="B1880" s="47"/>
    </row>
    <row r="1881" spans="2:2">
      <c r="B1881" s="47"/>
    </row>
    <row r="1882" spans="2:2">
      <c r="B1882" s="47"/>
    </row>
    <row r="1883" spans="2:2">
      <c r="B1883" s="47"/>
    </row>
    <row r="1884" spans="2:2">
      <c r="B1884" s="47"/>
    </row>
    <row r="1885" spans="2:2">
      <c r="B1885" s="47"/>
    </row>
    <row r="1886" spans="2:2">
      <c r="B1886" s="47"/>
    </row>
    <row r="1887" spans="2:2">
      <c r="B1887" s="47"/>
    </row>
    <row r="1888" spans="2:2">
      <c r="B1888" s="47"/>
    </row>
    <row r="1889" spans="2:2">
      <c r="B1889" s="47"/>
    </row>
    <row r="1890" spans="2:2">
      <c r="B1890" s="47"/>
    </row>
    <row r="1891" spans="2:2">
      <c r="B1891" s="47"/>
    </row>
    <row r="1892" spans="2:2">
      <c r="B1892" s="47"/>
    </row>
    <row r="1893" spans="2:2">
      <c r="B1893" s="47"/>
    </row>
    <row r="1894" spans="2:2">
      <c r="B1894" s="47"/>
    </row>
    <row r="1895" spans="2:2">
      <c r="B1895" s="47"/>
    </row>
    <row r="1896" spans="2:2">
      <c r="B1896" s="47"/>
    </row>
    <row r="1897" spans="2:2">
      <c r="B1897" s="47"/>
    </row>
    <row r="1898" spans="2:2">
      <c r="B1898" s="47"/>
    </row>
    <row r="1899" spans="2:2">
      <c r="B1899" s="47"/>
    </row>
    <row r="1900" spans="2:2">
      <c r="B1900" s="47"/>
    </row>
    <row r="1901" spans="2:2">
      <c r="B1901" s="47"/>
    </row>
    <row r="1902" spans="2:2">
      <c r="B1902" s="47"/>
    </row>
    <row r="1903" spans="2:2">
      <c r="B1903" s="47"/>
    </row>
    <row r="1904" spans="2:2">
      <c r="B1904" s="47"/>
    </row>
    <row r="1905" spans="2:2">
      <c r="B1905" s="47"/>
    </row>
    <row r="1906" spans="2:2">
      <c r="B1906" s="47"/>
    </row>
    <row r="1907" spans="2:2">
      <c r="B1907" s="47"/>
    </row>
    <row r="1908" spans="2:2">
      <c r="B1908" s="47"/>
    </row>
    <row r="1909" spans="2:2">
      <c r="B1909" s="47"/>
    </row>
    <row r="1910" spans="2:2">
      <c r="B1910" s="47"/>
    </row>
    <row r="1911" spans="2:2">
      <c r="B1911" s="47"/>
    </row>
    <row r="1912" spans="2:2">
      <c r="B1912" s="47"/>
    </row>
    <row r="1913" spans="2:2">
      <c r="B1913" s="47"/>
    </row>
    <row r="1914" spans="2:2">
      <c r="B1914" s="47"/>
    </row>
    <row r="1915" spans="2:2">
      <c r="B1915" s="47"/>
    </row>
    <row r="1916" spans="2:2">
      <c r="B1916" s="47"/>
    </row>
    <row r="1917" spans="2:2">
      <c r="B1917" s="47"/>
    </row>
    <row r="1918" spans="2:2">
      <c r="B1918" s="47"/>
    </row>
    <row r="1919" spans="2:2">
      <c r="B1919" s="47"/>
    </row>
    <row r="1920" spans="2:2">
      <c r="B1920" s="47"/>
    </row>
    <row r="1921" spans="2:2">
      <c r="B1921" s="47"/>
    </row>
    <row r="1922" spans="2:2">
      <c r="B1922" s="47"/>
    </row>
    <row r="1923" spans="2:2">
      <c r="B1923" s="47"/>
    </row>
    <row r="1924" spans="2:2">
      <c r="B1924" s="47"/>
    </row>
    <row r="1925" spans="2:2">
      <c r="B1925" s="47"/>
    </row>
    <row r="1926" spans="2:2">
      <c r="B1926" s="47"/>
    </row>
    <row r="1927" spans="2:2">
      <c r="B1927" s="47"/>
    </row>
    <row r="1928" spans="2:2">
      <c r="B1928" s="47"/>
    </row>
    <row r="1929" spans="2:2">
      <c r="B1929" s="47"/>
    </row>
    <row r="1930" spans="2:2">
      <c r="B1930" s="47"/>
    </row>
    <row r="1931" spans="2:2">
      <c r="B1931" s="47"/>
    </row>
    <row r="1932" spans="2:2">
      <c r="B1932" s="47"/>
    </row>
    <row r="1933" spans="2:2">
      <c r="B1933" s="47"/>
    </row>
    <row r="1934" spans="2:2">
      <c r="B1934" s="47"/>
    </row>
    <row r="1935" spans="2:2">
      <c r="B1935" s="47"/>
    </row>
    <row r="1936" spans="2:2">
      <c r="B1936" s="47"/>
    </row>
    <row r="1937" spans="2:2">
      <c r="B1937" s="47"/>
    </row>
    <row r="1938" spans="2:2">
      <c r="B1938" s="47"/>
    </row>
    <row r="1939" spans="2:2">
      <c r="B1939" s="47"/>
    </row>
    <row r="1940" spans="2:2">
      <c r="B1940" s="47"/>
    </row>
    <row r="1941" spans="2:2">
      <c r="B1941" s="47"/>
    </row>
    <row r="1942" spans="2:2">
      <c r="B1942" s="47"/>
    </row>
    <row r="1943" spans="2:2">
      <c r="B1943" s="47"/>
    </row>
    <row r="1944" spans="2:2">
      <c r="B1944" s="47"/>
    </row>
    <row r="1945" spans="2:2">
      <c r="B1945" s="47"/>
    </row>
    <row r="1946" spans="2:2">
      <c r="B1946" s="47"/>
    </row>
    <row r="1947" spans="2:2">
      <c r="B1947" s="47"/>
    </row>
    <row r="1948" spans="2:2">
      <c r="B1948" s="47"/>
    </row>
    <row r="1949" spans="2:2">
      <c r="B1949" s="47"/>
    </row>
    <row r="1950" spans="2:2">
      <c r="B1950" s="47"/>
    </row>
    <row r="1951" spans="2:2">
      <c r="B1951" s="47"/>
    </row>
    <row r="1952" spans="2:2">
      <c r="B1952" s="47"/>
    </row>
    <row r="1953" spans="2:2">
      <c r="B1953" s="47"/>
    </row>
    <row r="1954" spans="2:2">
      <c r="B1954" s="47"/>
    </row>
    <row r="1955" spans="2:2">
      <c r="B1955" s="47"/>
    </row>
    <row r="1956" spans="2:2">
      <c r="B1956" s="47"/>
    </row>
    <row r="1957" spans="2:2">
      <c r="B1957" s="47"/>
    </row>
    <row r="1958" spans="2:2">
      <c r="B1958" s="47"/>
    </row>
    <row r="1959" spans="2:2">
      <c r="B1959" s="47"/>
    </row>
    <row r="1960" spans="2:2">
      <c r="B1960" s="47"/>
    </row>
    <row r="1961" spans="2:2">
      <c r="B1961" s="47"/>
    </row>
    <row r="1962" spans="2:2">
      <c r="B1962" s="47"/>
    </row>
    <row r="1963" spans="2:2">
      <c r="B1963" s="47"/>
    </row>
    <row r="1964" spans="2:2">
      <c r="B1964" s="47"/>
    </row>
    <row r="1965" spans="2:2">
      <c r="B1965" s="47"/>
    </row>
    <row r="1966" spans="2:2">
      <c r="B1966" s="47"/>
    </row>
    <row r="1967" spans="2:2">
      <c r="B1967" s="47"/>
    </row>
    <row r="1968" spans="2:2">
      <c r="B1968" s="47"/>
    </row>
    <row r="1969" spans="2:2">
      <c r="B1969" s="47"/>
    </row>
    <row r="1970" spans="2:2">
      <c r="B1970" s="47"/>
    </row>
    <row r="1971" spans="2:2">
      <c r="B1971" s="47"/>
    </row>
    <row r="1972" spans="2:2">
      <c r="B1972" s="47"/>
    </row>
    <row r="1973" spans="2:2">
      <c r="B1973" s="47"/>
    </row>
    <row r="1974" spans="2:2">
      <c r="B1974" s="47"/>
    </row>
    <row r="1975" spans="2:2">
      <c r="B1975" s="47"/>
    </row>
    <row r="1976" spans="2:2">
      <c r="B1976" s="47"/>
    </row>
    <row r="1977" spans="2:2">
      <c r="B1977" s="47"/>
    </row>
    <row r="1978" spans="2:2">
      <c r="B1978" s="47"/>
    </row>
    <row r="1979" spans="2:2">
      <c r="B1979" s="47"/>
    </row>
    <row r="1980" spans="2:2">
      <c r="B1980" s="47"/>
    </row>
    <row r="1981" spans="2:2">
      <c r="B1981" s="47"/>
    </row>
    <row r="1982" spans="2:2">
      <c r="B1982" s="47"/>
    </row>
    <row r="1983" spans="2:2">
      <c r="B1983" s="47"/>
    </row>
    <row r="1984" spans="2:2">
      <c r="B1984" s="47"/>
    </row>
    <row r="1985" spans="2:2">
      <c r="B1985" s="47"/>
    </row>
    <row r="1986" spans="2:2">
      <c r="B1986" s="47"/>
    </row>
    <row r="1987" spans="2:2">
      <c r="B1987" s="47"/>
    </row>
    <row r="1988" spans="2:2">
      <c r="B1988" s="47"/>
    </row>
    <row r="1989" spans="2:2">
      <c r="B1989" s="47"/>
    </row>
    <row r="1990" spans="2:2">
      <c r="B1990" s="47"/>
    </row>
    <row r="1991" spans="2:2">
      <c r="B1991" s="47"/>
    </row>
    <row r="1992" spans="2:2">
      <c r="B1992" s="47"/>
    </row>
    <row r="1993" spans="2:2">
      <c r="B1993" s="47"/>
    </row>
    <row r="1994" spans="2:2">
      <c r="B1994" s="47"/>
    </row>
    <row r="1995" spans="2:2">
      <c r="B1995" s="47"/>
    </row>
    <row r="1996" spans="2:2">
      <c r="B1996" s="47"/>
    </row>
    <row r="1997" spans="2:2">
      <c r="B1997" s="47"/>
    </row>
    <row r="1998" spans="2:2">
      <c r="B1998" s="47"/>
    </row>
    <row r="1999" spans="2:2">
      <c r="B1999" s="47"/>
    </row>
    <row r="2000" spans="2:2">
      <c r="B2000" s="47"/>
    </row>
    <row r="2001" spans="2:2">
      <c r="B2001" s="47"/>
    </row>
    <row r="2002" spans="2:2">
      <c r="B2002" s="47"/>
    </row>
    <row r="2003" spans="2:2">
      <c r="B2003" s="47"/>
    </row>
    <row r="2004" spans="2:2">
      <c r="B2004" s="47"/>
    </row>
    <row r="2005" spans="2:2">
      <c r="B2005" s="47"/>
    </row>
    <row r="2006" spans="2:2">
      <c r="B2006" s="47"/>
    </row>
    <row r="2007" spans="2:2">
      <c r="B2007" s="47"/>
    </row>
    <row r="2008" spans="2:2">
      <c r="B2008" s="47"/>
    </row>
    <row r="2009" spans="2:2">
      <c r="B2009" s="47"/>
    </row>
    <row r="2010" spans="2:2">
      <c r="B2010" s="47"/>
    </row>
    <row r="2011" spans="2:2">
      <c r="B2011" s="47"/>
    </row>
    <row r="2012" spans="2:2">
      <c r="B2012" s="47"/>
    </row>
    <row r="2013" spans="2:2">
      <c r="B2013" s="47"/>
    </row>
    <row r="2014" spans="2:2">
      <c r="B2014" s="47"/>
    </row>
    <row r="2015" spans="2:2">
      <c r="B2015" s="47"/>
    </row>
    <row r="2016" spans="2:2">
      <c r="B2016" s="47"/>
    </row>
    <row r="2017" spans="2:2">
      <c r="B2017" s="47"/>
    </row>
    <row r="2018" spans="2:2">
      <c r="B2018" s="47"/>
    </row>
    <row r="2019" spans="2:2">
      <c r="B2019" s="47"/>
    </row>
    <row r="2020" spans="2:2">
      <c r="B2020" s="47"/>
    </row>
    <row r="2021" spans="2:2">
      <c r="B2021" s="47"/>
    </row>
    <row r="2022" spans="2:2">
      <c r="B2022" s="47"/>
    </row>
    <row r="2023" spans="2:2">
      <c r="B2023" s="47"/>
    </row>
    <row r="2024" spans="2:2">
      <c r="B2024" s="47"/>
    </row>
    <row r="2025" spans="2:2">
      <c r="B2025" s="47"/>
    </row>
    <row r="2026" spans="2:2">
      <c r="B2026" s="47"/>
    </row>
    <row r="2027" spans="2:2">
      <c r="B2027" s="47"/>
    </row>
    <row r="2028" spans="2:2">
      <c r="B2028" s="47"/>
    </row>
    <row r="2029" spans="2:2">
      <c r="B2029" s="47"/>
    </row>
    <row r="2030" spans="2:2">
      <c r="B2030" s="47"/>
    </row>
    <row r="2031" spans="2:2">
      <c r="B2031" s="47"/>
    </row>
    <row r="2032" spans="2:2">
      <c r="B2032" s="47"/>
    </row>
    <row r="2033" spans="2:2">
      <c r="B2033" s="47"/>
    </row>
    <row r="2034" spans="2:2">
      <c r="B2034" s="47"/>
    </row>
    <row r="2035" spans="2:2">
      <c r="B2035" s="47"/>
    </row>
    <row r="2036" spans="2:2">
      <c r="B2036" s="47"/>
    </row>
    <row r="2037" spans="2:2">
      <c r="B2037" s="47"/>
    </row>
    <row r="2038" spans="2:2">
      <c r="B2038" s="47"/>
    </row>
    <row r="2039" spans="2:2">
      <c r="B2039" s="47"/>
    </row>
    <row r="2040" spans="2:2">
      <c r="B2040" s="47"/>
    </row>
    <row r="2041" spans="2:2">
      <c r="B2041" s="47"/>
    </row>
    <row r="2042" spans="2:2">
      <c r="B2042" s="47"/>
    </row>
    <row r="2043" spans="2:2">
      <c r="B2043" s="47"/>
    </row>
    <row r="2044" spans="2:2">
      <c r="B2044" s="47"/>
    </row>
    <row r="2045" spans="2:2">
      <c r="B2045" s="47"/>
    </row>
    <row r="2046" spans="2:2">
      <c r="B2046" s="47"/>
    </row>
    <row r="2047" spans="2:2">
      <c r="B2047" s="47"/>
    </row>
    <row r="2048" spans="2:2">
      <c r="B2048" s="47"/>
    </row>
    <row r="2049" spans="2:2">
      <c r="B2049" s="47"/>
    </row>
    <row r="2050" spans="2:2">
      <c r="B2050" s="47"/>
    </row>
    <row r="2051" spans="2:2">
      <c r="B2051" s="47"/>
    </row>
    <row r="2052" spans="2:2">
      <c r="B2052" s="47"/>
    </row>
    <row r="2053" spans="2:2">
      <c r="B2053" s="47"/>
    </row>
    <row r="2054" spans="2:2">
      <c r="B2054" s="47"/>
    </row>
    <row r="2055" spans="2:2">
      <c r="B2055" s="47"/>
    </row>
    <row r="2056" spans="2:2">
      <c r="B2056" s="47"/>
    </row>
    <row r="2057" spans="2:2">
      <c r="B2057" s="47"/>
    </row>
    <row r="2058" spans="2:2">
      <c r="B2058" s="47"/>
    </row>
    <row r="2059" spans="2:2">
      <c r="B2059" s="47"/>
    </row>
    <row r="2060" spans="2:2">
      <c r="B2060" s="47"/>
    </row>
    <row r="2061" spans="2:2">
      <c r="B2061" s="47"/>
    </row>
    <row r="2062" spans="2:2">
      <c r="B2062" s="47"/>
    </row>
    <row r="2063" spans="2:2">
      <c r="B2063" s="47"/>
    </row>
    <row r="2064" spans="2:2">
      <c r="B2064" s="47"/>
    </row>
    <row r="2065" spans="2:2">
      <c r="B2065" s="47"/>
    </row>
    <row r="2066" spans="2:2">
      <c r="B2066" s="47"/>
    </row>
    <row r="2067" spans="2:2">
      <c r="B2067" s="47"/>
    </row>
    <row r="2068" spans="2:2">
      <c r="B2068" s="47"/>
    </row>
    <row r="2069" spans="2:2">
      <c r="B2069" s="47"/>
    </row>
    <row r="2070" spans="2:2">
      <c r="B2070" s="47"/>
    </row>
    <row r="2071" spans="2:2">
      <c r="B2071" s="47"/>
    </row>
    <row r="2072" spans="2:2">
      <c r="B2072" s="47"/>
    </row>
    <row r="2073" spans="2:2">
      <c r="B2073" s="47"/>
    </row>
    <row r="2074" spans="2:2">
      <c r="B2074" s="47"/>
    </row>
    <row r="2075" spans="2:2">
      <c r="B2075" s="47"/>
    </row>
    <row r="2076" spans="2:2">
      <c r="B2076" s="47"/>
    </row>
    <row r="2077" spans="2:2">
      <c r="B2077" s="47"/>
    </row>
    <row r="2078" spans="2:2">
      <c r="B2078" s="47"/>
    </row>
    <row r="2079" spans="2:2">
      <c r="B2079" s="47"/>
    </row>
    <row r="2080" spans="2:2">
      <c r="B2080" s="47"/>
    </row>
    <row r="2081" spans="2:2">
      <c r="B2081" s="47"/>
    </row>
    <row r="2082" spans="2:2">
      <c r="B2082" s="47"/>
    </row>
    <row r="2083" spans="2:2">
      <c r="B2083" s="47"/>
    </row>
    <row r="2084" spans="2:2">
      <c r="B2084" s="47"/>
    </row>
    <row r="2085" spans="2:2">
      <c r="B2085" s="47"/>
    </row>
    <row r="2086" spans="2:2">
      <c r="B2086" s="47"/>
    </row>
    <row r="2087" spans="2:2">
      <c r="B2087" s="47"/>
    </row>
    <row r="2088" spans="2:2">
      <c r="B2088" s="47"/>
    </row>
    <row r="2089" spans="2:2">
      <c r="B2089" s="47"/>
    </row>
    <row r="2090" spans="2:2">
      <c r="B2090" s="47"/>
    </row>
    <row r="2091" spans="2:2">
      <c r="B2091" s="47"/>
    </row>
    <row r="2092" spans="2:2">
      <c r="B2092" s="47"/>
    </row>
    <row r="2093" spans="2:2">
      <c r="B2093" s="47"/>
    </row>
    <row r="2094" spans="2:2">
      <c r="B2094" s="47"/>
    </row>
    <row r="2095" spans="2:2">
      <c r="B2095" s="47"/>
    </row>
    <row r="2096" spans="2:2">
      <c r="B2096" s="47"/>
    </row>
    <row r="2097" spans="2:2">
      <c r="B2097" s="47"/>
    </row>
    <row r="2098" spans="2:2">
      <c r="B2098" s="47"/>
    </row>
    <row r="2099" spans="2:2">
      <c r="B2099" s="47"/>
    </row>
    <row r="2100" spans="2:2">
      <c r="B2100" s="47"/>
    </row>
    <row r="2101" spans="2:2">
      <c r="B2101" s="47"/>
    </row>
    <row r="2102" spans="2:2">
      <c r="B2102" s="47"/>
    </row>
    <row r="2103" spans="2:2">
      <c r="B2103" s="47"/>
    </row>
    <row r="2104" spans="2:2">
      <c r="B2104" s="47"/>
    </row>
    <row r="2105" spans="2:2">
      <c r="B2105" s="47"/>
    </row>
    <row r="2106" spans="2:2">
      <c r="B2106" s="47"/>
    </row>
    <row r="2107" spans="2:2">
      <c r="B2107" s="47"/>
    </row>
    <row r="2108" spans="2:2">
      <c r="B2108" s="47"/>
    </row>
    <row r="2109" spans="2:2">
      <c r="B2109" s="47"/>
    </row>
    <row r="2110" spans="2:2">
      <c r="B2110" s="47"/>
    </row>
    <row r="2111" spans="2:2">
      <c r="B2111" s="47"/>
    </row>
    <row r="2112" spans="2:2">
      <c r="B2112" s="47"/>
    </row>
    <row r="2113" spans="2:2">
      <c r="B2113" s="47"/>
    </row>
    <row r="2114" spans="2:2">
      <c r="B2114" s="47"/>
    </row>
    <row r="2115" spans="2:2">
      <c r="B2115" s="47"/>
    </row>
    <row r="2116" spans="2:2">
      <c r="B2116" s="47"/>
    </row>
    <row r="2117" spans="2:2">
      <c r="B2117" s="47"/>
    </row>
    <row r="2118" spans="2:2">
      <c r="B2118" s="47"/>
    </row>
    <row r="2119" spans="2:2">
      <c r="B2119" s="47"/>
    </row>
    <row r="2120" spans="2:2">
      <c r="B2120" s="47"/>
    </row>
    <row r="2121" spans="2:2">
      <c r="B2121" s="47"/>
    </row>
    <row r="2122" spans="2:2">
      <c r="B2122" s="47"/>
    </row>
    <row r="2123" spans="2:2">
      <c r="B2123" s="47"/>
    </row>
    <row r="2124" spans="2:2">
      <c r="B2124" s="47"/>
    </row>
    <row r="2125" spans="2:2">
      <c r="B2125" s="47"/>
    </row>
    <row r="2126" spans="2:2">
      <c r="B2126" s="47"/>
    </row>
    <row r="2127" spans="2:2">
      <c r="B2127" s="47"/>
    </row>
    <row r="2128" spans="2:2">
      <c r="B2128" s="47"/>
    </row>
    <row r="2129" spans="2:2">
      <c r="B2129" s="47"/>
    </row>
    <row r="2130" spans="2:2">
      <c r="B2130" s="47"/>
    </row>
    <row r="2131" spans="2:2">
      <c r="B2131" s="47"/>
    </row>
    <row r="2132" spans="2:2">
      <c r="B2132" s="47"/>
    </row>
    <row r="2133" spans="2:2">
      <c r="B2133" s="47"/>
    </row>
    <row r="2134" spans="2:2">
      <c r="B2134" s="47"/>
    </row>
    <row r="2135" spans="2:2">
      <c r="B2135" s="47"/>
    </row>
    <row r="2136" spans="2:2">
      <c r="B2136" s="47"/>
    </row>
    <row r="2137" spans="2:2">
      <c r="B2137" s="47"/>
    </row>
    <row r="2138" spans="2:2">
      <c r="B2138" s="47"/>
    </row>
    <row r="2139" spans="2:2">
      <c r="B2139" s="47"/>
    </row>
    <row r="2140" spans="2:2">
      <c r="B2140" s="47"/>
    </row>
    <row r="2141" spans="2:2">
      <c r="B2141" s="47"/>
    </row>
    <row r="2142" spans="2:2">
      <c r="B2142" s="47"/>
    </row>
    <row r="2143" spans="2:2">
      <c r="B2143" s="47"/>
    </row>
    <row r="2144" spans="2:2">
      <c r="B2144" s="47"/>
    </row>
    <row r="2145" spans="2:2">
      <c r="B2145" s="47"/>
    </row>
    <row r="2146" spans="2:2">
      <c r="B2146" s="47"/>
    </row>
    <row r="2147" spans="2:2">
      <c r="B2147" s="47"/>
    </row>
    <row r="2148" spans="2:2">
      <c r="B2148" s="47"/>
    </row>
    <row r="2149" spans="2:2">
      <c r="B2149" s="47"/>
    </row>
    <row r="2150" spans="2:2">
      <c r="B2150" s="47"/>
    </row>
    <row r="2151" spans="2:2">
      <c r="B2151" s="47"/>
    </row>
    <row r="2152" spans="2:2">
      <c r="B2152" s="47"/>
    </row>
    <row r="2153" spans="2:2">
      <c r="B2153" s="47"/>
    </row>
    <row r="2154" spans="2:2">
      <c r="B2154" s="47"/>
    </row>
    <row r="2155" spans="2:2">
      <c r="B2155" s="47"/>
    </row>
    <row r="2156" spans="2:2">
      <c r="B2156" s="47"/>
    </row>
    <row r="2157" spans="2:2">
      <c r="B2157" s="47"/>
    </row>
    <row r="2158" spans="2:2">
      <c r="B2158" s="47"/>
    </row>
    <row r="2159" spans="2:2">
      <c r="B2159" s="47"/>
    </row>
    <row r="2160" spans="2:2">
      <c r="B2160" s="47"/>
    </row>
    <row r="2161" spans="2:2">
      <c r="B2161" s="47"/>
    </row>
    <row r="2162" spans="2:2">
      <c r="B2162" s="47"/>
    </row>
    <row r="2163" spans="2:2">
      <c r="B2163" s="47"/>
    </row>
    <row r="2164" spans="2:2">
      <c r="B2164" s="47"/>
    </row>
    <row r="2165" spans="2:2">
      <c r="B2165" s="47"/>
    </row>
    <row r="2166" spans="2:2">
      <c r="B2166" s="47"/>
    </row>
    <row r="2167" spans="2:2">
      <c r="B2167" s="47"/>
    </row>
    <row r="2168" spans="2:2">
      <c r="B2168" s="47"/>
    </row>
    <row r="2169" spans="2:2">
      <c r="B2169" s="47"/>
    </row>
    <row r="2170" spans="2:2">
      <c r="B2170" s="47"/>
    </row>
    <row r="2171" spans="2:2">
      <c r="B2171" s="47"/>
    </row>
    <row r="2172" spans="2:2">
      <c r="B2172" s="47"/>
    </row>
    <row r="2173" spans="2:2">
      <c r="B2173" s="47"/>
    </row>
    <row r="2174" spans="2:2">
      <c r="B2174" s="47"/>
    </row>
    <row r="2175" spans="2:2">
      <c r="B2175" s="47"/>
    </row>
    <row r="2176" spans="2:2">
      <c r="B2176" s="47"/>
    </row>
    <row r="2177" spans="2:2">
      <c r="B2177" s="47"/>
    </row>
    <row r="2178" spans="2:2">
      <c r="B2178" s="47"/>
    </row>
    <row r="2179" spans="2:2">
      <c r="B2179" s="47"/>
    </row>
    <row r="2180" spans="2:2">
      <c r="B2180" s="47"/>
    </row>
    <row r="2181" spans="2:2">
      <c r="B2181" s="47"/>
    </row>
    <row r="2182" spans="2:2">
      <c r="B2182" s="47"/>
    </row>
    <row r="2183" spans="2:2">
      <c r="B2183" s="47"/>
    </row>
    <row r="2184" spans="2:2">
      <c r="B2184" s="47"/>
    </row>
    <row r="2185" spans="2:2">
      <c r="B2185" s="47"/>
    </row>
    <row r="2186" spans="2:2">
      <c r="B2186" s="47"/>
    </row>
    <row r="2187" spans="2:2">
      <c r="B2187" s="47"/>
    </row>
    <row r="2188" spans="2:2">
      <c r="B2188" s="47"/>
    </row>
    <row r="2189" spans="2:2">
      <c r="B2189" s="47"/>
    </row>
    <row r="2190" spans="2:2">
      <c r="B2190" s="47"/>
    </row>
    <row r="2191" spans="2:2">
      <c r="B2191" s="47"/>
    </row>
    <row r="2192" spans="2:2">
      <c r="B2192" s="47"/>
    </row>
    <row r="2193" spans="2:2">
      <c r="B2193" s="47"/>
    </row>
    <row r="2194" spans="2:2">
      <c r="B2194" s="47"/>
    </row>
    <row r="2195" spans="2:2">
      <c r="B2195" s="47"/>
    </row>
    <row r="2196" spans="2:2">
      <c r="B2196" s="47"/>
    </row>
    <row r="2197" spans="2:2">
      <c r="B2197" s="47"/>
    </row>
    <row r="2198" spans="2:2">
      <c r="B2198" s="47"/>
    </row>
    <row r="2199" spans="2:2">
      <c r="B2199" s="47"/>
    </row>
    <row r="2200" spans="2:2">
      <c r="B2200" s="47"/>
    </row>
    <row r="2201" spans="2:2">
      <c r="B2201" s="47"/>
    </row>
    <row r="2202" spans="2:2">
      <c r="B2202" s="47"/>
    </row>
    <row r="2203" spans="2:2">
      <c r="B2203" s="47"/>
    </row>
    <row r="2204" spans="2:2">
      <c r="B2204" s="47"/>
    </row>
    <row r="2205" spans="2:2">
      <c r="B2205" s="47"/>
    </row>
    <row r="2206" spans="2:2">
      <c r="B2206" s="47"/>
    </row>
    <row r="2207" spans="2:2">
      <c r="B2207" s="47"/>
    </row>
    <row r="2208" spans="2:2">
      <c r="B2208" s="47"/>
    </row>
    <row r="2209" spans="2:2">
      <c r="B2209" s="47"/>
    </row>
    <row r="2210" spans="2:2">
      <c r="B2210" s="47"/>
    </row>
    <row r="2211" spans="2:2">
      <c r="B2211" s="47"/>
    </row>
    <row r="2212" spans="2:2">
      <c r="B2212" s="47"/>
    </row>
    <row r="2213" spans="2:2">
      <c r="B2213" s="47"/>
    </row>
    <row r="2214" spans="2:2">
      <c r="B2214" s="47"/>
    </row>
    <row r="2215" spans="2:2">
      <c r="B2215" s="47"/>
    </row>
    <row r="2216" spans="2:2">
      <c r="B2216" s="47"/>
    </row>
    <row r="2217" spans="2:2">
      <c r="B2217" s="47"/>
    </row>
    <row r="2218" spans="2:2">
      <c r="B2218" s="47"/>
    </row>
    <row r="2219" spans="2:2">
      <c r="B2219" s="47"/>
    </row>
    <row r="2220" spans="2:2">
      <c r="B2220" s="47"/>
    </row>
    <row r="2221" spans="2:2">
      <c r="B2221" s="47"/>
    </row>
    <row r="2222" spans="2:2">
      <c r="B2222" s="47"/>
    </row>
    <row r="2223" spans="2:2">
      <c r="B2223" s="47"/>
    </row>
    <row r="2224" spans="2:2">
      <c r="B2224" s="47"/>
    </row>
    <row r="2225" spans="2:2">
      <c r="B2225" s="47"/>
    </row>
    <row r="2226" spans="2:2">
      <c r="B2226" s="47"/>
    </row>
    <row r="2227" spans="2:2">
      <c r="B2227" s="47"/>
    </row>
    <row r="2228" spans="2:2">
      <c r="B2228" s="47"/>
    </row>
    <row r="2229" spans="2:2">
      <c r="B2229" s="47"/>
    </row>
    <row r="2230" spans="2:2">
      <c r="B2230" s="47"/>
    </row>
    <row r="2231" spans="2:2">
      <c r="B2231" s="47"/>
    </row>
    <row r="2232" spans="2:2">
      <c r="B2232" s="47"/>
    </row>
    <row r="2233" spans="2:2">
      <c r="B2233" s="47"/>
    </row>
    <row r="2234" spans="2:2">
      <c r="B2234" s="47"/>
    </row>
    <row r="2235" spans="2:2">
      <c r="B2235" s="47"/>
    </row>
    <row r="2236" spans="2:2">
      <c r="B2236" s="47"/>
    </row>
    <row r="2237" spans="2:2">
      <c r="B2237" s="47"/>
    </row>
    <row r="2238" spans="2:2">
      <c r="B2238" s="47"/>
    </row>
    <row r="2239" spans="2:2">
      <c r="B2239" s="47"/>
    </row>
    <row r="2240" spans="2:2">
      <c r="B2240" s="47"/>
    </row>
    <row r="2241" spans="2:2">
      <c r="B2241" s="47"/>
    </row>
    <row r="2242" spans="2:2">
      <c r="B2242" s="47"/>
    </row>
    <row r="2243" spans="2:2">
      <c r="B2243" s="47"/>
    </row>
    <row r="2244" spans="2:2">
      <c r="B2244" s="47"/>
    </row>
    <row r="2245" spans="2:2">
      <c r="B2245" s="47"/>
    </row>
    <row r="2246" spans="2:2">
      <c r="B2246" s="47"/>
    </row>
    <row r="2247" spans="2:2">
      <c r="B2247" s="47"/>
    </row>
    <row r="2248" spans="2:2">
      <c r="B2248" s="47"/>
    </row>
    <row r="2249" spans="2:2">
      <c r="B2249" s="47"/>
    </row>
    <row r="2250" spans="2:2">
      <c r="B2250" s="47"/>
    </row>
    <row r="2251" spans="2:2">
      <c r="B2251" s="47"/>
    </row>
    <row r="2252" spans="2:2">
      <c r="B2252" s="47"/>
    </row>
    <row r="2253" spans="2:2">
      <c r="B2253" s="47"/>
    </row>
    <row r="2254" spans="2:2">
      <c r="B2254" s="47"/>
    </row>
    <row r="2255" spans="2:2">
      <c r="B2255" s="47"/>
    </row>
    <row r="2256" spans="2:2">
      <c r="B2256" s="47"/>
    </row>
    <row r="2257" spans="2:2">
      <c r="B2257" s="47"/>
    </row>
    <row r="2258" spans="2:2">
      <c r="B2258" s="47"/>
    </row>
    <row r="2259" spans="2:2">
      <c r="B2259" s="47"/>
    </row>
    <row r="2260" spans="2:2">
      <c r="B2260" s="47"/>
    </row>
    <row r="2261" spans="2:2">
      <c r="B2261" s="47"/>
    </row>
    <row r="2262" spans="2:2">
      <c r="B2262" s="47"/>
    </row>
    <row r="2263" spans="2:2">
      <c r="B2263" s="47"/>
    </row>
    <row r="2264" spans="2:2">
      <c r="B2264" s="47"/>
    </row>
    <row r="2265" spans="2:2">
      <c r="B2265" s="47"/>
    </row>
    <row r="2266" spans="2:2">
      <c r="B2266" s="47"/>
    </row>
    <row r="2267" spans="2:2">
      <c r="B2267" s="47"/>
    </row>
    <row r="2268" spans="2:2">
      <c r="B2268" s="47"/>
    </row>
    <row r="2269" spans="2:2">
      <c r="B2269" s="47"/>
    </row>
    <row r="2270" spans="2:2">
      <c r="B2270" s="47"/>
    </row>
    <row r="2271" spans="2:2">
      <c r="B2271" s="47"/>
    </row>
    <row r="2272" spans="2:2">
      <c r="B2272" s="47"/>
    </row>
    <row r="2273" spans="2:2">
      <c r="B2273" s="47"/>
    </row>
    <row r="2274" spans="2:2">
      <c r="B2274" s="47"/>
    </row>
    <row r="2275" spans="2:2">
      <c r="B2275" s="47"/>
    </row>
    <row r="2276" spans="2:2">
      <c r="B2276" s="47"/>
    </row>
    <row r="2277" spans="2:2">
      <c r="B2277" s="47"/>
    </row>
    <row r="2278" spans="2:2">
      <c r="B2278" s="47"/>
    </row>
    <row r="2279" spans="2:2">
      <c r="B2279" s="47"/>
    </row>
    <row r="2280" spans="2:2">
      <c r="B2280" s="47"/>
    </row>
    <row r="2281" spans="2:2">
      <c r="B2281" s="47"/>
    </row>
    <row r="2282" spans="2:2">
      <c r="B2282" s="47"/>
    </row>
    <row r="2283" spans="2:2">
      <c r="B2283" s="47"/>
    </row>
    <row r="2284" spans="2:2">
      <c r="B2284" s="47"/>
    </row>
    <row r="2285" spans="2:2">
      <c r="B2285" s="47"/>
    </row>
    <row r="2286" spans="2:2">
      <c r="B2286" s="47"/>
    </row>
    <row r="2287" spans="2:2">
      <c r="B2287" s="47"/>
    </row>
    <row r="2288" spans="2:2">
      <c r="B2288" s="47"/>
    </row>
    <row r="2289" spans="2:2">
      <c r="B2289" s="47"/>
    </row>
    <row r="2290" spans="2:2">
      <c r="B2290" s="47"/>
    </row>
    <row r="2291" spans="2:2">
      <c r="B2291" s="47"/>
    </row>
    <row r="2292" spans="2:2">
      <c r="B2292" s="47"/>
    </row>
    <row r="2293" spans="2:2">
      <c r="B2293" s="47"/>
    </row>
    <row r="2294" spans="2:2">
      <c r="B2294" s="47"/>
    </row>
    <row r="2295" spans="2:2">
      <c r="B2295" s="47"/>
    </row>
    <row r="2296" spans="2:2">
      <c r="B2296" s="47"/>
    </row>
    <row r="2297" spans="2:2">
      <c r="B2297" s="47"/>
    </row>
    <row r="2298" spans="2:2">
      <c r="B2298" s="47"/>
    </row>
    <row r="2299" spans="2:2">
      <c r="B2299" s="47"/>
    </row>
    <row r="2300" spans="2:2">
      <c r="B2300" s="47"/>
    </row>
    <row r="2301" spans="2:2">
      <c r="B2301" s="47"/>
    </row>
    <row r="2302" spans="2:2">
      <c r="B2302" s="47"/>
    </row>
    <row r="2303" spans="2:2">
      <c r="B2303" s="47"/>
    </row>
    <row r="2304" spans="2:2">
      <c r="B2304" s="47"/>
    </row>
    <row r="2305" spans="2:2">
      <c r="B2305" s="47"/>
    </row>
    <row r="2306" spans="2:2">
      <c r="B2306" s="47"/>
    </row>
    <row r="2307" spans="2:2">
      <c r="B2307" s="47"/>
    </row>
    <row r="2308" spans="2:2">
      <c r="B2308" s="47"/>
    </row>
    <row r="2309" spans="2:2">
      <c r="B2309" s="47"/>
    </row>
    <row r="2310" spans="2:2">
      <c r="B2310" s="47"/>
    </row>
    <row r="2311" spans="2:2">
      <c r="B2311" s="47"/>
    </row>
    <row r="2312" spans="2:2">
      <c r="B2312" s="47"/>
    </row>
    <row r="2313" spans="2:2">
      <c r="B2313" s="47"/>
    </row>
    <row r="2314" spans="2:2">
      <c r="B2314" s="47"/>
    </row>
    <row r="2315" spans="2:2">
      <c r="B2315" s="47"/>
    </row>
    <row r="2316" spans="2:2">
      <c r="B2316" s="47"/>
    </row>
    <row r="2317" spans="2:2">
      <c r="B2317" s="47"/>
    </row>
    <row r="2318" spans="2:2">
      <c r="B2318" s="47"/>
    </row>
    <row r="2319" spans="2:2">
      <c r="B2319" s="47"/>
    </row>
    <row r="2320" spans="2:2">
      <c r="B2320" s="47"/>
    </row>
    <row r="2321" spans="2:2">
      <c r="B2321" s="47"/>
    </row>
    <row r="2322" spans="2:2">
      <c r="B2322" s="47"/>
    </row>
    <row r="2323" spans="2:2">
      <c r="B2323" s="47"/>
    </row>
    <row r="2324" spans="2:2">
      <c r="B2324" s="47"/>
    </row>
    <row r="2325" spans="2:2">
      <c r="B2325" s="47"/>
    </row>
    <row r="2326" spans="2:2">
      <c r="B2326" s="47"/>
    </row>
    <row r="2327" spans="2:2">
      <c r="B2327" s="47"/>
    </row>
    <row r="2328" spans="2:2">
      <c r="B2328" s="47"/>
    </row>
    <row r="2329" spans="2:2">
      <c r="B2329" s="47"/>
    </row>
    <row r="2330" spans="2:2">
      <c r="B2330" s="47"/>
    </row>
    <row r="2331" spans="2:2">
      <c r="B2331" s="47"/>
    </row>
    <row r="2332" spans="2:2">
      <c r="B2332" s="47"/>
    </row>
    <row r="2333" spans="2:2">
      <c r="B2333" s="47"/>
    </row>
    <row r="2334" spans="2:2">
      <c r="B2334" s="47"/>
    </row>
    <row r="2335" spans="2:2">
      <c r="B2335" s="47"/>
    </row>
    <row r="2336" spans="2:2">
      <c r="B2336" s="47"/>
    </row>
    <row r="2337" spans="2:2">
      <c r="B2337" s="47"/>
    </row>
    <row r="2338" spans="2:2">
      <c r="B2338" s="47"/>
    </row>
    <row r="2339" spans="2:2">
      <c r="B2339" s="47"/>
    </row>
    <row r="2340" spans="2:2">
      <c r="B2340" s="47"/>
    </row>
    <row r="2341" spans="2:2">
      <c r="B2341" s="47"/>
    </row>
    <row r="2342" spans="2:2">
      <c r="B2342" s="47"/>
    </row>
    <row r="2343" spans="2:2">
      <c r="B2343" s="47"/>
    </row>
    <row r="2344" spans="2:2">
      <c r="B2344" s="47"/>
    </row>
    <row r="2345" spans="2:2">
      <c r="B2345" s="47"/>
    </row>
    <row r="2346" spans="2:2">
      <c r="B2346" s="47"/>
    </row>
    <row r="2347" spans="2:2">
      <c r="B2347" s="47"/>
    </row>
    <row r="2348" spans="2:2">
      <c r="B2348" s="47"/>
    </row>
    <row r="2349" spans="2:2">
      <c r="B2349" s="47"/>
    </row>
    <row r="2350" spans="2:2">
      <c r="B2350" s="47"/>
    </row>
    <row r="2351" spans="2:2">
      <c r="B2351" s="47"/>
    </row>
    <row r="2352" spans="2:2">
      <c r="B2352" s="47"/>
    </row>
    <row r="2353" spans="2:2">
      <c r="B2353" s="47"/>
    </row>
    <row r="2354" spans="2:2">
      <c r="B2354" s="47"/>
    </row>
    <row r="2355" spans="2:2">
      <c r="B2355" s="47"/>
    </row>
    <row r="2356" spans="2:2">
      <c r="B2356" s="47"/>
    </row>
    <row r="2357" spans="2:2">
      <c r="B2357" s="47"/>
    </row>
    <row r="2358" spans="2:2">
      <c r="B2358" s="47"/>
    </row>
    <row r="2359" spans="2:2">
      <c r="B2359" s="47"/>
    </row>
    <row r="2360" spans="2:2">
      <c r="B2360" s="47"/>
    </row>
    <row r="2361" spans="2:2">
      <c r="B2361" s="47"/>
    </row>
    <row r="2362" spans="2:2">
      <c r="B2362" s="47"/>
    </row>
    <row r="2363" spans="2:2">
      <c r="B2363" s="47"/>
    </row>
    <row r="2364" spans="2:2">
      <c r="B2364" s="47"/>
    </row>
    <row r="2365" spans="2:2">
      <c r="B2365" s="47"/>
    </row>
    <row r="2366" spans="2:2">
      <c r="B2366" s="47"/>
    </row>
    <row r="2367" spans="2:2">
      <c r="B2367" s="47"/>
    </row>
    <row r="2368" spans="2:2">
      <c r="B2368" s="47"/>
    </row>
    <row r="2369" spans="2:2">
      <c r="B2369" s="47"/>
    </row>
    <row r="2370" spans="2:2">
      <c r="B2370" s="47"/>
    </row>
    <row r="2371" spans="2:2">
      <c r="B2371" s="47"/>
    </row>
    <row r="2372" spans="2:2">
      <c r="B2372" s="47"/>
    </row>
    <row r="2373" spans="2:2">
      <c r="B2373" s="47"/>
    </row>
    <row r="2374" spans="2:2">
      <c r="B2374" s="47"/>
    </row>
    <row r="2375" spans="2:2">
      <c r="B2375" s="47"/>
    </row>
    <row r="2376" spans="2:2">
      <c r="B2376" s="47"/>
    </row>
    <row r="2377" spans="2:2">
      <c r="B2377" s="47"/>
    </row>
    <row r="2378" spans="2:2">
      <c r="B2378" s="47"/>
    </row>
    <row r="2379" spans="2:2">
      <c r="B2379" s="47"/>
    </row>
    <row r="2380" spans="2:2">
      <c r="B2380" s="47"/>
    </row>
    <row r="2381" spans="2:2">
      <c r="B2381" s="47"/>
    </row>
    <row r="2382" spans="2:2">
      <c r="B2382" s="47"/>
    </row>
    <row r="2383" spans="2:2">
      <c r="B2383" s="47"/>
    </row>
    <row r="2384" spans="2:2">
      <c r="B2384" s="47"/>
    </row>
    <row r="2385" spans="2:2">
      <c r="B2385" s="47"/>
    </row>
    <row r="2386" spans="2:2">
      <c r="B2386" s="47"/>
    </row>
    <row r="2387" spans="2:2">
      <c r="B2387" s="47"/>
    </row>
    <row r="2388" spans="2:2">
      <c r="B2388" s="47"/>
    </row>
    <row r="2389" spans="2:2">
      <c r="B2389" s="47"/>
    </row>
    <row r="2390" spans="2:2">
      <c r="B2390" s="47"/>
    </row>
    <row r="2391" spans="2:2">
      <c r="B2391" s="47"/>
    </row>
    <row r="2392" spans="2:2">
      <c r="B2392" s="47"/>
    </row>
    <row r="2393" spans="2:2">
      <c r="B2393" s="47"/>
    </row>
    <row r="2394" spans="2:2">
      <c r="B2394" s="47"/>
    </row>
    <row r="2395" spans="2:2">
      <c r="B2395" s="47"/>
    </row>
    <row r="2396" spans="2:2">
      <c r="B2396" s="47"/>
    </row>
    <row r="2397" spans="2:2">
      <c r="B2397" s="47"/>
    </row>
    <row r="2398" spans="2:2">
      <c r="B2398" s="47"/>
    </row>
    <row r="2399" spans="2:2">
      <c r="B2399" s="47"/>
    </row>
    <row r="2400" spans="2:2">
      <c r="B2400" s="47"/>
    </row>
    <row r="2401" spans="2:2">
      <c r="B2401" s="47"/>
    </row>
    <row r="2402" spans="2:2">
      <c r="B2402" s="47"/>
    </row>
    <row r="2403" spans="2:2">
      <c r="B2403" s="47"/>
    </row>
    <row r="2404" spans="2:2">
      <c r="B2404" s="47"/>
    </row>
    <row r="2405" spans="2:2">
      <c r="B2405" s="47"/>
    </row>
    <row r="2406" spans="2:2">
      <c r="B2406" s="47"/>
    </row>
    <row r="2407" spans="2:2">
      <c r="B2407" s="47"/>
    </row>
    <row r="2408" spans="2:2">
      <c r="B2408" s="47"/>
    </row>
    <row r="2409" spans="2:2">
      <c r="B2409" s="47"/>
    </row>
    <row r="2410" spans="2:2">
      <c r="B2410" s="47"/>
    </row>
    <row r="2411" spans="2:2">
      <c r="B2411" s="47"/>
    </row>
    <row r="2412" spans="2:2">
      <c r="B2412" s="47"/>
    </row>
    <row r="2413" spans="2:2">
      <c r="B2413" s="47"/>
    </row>
    <row r="2414" spans="2:2">
      <c r="B2414" s="47"/>
    </row>
    <row r="2415" spans="2:2">
      <c r="B2415" s="47"/>
    </row>
    <row r="2416" spans="2:2">
      <c r="B2416" s="47"/>
    </row>
    <row r="2417" spans="2:2">
      <c r="B2417" s="47"/>
    </row>
    <row r="2418" spans="2:2">
      <c r="B2418" s="47"/>
    </row>
    <row r="2419" spans="2:2">
      <c r="B2419" s="47"/>
    </row>
    <row r="2420" spans="2:2">
      <c r="B2420" s="47"/>
    </row>
    <row r="2421" spans="2:2">
      <c r="B2421" s="47"/>
    </row>
    <row r="2422" spans="2:2">
      <c r="B2422" s="47"/>
    </row>
    <row r="2423" spans="2:2">
      <c r="B2423" s="47"/>
    </row>
    <row r="2424" spans="2:2">
      <c r="B2424" s="47"/>
    </row>
    <row r="2425" spans="2:2">
      <c r="B2425" s="47"/>
    </row>
    <row r="2426" spans="2:2">
      <c r="B2426" s="47"/>
    </row>
    <row r="2427" spans="2:2">
      <c r="B2427" s="47"/>
    </row>
    <row r="2428" spans="2:2">
      <c r="B2428" s="47"/>
    </row>
    <row r="2429" spans="2:2">
      <c r="B2429" s="47"/>
    </row>
    <row r="2430" spans="2:2">
      <c r="B2430" s="47"/>
    </row>
    <row r="2431" spans="2:2">
      <c r="B2431" s="47"/>
    </row>
    <row r="2432" spans="2:2">
      <c r="B2432" s="47"/>
    </row>
    <row r="2433" spans="2:2">
      <c r="B2433" s="47"/>
    </row>
    <row r="2434" spans="2:2">
      <c r="B2434" s="47"/>
    </row>
    <row r="2435" spans="2:2">
      <c r="B2435" s="47"/>
    </row>
    <row r="2436" spans="2:2">
      <c r="B2436" s="47"/>
    </row>
    <row r="2437" spans="2:2">
      <c r="B2437" s="47"/>
    </row>
    <row r="2438" spans="2:2">
      <c r="B2438" s="47"/>
    </row>
    <row r="2439" spans="2:2">
      <c r="B2439" s="47"/>
    </row>
    <row r="2440" spans="2:2">
      <c r="B2440" s="47"/>
    </row>
    <row r="2441" spans="2:2">
      <c r="B2441" s="47"/>
    </row>
    <row r="2442" spans="2:2">
      <c r="B2442" s="47"/>
    </row>
    <row r="2443" spans="2:2">
      <c r="B2443" s="47"/>
    </row>
    <row r="2444" spans="2:2">
      <c r="B2444" s="47"/>
    </row>
    <row r="2445" spans="2:2">
      <c r="B2445" s="47"/>
    </row>
    <row r="2446" spans="2:2">
      <c r="B2446" s="47"/>
    </row>
    <row r="2447" spans="2:2">
      <c r="B2447" s="47"/>
    </row>
    <row r="2448" spans="2:2">
      <c r="B2448" s="47"/>
    </row>
    <row r="2449" spans="2:2">
      <c r="B2449" s="47"/>
    </row>
    <row r="2450" spans="2:2">
      <c r="B2450" s="47"/>
    </row>
    <row r="2451" spans="2:2">
      <c r="B2451" s="47"/>
    </row>
    <row r="2452" spans="2:2">
      <c r="B2452" s="47"/>
    </row>
    <row r="2453" spans="2:2">
      <c r="B2453" s="47"/>
    </row>
    <row r="2454" spans="2:2">
      <c r="B2454" s="47"/>
    </row>
    <row r="2455" spans="2:2">
      <c r="B2455" s="47"/>
    </row>
    <row r="2456" spans="2:2">
      <c r="B2456" s="47"/>
    </row>
    <row r="2457" spans="2:2">
      <c r="B2457" s="47"/>
    </row>
    <row r="2458" spans="2:2">
      <c r="B2458" s="47"/>
    </row>
    <row r="2459" spans="2:2">
      <c r="B2459" s="47"/>
    </row>
    <row r="2460" spans="2:2">
      <c r="B2460" s="47"/>
    </row>
    <row r="2461" spans="2:2">
      <c r="B2461" s="47"/>
    </row>
    <row r="2462" spans="2:2">
      <c r="B2462" s="47"/>
    </row>
    <row r="2463" spans="2:2">
      <c r="B2463" s="47"/>
    </row>
    <row r="2464" spans="2:2">
      <c r="B2464" s="47"/>
    </row>
    <row r="2465" spans="2:2">
      <c r="B2465" s="47"/>
    </row>
    <row r="2466" spans="2:2">
      <c r="B2466" s="47"/>
    </row>
    <row r="2467" spans="2:2">
      <c r="B2467" s="47"/>
    </row>
    <row r="2468" spans="2:2">
      <c r="B2468" s="47"/>
    </row>
    <row r="2469" spans="2:2">
      <c r="B2469" s="47"/>
    </row>
    <row r="2470" spans="2:2">
      <c r="B2470" s="47"/>
    </row>
    <row r="2471" spans="2:2">
      <c r="B2471" s="47"/>
    </row>
    <row r="2472" spans="2:2">
      <c r="B2472" s="47"/>
    </row>
    <row r="2473" spans="2:2">
      <c r="B2473" s="47"/>
    </row>
    <row r="2474" spans="2:2">
      <c r="B2474" s="47"/>
    </row>
    <row r="2475" spans="2:2">
      <c r="B2475" s="47"/>
    </row>
    <row r="2476" spans="2:2">
      <c r="B2476" s="47"/>
    </row>
    <row r="2477" spans="2:2">
      <c r="B2477" s="47"/>
    </row>
    <row r="2478" spans="2:2">
      <c r="B2478" s="47"/>
    </row>
    <row r="2479" spans="2:2">
      <c r="B2479" s="47"/>
    </row>
    <row r="2480" spans="2:2">
      <c r="B2480" s="47"/>
    </row>
    <row r="2481" spans="2:2">
      <c r="B2481" s="47"/>
    </row>
    <row r="2482" spans="2:2">
      <c r="B2482" s="47"/>
    </row>
    <row r="2483" spans="2:2">
      <c r="B2483" s="47"/>
    </row>
    <row r="2484" spans="2:2">
      <c r="B2484" s="47"/>
    </row>
    <row r="2485" spans="2:2">
      <c r="B2485" s="47"/>
    </row>
    <row r="2486" spans="2:2">
      <c r="B2486" s="47"/>
    </row>
    <row r="2487" spans="2:2">
      <c r="B2487" s="47"/>
    </row>
    <row r="2488" spans="2:2">
      <c r="B2488" s="47"/>
    </row>
    <row r="2489" spans="2:2">
      <c r="B2489" s="47"/>
    </row>
    <row r="2490" spans="2:2">
      <c r="B2490" s="47"/>
    </row>
    <row r="2491" spans="2:2">
      <c r="B2491" s="47"/>
    </row>
    <row r="2492" spans="2:2">
      <c r="B2492" s="47"/>
    </row>
    <row r="2493" spans="2:2">
      <c r="B2493" s="47"/>
    </row>
    <row r="2494" spans="2:2">
      <c r="B2494" s="47"/>
    </row>
    <row r="2495" spans="2:2">
      <c r="B2495" s="47"/>
    </row>
    <row r="2496" spans="2:2">
      <c r="B2496" s="47"/>
    </row>
    <row r="2497" spans="2:2">
      <c r="B2497" s="47"/>
    </row>
    <row r="2498" spans="2:2">
      <c r="B2498" s="47"/>
    </row>
    <row r="2499" spans="2:2">
      <c r="B2499" s="47"/>
    </row>
    <row r="2500" spans="2:2">
      <c r="B2500" s="47"/>
    </row>
    <row r="2501" spans="2:2">
      <c r="B2501" s="47"/>
    </row>
    <row r="2502" spans="2:2">
      <c r="B2502" s="47"/>
    </row>
    <row r="2503" spans="2:2">
      <c r="B2503" s="47"/>
    </row>
    <row r="2504" spans="2:2">
      <c r="B2504" s="47"/>
    </row>
    <row r="2505" spans="2:2">
      <c r="B2505" s="47"/>
    </row>
    <row r="2506" spans="2:2">
      <c r="B2506" s="47"/>
    </row>
    <row r="2507" spans="2:2">
      <c r="B2507" s="47"/>
    </row>
    <row r="2508" spans="2:2">
      <c r="B2508" s="47"/>
    </row>
    <row r="2509" spans="2:2">
      <c r="B2509" s="47"/>
    </row>
    <row r="2510" spans="2:2">
      <c r="B2510" s="47"/>
    </row>
    <row r="2511" spans="2:2">
      <c r="B2511" s="47"/>
    </row>
    <row r="2512" spans="2:2">
      <c r="B2512" s="47"/>
    </row>
    <row r="2513" spans="2:2">
      <c r="B2513" s="47"/>
    </row>
    <row r="2514" spans="2:2">
      <c r="B2514" s="47"/>
    </row>
    <row r="2515" spans="2:2">
      <c r="B2515" s="47"/>
    </row>
    <row r="2516" spans="2:2">
      <c r="B2516" s="47"/>
    </row>
    <row r="2517" spans="2:2">
      <c r="B2517" s="47"/>
    </row>
    <row r="2518" spans="2:2">
      <c r="B2518" s="47"/>
    </row>
    <row r="2519" spans="2:2">
      <c r="B2519" s="47"/>
    </row>
    <row r="2520" spans="2:2">
      <c r="B2520" s="47"/>
    </row>
    <row r="2521" spans="2:2">
      <c r="B2521" s="47"/>
    </row>
    <row r="2522" spans="2:2">
      <c r="B2522" s="47"/>
    </row>
    <row r="2523" spans="2:2">
      <c r="B2523" s="47"/>
    </row>
    <row r="2524" spans="2:2">
      <c r="B2524" s="47"/>
    </row>
    <row r="2525" spans="2:2">
      <c r="B2525" s="47"/>
    </row>
    <row r="2526" spans="2:2">
      <c r="B2526" s="47"/>
    </row>
    <row r="2527" spans="2:2">
      <c r="B2527" s="47"/>
    </row>
    <row r="2528" spans="2:2">
      <c r="B2528" s="47"/>
    </row>
    <row r="2529" spans="2:2">
      <c r="B2529" s="47"/>
    </row>
    <row r="2530" spans="2:2">
      <c r="B2530" s="47"/>
    </row>
    <row r="2531" spans="2:2">
      <c r="B2531" s="47"/>
    </row>
    <row r="2532" spans="2:2">
      <c r="B2532" s="47"/>
    </row>
    <row r="2533" spans="2:2">
      <c r="B2533" s="47"/>
    </row>
    <row r="2534" spans="2:2">
      <c r="B2534" s="47"/>
    </row>
    <row r="2535" spans="2:2">
      <c r="B2535" s="47"/>
    </row>
    <row r="2536" spans="2:2">
      <c r="B2536" s="47"/>
    </row>
    <row r="2537" spans="2:2">
      <c r="B2537" s="47"/>
    </row>
    <row r="2538" spans="2:2">
      <c r="B2538" s="47"/>
    </row>
    <row r="2539" spans="2:2">
      <c r="B2539" s="47"/>
    </row>
    <row r="2540" spans="2:2">
      <c r="B2540" s="47"/>
    </row>
    <row r="2541" spans="2:2">
      <c r="B2541" s="47"/>
    </row>
    <row r="2542" spans="2:2">
      <c r="B2542" s="47"/>
    </row>
    <row r="2543" spans="2:2">
      <c r="B2543" s="47"/>
    </row>
    <row r="2544" spans="2:2">
      <c r="B2544" s="47"/>
    </row>
    <row r="2545" spans="2:2">
      <c r="B2545" s="47"/>
    </row>
    <row r="2546" spans="2:2">
      <c r="B2546" s="47"/>
    </row>
    <row r="2547" spans="2:2">
      <c r="B2547" s="47"/>
    </row>
    <row r="2548" spans="2:2">
      <c r="B2548" s="47"/>
    </row>
    <row r="2549" spans="2:2">
      <c r="B2549" s="47"/>
    </row>
    <row r="2550" spans="2:2">
      <c r="B2550" s="47"/>
    </row>
    <row r="2551" spans="2:2">
      <c r="B2551" s="47"/>
    </row>
    <row r="2552" spans="2:2">
      <c r="B2552" s="47"/>
    </row>
    <row r="2553" spans="2:2">
      <c r="B2553" s="47"/>
    </row>
    <row r="2554" spans="2:2">
      <c r="B2554" s="47"/>
    </row>
    <row r="2555" spans="2:2">
      <c r="B2555" s="47"/>
    </row>
    <row r="2556" spans="2:2">
      <c r="B2556" s="47"/>
    </row>
    <row r="2557" spans="2:2">
      <c r="B2557" s="47"/>
    </row>
    <row r="2558" spans="2:2">
      <c r="B2558" s="47"/>
    </row>
    <row r="2559" spans="2:2">
      <c r="B2559" s="47"/>
    </row>
    <row r="2560" spans="2:2">
      <c r="B2560" s="47"/>
    </row>
    <row r="2561" spans="2:2">
      <c r="B2561" s="47"/>
    </row>
    <row r="2562" spans="2:2">
      <c r="B2562" s="47"/>
    </row>
    <row r="2563" spans="2:2">
      <c r="B2563" s="47"/>
    </row>
    <row r="2564" spans="2:2">
      <c r="B2564" s="47"/>
    </row>
    <row r="2565" spans="2:2">
      <c r="B2565" s="47"/>
    </row>
    <row r="2566" spans="2:2">
      <c r="B2566" s="47"/>
    </row>
    <row r="2567" spans="2:2">
      <c r="B2567" s="47"/>
    </row>
    <row r="2568" spans="2:2">
      <c r="B2568" s="47"/>
    </row>
    <row r="2569" spans="2:2">
      <c r="B2569" s="47"/>
    </row>
    <row r="2570" spans="2:2">
      <c r="B2570" s="47"/>
    </row>
    <row r="2571" spans="2:2">
      <c r="B2571" s="47"/>
    </row>
    <row r="2572" spans="2:2">
      <c r="B2572" s="47"/>
    </row>
    <row r="2573" spans="2:2">
      <c r="B2573" s="47"/>
    </row>
    <row r="2574" spans="2:2">
      <c r="B2574" s="47"/>
    </row>
    <row r="2575" spans="2:2">
      <c r="B2575" s="47"/>
    </row>
    <row r="2576" spans="2:2">
      <c r="B2576" s="47"/>
    </row>
    <row r="2577" spans="2:2">
      <c r="B2577" s="47"/>
    </row>
    <row r="2578" spans="2:2">
      <c r="B2578" s="47"/>
    </row>
    <row r="2579" spans="2:2">
      <c r="B2579" s="47"/>
    </row>
    <row r="2580" spans="2:2">
      <c r="B2580" s="47"/>
    </row>
    <row r="2581" spans="2:2">
      <c r="B2581" s="47"/>
    </row>
    <row r="2582" spans="2:2">
      <c r="B2582" s="47"/>
    </row>
    <row r="2583" spans="2:2">
      <c r="B2583" s="47"/>
    </row>
    <row r="2584" spans="2:2">
      <c r="B2584" s="47"/>
    </row>
    <row r="2585" spans="2:2">
      <c r="B2585" s="47"/>
    </row>
    <row r="2586" spans="2:2">
      <c r="B2586" s="47"/>
    </row>
    <row r="2587" spans="2:2">
      <c r="B2587" s="47"/>
    </row>
    <row r="2588" spans="2:2">
      <c r="B2588" s="47"/>
    </row>
    <row r="2589" spans="2:2">
      <c r="B2589" s="47"/>
    </row>
    <row r="2590" spans="2:2">
      <c r="B2590" s="47"/>
    </row>
    <row r="2591" spans="2:2">
      <c r="B2591" s="47"/>
    </row>
    <row r="2592" spans="2:2">
      <c r="B2592" s="47"/>
    </row>
    <row r="2593" spans="2:2">
      <c r="B2593" s="47"/>
    </row>
    <row r="2594" spans="2:2">
      <c r="B2594" s="47"/>
    </row>
    <row r="2595" spans="2:2">
      <c r="B2595" s="47"/>
    </row>
    <row r="2596" spans="2:2">
      <c r="B2596" s="47"/>
    </row>
    <row r="2597" spans="2:2">
      <c r="B2597" s="47"/>
    </row>
    <row r="2598" spans="2:2">
      <c r="B2598" s="47"/>
    </row>
    <row r="2599" spans="2:2">
      <c r="B2599" s="47"/>
    </row>
    <row r="2600" spans="2:2">
      <c r="B2600" s="47"/>
    </row>
    <row r="2601" spans="2:2">
      <c r="B2601" s="47"/>
    </row>
    <row r="2602" spans="2:2">
      <c r="B2602" s="47"/>
    </row>
    <row r="2603" spans="2:2">
      <c r="B2603" s="47"/>
    </row>
    <row r="2604" spans="2:2">
      <c r="B2604" s="47"/>
    </row>
    <row r="2605" spans="2:2">
      <c r="B2605" s="47"/>
    </row>
    <row r="2606" spans="2:2">
      <c r="B2606" s="47"/>
    </row>
    <row r="2607" spans="2:2">
      <c r="B2607" s="47"/>
    </row>
    <row r="2608" spans="2:2">
      <c r="B2608" s="47"/>
    </row>
    <row r="2609" spans="2:2">
      <c r="B2609" s="47"/>
    </row>
    <row r="2610" spans="2:2">
      <c r="B2610" s="47"/>
    </row>
    <row r="2611" spans="2:2">
      <c r="B2611" s="47"/>
    </row>
    <row r="2612" spans="2:2">
      <c r="B2612" s="47"/>
    </row>
    <row r="2613" spans="2:2">
      <c r="B2613" s="47"/>
    </row>
    <row r="2614" spans="2:2">
      <c r="B2614" s="47"/>
    </row>
    <row r="2615" spans="2:2">
      <c r="B2615" s="47"/>
    </row>
    <row r="2616" spans="2:2">
      <c r="B2616" s="47"/>
    </row>
    <row r="2617" spans="2:2">
      <c r="B2617" s="47"/>
    </row>
    <row r="2618" spans="2:2">
      <c r="B2618" s="47"/>
    </row>
    <row r="2619" spans="2:2">
      <c r="B2619" s="47"/>
    </row>
    <row r="2620" spans="2:2">
      <c r="B2620" s="47"/>
    </row>
    <row r="2621" spans="2:2">
      <c r="B2621" s="47"/>
    </row>
    <row r="2622" spans="2:2">
      <c r="B2622" s="47"/>
    </row>
    <row r="2623" spans="2:2">
      <c r="B2623" s="47"/>
    </row>
    <row r="2624" spans="2:2">
      <c r="B2624" s="47"/>
    </row>
    <row r="2625" spans="2:2">
      <c r="B2625" s="47"/>
    </row>
    <row r="2626" spans="2:2">
      <c r="B2626" s="47"/>
    </row>
    <row r="2627" spans="2:2">
      <c r="B2627" s="47"/>
    </row>
    <row r="2628" spans="2:2">
      <c r="B2628" s="47"/>
    </row>
    <row r="2629" spans="2:2">
      <c r="B2629" s="47"/>
    </row>
    <row r="2630" spans="2:2">
      <c r="B2630" s="47"/>
    </row>
    <row r="2631" spans="2:2">
      <c r="B2631" s="47"/>
    </row>
    <row r="2632" spans="2:2">
      <c r="B2632" s="47"/>
    </row>
    <row r="2633" spans="2:2">
      <c r="B2633" s="47"/>
    </row>
    <row r="2634" spans="2:2">
      <c r="B2634" s="47"/>
    </row>
    <row r="2635" spans="2:2">
      <c r="B2635" s="47"/>
    </row>
    <row r="2636" spans="2:2">
      <c r="B2636" s="47"/>
    </row>
    <row r="2637" spans="2:2">
      <c r="B2637" s="47"/>
    </row>
    <row r="2638" spans="2:2">
      <c r="B2638" s="47"/>
    </row>
    <row r="2639" spans="2:2">
      <c r="B2639" s="47"/>
    </row>
    <row r="2640" spans="2:2">
      <c r="B2640" s="47"/>
    </row>
    <row r="2641" spans="2:2">
      <c r="B2641" s="47"/>
    </row>
    <row r="2642" spans="2:2">
      <c r="B2642" s="47"/>
    </row>
    <row r="2643" spans="2:2">
      <c r="B2643" s="47"/>
    </row>
    <row r="2644" spans="2:2">
      <c r="B2644" s="47"/>
    </row>
    <row r="2645" spans="2:2">
      <c r="B2645" s="47"/>
    </row>
    <row r="2646" spans="2:2">
      <c r="B2646" s="47"/>
    </row>
    <row r="2647" spans="2:2">
      <c r="B2647" s="47"/>
    </row>
    <row r="2648" spans="2:2">
      <c r="B2648" s="47"/>
    </row>
    <row r="2649" spans="2:2">
      <c r="B2649" s="47"/>
    </row>
    <row r="2650" spans="2:2">
      <c r="B2650" s="47"/>
    </row>
    <row r="2651" spans="2:2">
      <c r="B2651" s="47"/>
    </row>
    <row r="2652" spans="2:2">
      <c r="B2652" s="47"/>
    </row>
    <row r="2653" spans="2:2">
      <c r="B2653" s="47"/>
    </row>
    <row r="2654" spans="2:2">
      <c r="B2654" s="47"/>
    </row>
    <row r="2655" spans="2:2">
      <c r="B2655" s="47"/>
    </row>
    <row r="2656" spans="2:2">
      <c r="B2656" s="47"/>
    </row>
    <row r="2657" spans="2:2">
      <c r="B2657" s="47"/>
    </row>
    <row r="2658" spans="2:2">
      <c r="B2658" s="47"/>
    </row>
    <row r="2659" spans="2:2">
      <c r="B2659" s="47"/>
    </row>
    <row r="2660" spans="2:2">
      <c r="B2660" s="47"/>
    </row>
    <row r="2661" spans="2:2">
      <c r="B2661" s="47"/>
    </row>
    <row r="2662" spans="2:2">
      <c r="B2662" s="47"/>
    </row>
    <row r="2663" spans="2:2">
      <c r="B2663" s="47"/>
    </row>
    <row r="2664" spans="2:2">
      <c r="B2664" s="47"/>
    </row>
    <row r="2665" spans="2:2">
      <c r="B2665" s="47"/>
    </row>
    <row r="2666" spans="2:2">
      <c r="B2666" s="47"/>
    </row>
    <row r="2667" spans="2:2">
      <c r="B2667" s="47"/>
    </row>
    <row r="2668" spans="2:2">
      <c r="B2668" s="47"/>
    </row>
    <row r="2669" spans="2:2">
      <c r="B2669" s="47"/>
    </row>
    <row r="2670" spans="2:2">
      <c r="B2670" s="47"/>
    </row>
    <row r="2671" spans="2:2">
      <c r="B2671" s="47"/>
    </row>
    <row r="2672" spans="2:2">
      <c r="B2672" s="47"/>
    </row>
    <row r="2673" spans="2:2">
      <c r="B2673" s="47"/>
    </row>
    <row r="2674" spans="2:2">
      <c r="B2674" s="47"/>
    </row>
    <row r="2675" spans="2:2">
      <c r="B2675" s="47"/>
    </row>
    <row r="2676" spans="2:2">
      <c r="B2676" s="47"/>
    </row>
    <row r="2677" spans="2:2">
      <c r="B2677" s="47"/>
    </row>
    <row r="2678" spans="2:2">
      <c r="B2678" s="47"/>
    </row>
    <row r="2679" spans="2:2">
      <c r="B2679" s="47"/>
    </row>
    <row r="2680" spans="2:2">
      <c r="B2680" s="47"/>
    </row>
    <row r="2681" spans="2:2">
      <c r="B2681" s="47"/>
    </row>
    <row r="2682" spans="2:2">
      <c r="B2682" s="47"/>
    </row>
    <row r="2683" spans="2:2">
      <c r="B2683" s="47"/>
    </row>
    <row r="2684" spans="2:2">
      <c r="B2684" s="47"/>
    </row>
    <row r="2685" spans="2:2">
      <c r="B2685" s="47"/>
    </row>
    <row r="2686" spans="2:2">
      <c r="B2686" s="47"/>
    </row>
    <row r="2687" spans="2:2">
      <c r="B2687" s="47"/>
    </row>
    <row r="2688" spans="2:2">
      <c r="B2688" s="47"/>
    </row>
    <row r="2689" spans="2:2">
      <c r="B2689" s="47"/>
    </row>
    <row r="2690" spans="2:2">
      <c r="B2690" s="47"/>
    </row>
    <row r="2691" spans="2:2">
      <c r="B2691" s="47"/>
    </row>
    <row r="2692" spans="2:2">
      <c r="B2692" s="47"/>
    </row>
    <row r="2693" spans="2:2">
      <c r="B2693" s="47"/>
    </row>
    <row r="2694" spans="2:2">
      <c r="B2694" s="47"/>
    </row>
    <row r="2695" spans="2:2">
      <c r="B2695" s="47"/>
    </row>
    <row r="2696" spans="2:2">
      <c r="B2696" s="47"/>
    </row>
    <row r="2697" spans="2:2">
      <c r="B2697" s="47"/>
    </row>
    <row r="2698" spans="2:2">
      <c r="B2698" s="47"/>
    </row>
    <row r="2699" spans="2:2">
      <c r="B2699" s="47"/>
    </row>
    <row r="2700" spans="2:2">
      <c r="B2700" s="47"/>
    </row>
    <row r="2701" spans="2:2">
      <c r="B2701" s="47"/>
    </row>
    <row r="2702" spans="2:2">
      <c r="B2702" s="47"/>
    </row>
    <row r="2703" spans="2:2">
      <c r="B2703" s="47"/>
    </row>
    <row r="2704" spans="2:2">
      <c r="B2704" s="47"/>
    </row>
    <row r="2705" spans="2:2">
      <c r="B2705" s="47"/>
    </row>
    <row r="2706" spans="2:2">
      <c r="B2706" s="47"/>
    </row>
    <row r="2707" spans="2:2">
      <c r="B2707" s="47"/>
    </row>
    <row r="2708" spans="2:2">
      <c r="B2708" s="47"/>
    </row>
    <row r="2709" spans="2:2">
      <c r="B2709" s="47"/>
    </row>
    <row r="2710" spans="2:2">
      <c r="B2710" s="47"/>
    </row>
    <row r="2711" spans="2:2">
      <c r="B2711" s="47"/>
    </row>
    <row r="2712" spans="2:2">
      <c r="B2712" s="47"/>
    </row>
    <row r="2713" spans="2:2">
      <c r="B2713" s="47"/>
    </row>
    <row r="2714" spans="2:2">
      <c r="B2714" s="47"/>
    </row>
    <row r="2715" spans="2:2">
      <c r="B2715" s="47"/>
    </row>
    <row r="2716" spans="2:2">
      <c r="B2716" s="47"/>
    </row>
    <row r="2717" spans="2:2">
      <c r="B2717" s="47"/>
    </row>
    <row r="2718" spans="2:2">
      <c r="B2718" s="47"/>
    </row>
    <row r="2719" spans="2:2">
      <c r="B2719" s="47"/>
    </row>
    <row r="2720" spans="2:2">
      <c r="B2720" s="47"/>
    </row>
    <row r="2721" spans="2:2">
      <c r="B2721" s="47"/>
    </row>
    <row r="2722" spans="2:2">
      <c r="B2722" s="47"/>
    </row>
    <row r="2723" spans="2:2">
      <c r="B2723" s="47"/>
    </row>
    <row r="2724" spans="2:2">
      <c r="B2724" s="47"/>
    </row>
    <row r="2725" spans="2:2">
      <c r="B2725" s="47"/>
    </row>
    <row r="2726" spans="2:2">
      <c r="B2726" s="47"/>
    </row>
    <row r="2727" spans="2:2">
      <c r="B2727" s="47"/>
    </row>
    <row r="2728" spans="2:2">
      <c r="B2728" s="47"/>
    </row>
    <row r="2729" spans="2:2">
      <c r="B2729" s="47"/>
    </row>
    <row r="2730" spans="2:2">
      <c r="B2730" s="47"/>
    </row>
    <row r="2731" spans="2:2">
      <c r="B2731" s="47"/>
    </row>
    <row r="2732" spans="2:2">
      <c r="B2732" s="47"/>
    </row>
    <row r="2733" spans="2:2">
      <c r="B2733" s="47"/>
    </row>
    <row r="2734" spans="2:2">
      <c r="B2734" s="47"/>
    </row>
    <row r="2735" spans="2:2">
      <c r="B2735" s="47"/>
    </row>
    <row r="2736" spans="2:2">
      <c r="B2736" s="47"/>
    </row>
    <row r="2737" spans="2:2">
      <c r="B2737" s="47"/>
    </row>
    <row r="2738" spans="2:2">
      <c r="B2738" s="47"/>
    </row>
    <row r="2739" spans="2:2">
      <c r="B2739" s="47"/>
    </row>
    <row r="2740" spans="2:2">
      <c r="B2740" s="47"/>
    </row>
    <row r="2741" spans="2:2">
      <c r="B2741" s="47"/>
    </row>
    <row r="2742" spans="2:2">
      <c r="B2742" s="47"/>
    </row>
    <row r="2743" spans="2:2">
      <c r="B2743" s="47"/>
    </row>
    <row r="2744" spans="2:2">
      <c r="B2744" s="47"/>
    </row>
    <row r="2745" spans="2:2">
      <c r="B2745" s="47"/>
    </row>
    <row r="2746" spans="2:2">
      <c r="B2746" s="47"/>
    </row>
    <row r="2747" spans="2:2">
      <c r="B2747" s="47"/>
    </row>
    <row r="2748" spans="2:2">
      <c r="B2748" s="47"/>
    </row>
    <row r="2749" spans="2:2">
      <c r="B2749" s="47"/>
    </row>
    <row r="2750" spans="2:2">
      <c r="B2750" s="47"/>
    </row>
    <row r="2751" spans="2:2">
      <c r="B2751" s="47"/>
    </row>
    <row r="2752" spans="2:2">
      <c r="B2752" s="47"/>
    </row>
    <row r="2753" spans="2:2">
      <c r="B2753" s="47"/>
    </row>
    <row r="2754" spans="2:2">
      <c r="B2754" s="47"/>
    </row>
    <row r="2755" spans="2:2">
      <c r="B2755" s="47"/>
    </row>
    <row r="2756" spans="2:2">
      <c r="B2756" s="47"/>
    </row>
    <row r="2757" spans="2:2">
      <c r="B2757" s="47"/>
    </row>
    <row r="2758" spans="2:2">
      <c r="B2758" s="47"/>
    </row>
    <row r="2759" spans="2:2">
      <c r="B2759" s="47"/>
    </row>
    <row r="2760" spans="2:2">
      <c r="B2760" s="47"/>
    </row>
    <row r="2761" spans="2:2">
      <c r="B2761" s="47"/>
    </row>
    <row r="2762" spans="2:2">
      <c r="B2762" s="47"/>
    </row>
    <row r="2763" spans="2:2">
      <c r="B2763" s="47"/>
    </row>
    <row r="2764" spans="2:2">
      <c r="B2764" s="47"/>
    </row>
    <row r="2765" spans="2:2">
      <c r="B2765" s="47"/>
    </row>
    <row r="2766" spans="2:2">
      <c r="B2766" s="47"/>
    </row>
    <row r="2767" spans="2:2">
      <c r="B2767" s="47"/>
    </row>
    <row r="2768" spans="2:2">
      <c r="B2768" s="47"/>
    </row>
    <row r="2769" spans="2:2">
      <c r="B2769" s="47"/>
    </row>
    <row r="2770" spans="2:2">
      <c r="B2770" s="47"/>
    </row>
    <row r="2771" spans="2:2">
      <c r="B2771" s="47"/>
    </row>
    <row r="2772" spans="2:2">
      <c r="B2772" s="47"/>
    </row>
    <row r="2773" spans="2:2">
      <c r="B2773" s="47"/>
    </row>
    <row r="2774" spans="2:2">
      <c r="B2774" s="47"/>
    </row>
    <row r="2775" spans="2:2">
      <c r="B2775" s="47"/>
    </row>
    <row r="2776" spans="2:2">
      <c r="B2776" s="47"/>
    </row>
    <row r="2777" spans="2:2">
      <c r="B2777" s="47"/>
    </row>
    <row r="2778" spans="2:2">
      <c r="B2778" s="47"/>
    </row>
    <row r="2779" spans="2:2">
      <c r="B2779" s="47"/>
    </row>
    <row r="2780" spans="2:2">
      <c r="B2780" s="47"/>
    </row>
    <row r="2781" spans="2:2">
      <c r="B2781" s="47"/>
    </row>
    <row r="2782" spans="2:2">
      <c r="B2782" s="47"/>
    </row>
    <row r="2783" spans="2:2">
      <c r="B2783" s="47"/>
    </row>
    <row r="2784" spans="2:2">
      <c r="B2784" s="47"/>
    </row>
    <row r="2785" spans="2:2">
      <c r="B2785" s="47"/>
    </row>
    <row r="2786" spans="2:2">
      <c r="B2786" s="47"/>
    </row>
    <row r="2787" spans="2:2">
      <c r="B2787" s="47"/>
    </row>
    <row r="2788" spans="2:2">
      <c r="B2788" s="47"/>
    </row>
    <row r="2789" spans="2:2">
      <c r="B2789" s="47"/>
    </row>
    <row r="2790" spans="2:2">
      <c r="B2790" s="47"/>
    </row>
    <row r="2791" spans="2:2">
      <c r="B2791" s="47"/>
    </row>
    <row r="2792" spans="2:2">
      <c r="B2792" s="47"/>
    </row>
    <row r="2793" spans="2:2">
      <c r="B2793" s="47"/>
    </row>
    <row r="2794" spans="2:2">
      <c r="B2794" s="47"/>
    </row>
    <row r="2795" spans="2:2">
      <c r="B2795" s="47"/>
    </row>
    <row r="2796" spans="2:2">
      <c r="B2796" s="47"/>
    </row>
    <row r="2797" spans="2:2">
      <c r="B2797" s="47"/>
    </row>
    <row r="2798" spans="2:2">
      <c r="B2798" s="47"/>
    </row>
    <row r="2799" spans="2:2">
      <c r="B2799" s="47"/>
    </row>
    <row r="2800" spans="2:2">
      <c r="B2800" s="47"/>
    </row>
    <row r="2801" spans="2:2">
      <c r="B2801" s="47"/>
    </row>
    <row r="2802" spans="2:2">
      <c r="B2802" s="47"/>
    </row>
    <row r="2803" spans="2:2">
      <c r="B2803" s="47"/>
    </row>
    <row r="2804" spans="2:2">
      <c r="B2804" s="47"/>
    </row>
    <row r="2805" spans="2:2">
      <c r="B2805" s="47"/>
    </row>
    <row r="2806" spans="2:2">
      <c r="B2806" s="47"/>
    </row>
    <row r="2807" spans="2:2">
      <c r="B2807" s="47"/>
    </row>
    <row r="2808" spans="2:2">
      <c r="B2808" s="47"/>
    </row>
    <row r="2809" spans="2:2">
      <c r="B2809" s="47"/>
    </row>
    <row r="2810" spans="2:2">
      <c r="B2810" s="47"/>
    </row>
    <row r="2811" spans="2:2">
      <c r="B2811" s="47"/>
    </row>
    <row r="2812" spans="2:2">
      <c r="B2812" s="47"/>
    </row>
    <row r="2813" spans="2:2">
      <c r="B2813" s="47"/>
    </row>
    <row r="2814" spans="2:2">
      <c r="B2814" s="47"/>
    </row>
    <row r="2815" spans="2:2">
      <c r="B2815" s="47"/>
    </row>
    <row r="2816" spans="2:2">
      <c r="B2816" s="47"/>
    </row>
    <row r="2817" spans="2:2">
      <c r="B2817" s="47"/>
    </row>
    <row r="2818" spans="2:2">
      <c r="B2818" s="47"/>
    </row>
    <row r="2819" spans="2:2">
      <c r="B2819" s="47"/>
    </row>
    <row r="2820" spans="2:2">
      <c r="B2820" s="47"/>
    </row>
    <row r="2821" spans="2:2">
      <c r="B2821" s="47"/>
    </row>
    <row r="2822" spans="2:2">
      <c r="B2822" s="47"/>
    </row>
    <row r="2823" spans="2:2">
      <c r="B2823" s="47"/>
    </row>
    <row r="2824" spans="2:2">
      <c r="B2824" s="47"/>
    </row>
    <row r="2825" spans="2:2">
      <c r="B2825" s="47"/>
    </row>
    <row r="2826" spans="2:2">
      <c r="B2826" s="47"/>
    </row>
    <row r="2827" spans="2:2">
      <c r="B2827" s="47"/>
    </row>
    <row r="2828" spans="2:2">
      <c r="B2828" s="47"/>
    </row>
    <row r="2829" spans="2:2">
      <c r="B2829" s="47"/>
    </row>
    <row r="2830" spans="2:2">
      <c r="B2830" s="47"/>
    </row>
    <row r="2831" spans="2:2">
      <c r="B2831" s="47"/>
    </row>
    <row r="2832" spans="2:2">
      <c r="B2832" s="47"/>
    </row>
    <row r="2833" spans="2:2">
      <c r="B2833" s="47"/>
    </row>
    <row r="2834" spans="2:2">
      <c r="B2834" s="47"/>
    </row>
    <row r="2835" spans="2:2">
      <c r="B2835" s="47"/>
    </row>
    <row r="2836" spans="2:2">
      <c r="B2836" s="47"/>
    </row>
    <row r="2837" spans="2:2">
      <c r="B2837" s="47"/>
    </row>
    <row r="2838" spans="2:2">
      <c r="B2838" s="47"/>
    </row>
    <row r="2839" spans="2:2">
      <c r="B2839" s="47"/>
    </row>
    <row r="2840" spans="2:2">
      <c r="B2840" s="47"/>
    </row>
    <row r="2841" spans="2:2">
      <c r="B2841" s="47"/>
    </row>
    <row r="2842" spans="2:2">
      <c r="B2842" s="47"/>
    </row>
    <row r="2843" spans="2:2">
      <c r="B2843" s="47"/>
    </row>
    <row r="2844" spans="2:2">
      <c r="B2844" s="47"/>
    </row>
    <row r="2845" spans="2:2">
      <c r="B2845" s="47"/>
    </row>
    <row r="2846" spans="2:2">
      <c r="B2846" s="47"/>
    </row>
    <row r="2847" spans="2:2">
      <c r="B2847" s="47"/>
    </row>
    <row r="2848" spans="2:2">
      <c r="B2848" s="47"/>
    </row>
    <row r="2849" spans="2:2">
      <c r="B2849" s="47"/>
    </row>
    <row r="2850" spans="2:2">
      <c r="B2850" s="47"/>
    </row>
    <row r="2851" spans="2:2">
      <c r="B2851" s="47"/>
    </row>
    <row r="2852" spans="2:2">
      <c r="B2852" s="47"/>
    </row>
    <row r="2853" spans="2:2">
      <c r="B2853" s="47"/>
    </row>
    <row r="2854" spans="2:2">
      <c r="B2854" s="47"/>
    </row>
    <row r="2855" spans="2:2">
      <c r="B2855" s="47"/>
    </row>
    <row r="2856" spans="2:2">
      <c r="B2856" s="47"/>
    </row>
    <row r="2857" spans="2:2">
      <c r="B2857" s="47"/>
    </row>
    <row r="2858" spans="2:2">
      <c r="B2858" s="47"/>
    </row>
    <row r="2859" spans="2:2">
      <c r="B2859" s="47"/>
    </row>
    <row r="2860" spans="2:2">
      <c r="B2860" s="47"/>
    </row>
    <row r="2861" spans="2:2">
      <c r="B2861" s="47"/>
    </row>
    <row r="2862" spans="2:2">
      <c r="B2862" s="47"/>
    </row>
    <row r="2863" spans="2:2">
      <c r="B2863" s="47"/>
    </row>
    <row r="2864" spans="2:2">
      <c r="B2864" s="47"/>
    </row>
    <row r="2865" spans="2:2">
      <c r="B2865" s="47"/>
    </row>
    <row r="2866" spans="2:2">
      <c r="B2866" s="47"/>
    </row>
    <row r="2867" spans="2:2">
      <c r="B2867" s="47"/>
    </row>
    <row r="2868" spans="2:2">
      <c r="B2868" s="47"/>
    </row>
    <row r="2869" spans="2:2">
      <c r="B2869" s="47"/>
    </row>
    <row r="2870" spans="2:2">
      <c r="B2870" s="47"/>
    </row>
    <row r="2871" spans="2:2">
      <c r="B2871" s="47"/>
    </row>
    <row r="2872" spans="2:2">
      <c r="B2872" s="47"/>
    </row>
    <row r="2873" spans="2:2">
      <c r="B2873" s="47"/>
    </row>
    <row r="2874" spans="2:2">
      <c r="B2874" s="47"/>
    </row>
    <row r="2875" spans="2:2">
      <c r="B2875" s="47"/>
    </row>
    <row r="2876" spans="2:2">
      <c r="B2876" s="47"/>
    </row>
    <row r="2877" spans="2:2">
      <c r="B2877" s="47"/>
    </row>
    <row r="2878" spans="2:2">
      <c r="B2878" s="47"/>
    </row>
    <row r="2879" spans="2:2">
      <c r="B2879" s="47"/>
    </row>
    <row r="2880" spans="2:2">
      <c r="B2880" s="47"/>
    </row>
    <row r="2881" spans="2:2">
      <c r="B2881" s="47"/>
    </row>
    <row r="2882" spans="2:2">
      <c r="B2882" s="47"/>
    </row>
    <row r="2883" spans="2:2">
      <c r="B2883" s="47"/>
    </row>
    <row r="2884" spans="2:2">
      <c r="B2884" s="47"/>
    </row>
    <row r="2885" spans="2:2">
      <c r="B2885" s="47"/>
    </row>
    <row r="2886" spans="2:2">
      <c r="B2886" s="47"/>
    </row>
    <row r="2887" spans="2:2">
      <c r="B2887" s="47"/>
    </row>
    <row r="2888" spans="2:2">
      <c r="B2888" s="47"/>
    </row>
    <row r="2889" spans="2:2">
      <c r="B2889" s="47"/>
    </row>
    <row r="2890" spans="2:2">
      <c r="B2890" s="47"/>
    </row>
    <row r="2891" spans="2:2">
      <c r="B2891" s="47"/>
    </row>
    <row r="2892" spans="2:2">
      <c r="B2892" s="47"/>
    </row>
    <row r="2893" spans="2:2">
      <c r="B2893" s="47"/>
    </row>
    <row r="2894" spans="2:2">
      <c r="B2894" s="47"/>
    </row>
    <row r="2895" spans="2:2">
      <c r="B2895" s="47"/>
    </row>
    <row r="2896" spans="2:2">
      <c r="B2896" s="47"/>
    </row>
    <row r="2897" spans="2:2">
      <c r="B2897" s="47"/>
    </row>
    <row r="2898" spans="2:2">
      <c r="B2898" s="47"/>
    </row>
    <row r="2899" spans="2:2">
      <c r="B2899" s="47"/>
    </row>
    <row r="2900" spans="2:2">
      <c r="B2900" s="47"/>
    </row>
    <row r="2901" spans="2:2">
      <c r="B2901" s="47"/>
    </row>
    <row r="2902" spans="2:2">
      <c r="B2902" s="47"/>
    </row>
    <row r="2903" spans="2:2">
      <c r="B2903" s="47"/>
    </row>
    <row r="2904" spans="2:2">
      <c r="B2904" s="47"/>
    </row>
    <row r="2905" spans="2:2">
      <c r="B2905" s="47"/>
    </row>
    <row r="2906" spans="2:2">
      <c r="B2906" s="47"/>
    </row>
    <row r="2907" spans="2:2">
      <c r="B2907" s="47"/>
    </row>
    <row r="2908" spans="2:2">
      <c r="B2908" s="47"/>
    </row>
    <row r="2909" spans="2:2">
      <c r="B2909" s="47"/>
    </row>
    <row r="2910" spans="2:2">
      <c r="B2910" s="47"/>
    </row>
    <row r="2911" spans="2:2">
      <c r="B2911" s="47"/>
    </row>
    <row r="2912" spans="2:2">
      <c r="B2912" s="47"/>
    </row>
    <row r="2913" spans="2:2">
      <c r="B2913" s="47"/>
    </row>
    <row r="2914" spans="2:2">
      <c r="B2914" s="47"/>
    </row>
    <row r="2915" spans="2:2">
      <c r="B2915" s="47"/>
    </row>
    <row r="2916" spans="2:2">
      <c r="B2916" s="47"/>
    </row>
    <row r="2917" spans="2:2">
      <c r="B2917" s="47"/>
    </row>
    <row r="2918" spans="2:2">
      <c r="B2918" s="47"/>
    </row>
    <row r="2919" spans="2:2">
      <c r="B2919" s="47"/>
    </row>
    <row r="2920" spans="2:2">
      <c r="B2920" s="47"/>
    </row>
    <row r="2921" spans="2:2">
      <c r="B2921" s="47"/>
    </row>
    <row r="2922" spans="2:2">
      <c r="B2922" s="47"/>
    </row>
    <row r="2923" spans="2:2">
      <c r="B2923" s="47"/>
    </row>
    <row r="2924" spans="2:2">
      <c r="B2924" s="47"/>
    </row>
    <row r="2925" spans="2:2">
      <c r="B2925" s="47"/>
    </row>
    <row r="2926" spans="2:2">
      <c r="B2926" s="47"/>
    </row>
    <row r="2927" spans="2:2">
      <c r="B2927" s="47"/>
    </row>
    <row r="2928" spans="2:2">
      <c r="B2928" s="47"/>
    </row>
    <row r="2929" spans="2:2">
      <c r="B2929" s="47"/>
    </row>
    <row r="2930" spans="2:2">
      <c r="B2930" s="47"/>
    </row>
    <row r="2931" spans="2:2">
      <c r="B2931" s="47"/>
    </row>
    <row r="2932" spans="2:2">
      <c r="B2932" s="47"/>
    </row>
    <row r="2933" spans="2:2">
      <c r="B2933" s="47"/>
    </row>
    <row r="2934" spans="2:2">
      <c r="B2934" s="47"/>
    </row>
    <row r="2935" spans="2:2">
      <c r="B2935" s="47"/>
    </row>
    <row r="2936" spans="2:2">
      <c r="B2936" s="47"/>
    </row>
    <row r="2937" spans="2:2">
      <c r="B2937" s="47"/>
    </row>
    <row r="2938" spans="2:2">
      <c r="B2938" s="47"/>
    </row>
    <row r="2939" spans="2:2">
      <c r="B2939" s="47"/>
    </row>
    <row r="2940" spans="2:2">
      <c r="B2940" s="47"/>
    </row>
    <row r="2941" spans="2:2">
      <c r="B2941" s="47"/>
    </row>
    <row r="2942" spans="2:2">
      <c r="B2942" s="47"/>
    </row>
    <row r="2943" spans="2:2">
      <c r="B2943" s="47"/>
    </row>
    <row r="2944" spans="2:2">
      <c r="B2944" s="47"/>
    </row>
    <row r="2945" spans="2:2">
      <c r="B2945" s="47"/>
    </row>
    <row r="2946" spans="2:2">
      <c r="B2946" s="47"/>
    </row>
    <row r="2947" spans="2:2">
      <c r="B2947" s="47"/>
    </row>
    <row r="2948" spans="2:2">
      <c r="B2948" s="47"/>
    </row>
    <row r="2949" spans="2:2">
      <c r="B2949" s="47"/>
    </row>
    <row r="2950" spans="2:2">
      <c r="B2950" s="47"/>
    </row>
    <row r="2951" spans="2:2">
      <c r="B2951" s="47"/>
    </row>
    <row r="2952" spans="2:2">
      <c r="B2952" s="47"/>
    </row>
    <row r="2953" spans="2:2">
      <c r="B2953" s="47"/>
    </row>
    <row r="2954" spans="2:2">
      <c r="B2954" s="47"/>
    </row>
    <row r="2955" spans="2:2">
      <c r="B2955" s="47"/>
    </row>
    <row r="2956" spans="2:2">
      <c r="B2956" s="47"/>
    </row>
    <row r="2957" spans="2:2">
      <c r="B2957" s="47"/>
    </row>
    <row r="2958" spans="2:2">
      <c r="B2958" s="47"/>
    </row>
    <row r="2959" spans="2:2">
      <c r="B2959" s="47"/>
    </row>
    <row r="2960" spans="2:2">
      <c r="B2960" s="47"/>
    </row>
    <row r="2961" spans="2:2">
      <c r="B2961" s="47"/>
    </row>
    <row r="2962" spans="2:2">
      <c r="B2962" s="47"/>
    </row>
    <row r="2963" spans="2:2">
      <c r="B2963" s="47"/>
    </row>
    <row r="2964" spans="2:2">
      <c r="B2964" s="47"/>
    </row>
    <row r="2965" spans="2:2">
      <c r="B2965" s="47"/>
    </row>
    <row r="2966" spans="2:2">
      <c r="B2966" s="47"/>
    </row>
    <row r="2967" spans="2:2">
      <c r="B2967" s="47"/>
    </row>
    <row r="2968" spans="2:2">
      <c r="B2968" s="47"/>
    </row>
    <row r="2969" spans="2:2">
      <c r="B2969" s="47"/>
    </row>
    <row r="2970" spans="2:2">
      <c r="B2970" s="47"/>
    </row>
    <row r="2971" spans="2:2">
      <c r="B2971" s="47"/>
    </row>
    <row r="2972" spans="2:2">
      <c r="B2972" s="47"/>
    </row>
    <row r="2973" spans="2:2">
      <c r="B2973" s="47"/>
    </row>
    <row r="2974" spans="2:2">
      <c r="B2974" s="47"/>
    </row>
    <row r="2975" spans="2:2">
      <c r="B2975" s="47"/>
    </row>
    <row r="2976" spans="2:2">
      <c r="B2976" s="47"/>
    </row>
    <row r="2977" spans="2:2">
      <c r="B2977" s="47"/>
    </row>
    <row r="2978" spans="2:2">
      <c r="B2978" s="47"/>
    </row>
    <row r="2979" spans="2:2">
      <c r="B2979" s="47"/>
    </row>
    <row r="2980" spans="2:2">
      <c r="B2980" s="47"/>
    </row>
    <row r="2981" spans="2:2">
      <c r="B2981" s="47"/>
    </row>
    <row r="2982" spans="2:2">
      <c r="B2982" s="47"/>
    </row>
    <row r="2983" spans="2:2">
      <c r="B2983" s="47"/>
    </row>
    <row r="2984" spans="2:2">
      <c r="B2984" s="47"/>
    </row>
    <row r="2985" spans="2:2">
      <c r="B2985" s="47"/>
    </row>
    <row r="2986" spans="2:2">
      <c r="B2986" s="47"/>
    </row>
    <row r="2987" spans="2:2">
      <c r="B2987" s="47"/>
    </row>
    <row r="2988" spans="2:2">
      <c r="B2988" s="47"/>
    </row>
    <row r="2989" spans="2:2">
      <c r="B2989" s="47"/>
    </row>
    <row r="2990" spans="2:2">
      <c r="B2990" s="47"/>
    </row>
    <row r="2991" spans="2:2">
      <c r="B2991" s="47"/>
    </row>
    <row r="2992" spans="2:2">
      <c r="B2992" s="47"/>
    </row>
    <row r="2993" spans="2:2">
      <c r="B2993" s="47"/>
    </row>
    <row r="2994" spans="2:2">
      <c r="B2994" s="47"/>
    </row>
    <row r="2995" spans="2:2">
      <c r="B2995" s="47"/>
    </row>
    <row r="2996" spans="2:2">
      <c r="B2996" s="47"/>
    </row>
    <row r="2997" spans="2:2">
      <c r="B2997" s="47"/>
    </row>
    <row r="2998" spans="2:2">
      <c r="B2998" s="47"/>
    </row>
    <row r="2999" spans="2:2">
      <c r="B2999" s="47"/>
    </row>
    <row r="3000" spans="2:2">
      <c r="B3000" s="47"/>
    </row>
    <row r="3001" spans="2:2">
      <c r="B3001" s="47"/>
    </row>
    <row r="3002" spans="2:2">
      <c r="B3002" s="47"/>
    </row>
    <row r="3003" spans="2:2">
      <c r="B3003" s="47"/>
    </row>
    <row r="3004" spans="2:2">
      <c r="B3004" s="47"/>
    </row>
    <row r="3005" spans="2:2">
      <c r="B3005" s="47"/>
    </row>
    <row r="3006" spans="2:2">
      <c r="B3006" s="47"/>
    </row>
    <row r="3007" spans="2:2">
      <c r="B3007" s="47"/>
    </row>
    <row r="3008" spans="2:2">
      <c r="B3008" s="47"/>
    </row>
    <row r="3009" spans="2:2">
      <c r="B3009" s="47"/>
    </row>
    <row r="3010" spans="2:2">
      <c r="B3010" s="47"/>
    </row>
    <row r="3011" spans="2:2">
      <c r="B3011" s="47"/>
    </row>
    <row r="3012" spans="2:2">
      <c r="B3012" s="47"/>
    </row>
    <row r="3013" spans="2:2">
      <c r="B3013" s="47"/>
    </row>
    <row r="3014" spans="2:2">
      <c r="B3014" s="47"/>
    </row>
    <row r="3015" spans="2:2">
      <c r="B3015" s="47"/>
    </row>
    <row r="3016" spans="2:2">
      <c r="B3016" s="47"/>
    </row>
    <row r="3017" spans="2:2">
      <c r="B3017" s="47"/>
    </row>
    <row r="3018" spans="2:2">
      <c r="B3018" s="47"/>
    </row>
    <row r="3019" spans="2:2">
      <c r="B3019" s="47"/>
    </row>
    <row r="3020" spans="2:2">
      <c r="B3020" s="47"/>
    </row>
    <row r="3021" spans="2:2">
      <c r="B3021" s="47"/>
    </row>
    <row r="3022" spans="2:2">
      <c r="B3022" s="47"/>
    </row>
    <row r="3023" spans="2:2">
      <c r="B3023" s="47"/>
    </row>
    <row r="3024" spans="2:2">
      <c r="B3024" s="47"/>
    </row>
    <row r="3025" spans="2:2">
      <c r="B3025" s="47"/>
    </row>
    <row r="3026" spans="2:2">
      <c r="B3026" s="47"/>
    </row>
    <row r="3027" spans="2:2">
      <c r="B3027" s="47"/>
    </row>
    <row r="3028" spans="2:2">
      <c r="B3028" s="47"/>
    </row>
    <row r="3029" spans="2:2">
      <c r="B3029" s="47"/>
    </row>
    <row r="3030" spans="2:2">
      <c r="B3030" s="47"/>
    </row>
    <row r="3031" spans="2:2">
      <c r="B3031" s="47"/>
    </row>
    <row r="3032" spans="2:2">
      <c r="B3032" s="47"/>
    </row>
    <row r="3033" spans="2:2">
      <c r="B3033" s="47"/>
    </row>
    <row r="3034" spans="2:2">
      <c r="B3034" s="47"/>
    </row>
    <row r="3035" spans="2:2">
      <c r="B3035" s="47"/>
    </row>
    <row r="3036" spans="2:2">
      <c r="B3036" s="47"/>
    </row>
    <row r="3037" spans="2:2">
      <c r="B3037" s="47"/>
    </row>
    <row r="3038" spans="2:2">
      <c r="B3038" s="47"/>
    </row>
    <row r="3039" spans="2:2">
      <c r="B3039" s="47"/>
    </row>
    <row r="3040" spans="2:2">
      <c r="B3040" s="47"/>
    </row>
    <row r="3041" spans="2:2">
      <c r="B3041" s="47"/>
    </row>
    <row r="3042" spans="2:2">
      <c r="B3042" s="47"/>
    </row>
    <row r="3043" spans="2:2">
      <c r="B3043" s="47"/>
    </row>
    <row r="3044" spans="2:2">
      <c r="B3044" s="47"/>
    </row>
    <row r="3045" spans="2:2">
      <c r="B3045" s="47"/>
    </row>
    <row r="3046" spans="2:2">
      <c r="B3046" s="47"/>
    </row>
    <row r="3047" spans="2:2">
      <c r="B3047" s="47"/>
    </row>
    <row r="3048" spans="2:2">
      <c r="B3048" s="47"/>
    </row>
    <row r="3049" spans="2:2">
      <c r="B3049" s="47"/>
    </row>
    <row r="3050" spans="2:2">
      <c r="B3050" s="47"/>
    </row>
    <row r="3051" spans="2:2">
      <c r="B3051" s="47"/>
    </row>
    <row r="3052" spans="2:2">
      <c r="B3052" s="47"/>
    </row>
    <row r="3053" spans="2:2">
      <c r="B3053" s="47"/>
    </row>
    <row r="3054" spans="2:2">
      <c r="B3054" s="47"/>
    </row>
    <row r="3055" spans="2:2">
      <c r="B3055" s="47"/>
    </row>
    <row r="3056" spans="2:2">
      <c r="B3056" s="47"/>
    </row>
    <row r="3057" spans="2:2">
      <c r="B3057" s="47"/>
    </row>
    <row r="3058" spans="2:2">
      <c r="B3058" s="47"/>
    </row>
    <row r="3059" spans="2:2">
      <c r="B3059" s="47"/>
    </row>
    <row r="3060" spans="2:2">
      <c r="B3060" s="47"/>
    </row>
    <row r="3061" spans="2:2">
      <c r="B3061" s="47"/>
    </row>
    <row r="3062" spans="2:2">
      <c r="B3062" s="47"/>
    </row>
    <row r="3063" spans="2:2">
      <c r="B3063" s="47"/>
    </row>
    <row r="3064" spans="2:2">
      <c r="B3064" s="47"/>
    </row>
    <row r="3065" spans="2:2">
      <c r="B3065" s="47"/>
    </row>
    <row r="3066" spans="2:2">
      <c r="B3066" s="47"/>
    </row>
    <row r="3067" spans="2:2">
      <c r="B3067" s="47"/>
    </row>
    <row r="3068" spans="2:2">
      <c r="B3068" s="47"/>
    </row>
    <row r="3069" spans="2:2">
      <c r="B3069" s="47"/>
    </row>
    <row r="3070" spans="2:2">
      <c r="B3070" s="47"/>
    </row>
    <row r="3071" spans="2:2">
      <c r="B3071" s="47"/>
    </row>
    <row r="3072" spans="2:2">
      <c r="B3072" s="47"/>
    </row>
    <row r="3073" spans="2:2">
      <c r="B3073" s="47"/>
    </row>
    <row r="3074" spans="2:2">
      <c r="B3074" s="47"/>
    </row>
    <row r="3075" spans="2:2">
      <c r="B3075" s="47"/>
    </row>
    <row r="3076" spans="2:2">
      <c r="B3076" s="47"/>
    </row>
    <row r="3077" spans="2:2">
      <c r="B3077" s="47"/>
    </row>
    <row r="3078" spans="2:2">
      <c r="B3078" s="47"/>
    </row>
    <row r="3079" spans="2:2">
      <c r="B3079" s="47"/>
    </row>
    <row r="3080" spans="2:2">
      <c r="B3080" s="47"/>
    </row>
    <row r="3081" spans="2:2">
      <c r="B3081" s="47"/>
    </row>
    <row r="3082" spans="2:2">
      <c r="B3082" s="47"/>
    </row>
    <row r="3083" spans="2:2">
      <c r="B3083" s="47"/>
    </row>
    <row r="3084" spans="2:2">
      <c r="B3084" s="47"/>
    </row>
    <row r="3085" spans="2:2">
      <c r="B3085" s="47"/>
    </row>
    <row r="3086" spans="2:2">
      <c r="B3086" s="47"/>
    </row>
    <row r="3087" spans="2:2">
      <c r="B3087" s="47"/>
    </row>
    <row r="3088" spans="2:2">
      <c r="B3088" s="47"/>
    </row>
    <row r="3089" spans="2:2">
      <c r="B3089" s="47"/>
    </row>
    <row r="3090" spans="2:2">
      <c r="B3090" s="47"/>
    </row>
    <row r="3091" spans="2:2">
      <c r="B3091" s="47"/>
    </row>
    <row r="3092" spans="2:2">
      <c r="B3092" s="47"/>
    </row>
    <row r="3093" spans="2:2">
      <c r="B3093" s="47"/>
    </row>
    <row r="3094" spans="2:2">
      <c r="B3094" s="47"/>
    </row>
    <row r="3095" spans="2:2">
      <c r="B3095" s="47"/>
    </row>
    <row r="3096" spans="2:2">
      <c r="B3096" s="47"/>
    </row>
    <row r="3097" spans="2:2">
      <c r="B3097" s="47"/>
    </row>
    <row r="3098" spans="2:2">
      <c r="B3098" s="47"/>
    </row>
    <row r="3099" spans="2:2">
      <c r="B3099" s="47"/>
    </row>
    <row r="3100" spans="2:2">
      <c r="B3100" s="47"/>
    </row>
    <row r="3101" spans="2:2">
      <c r="B3101" s="47"/>
    </row>
    <row r="3102" spans="2:2">
      <c r="B3102" s="47"/>
    </row>
    <row r="3103" spans="2:2">
      <c r="B3103" s="47"/>
    </row>
    <row r="3104" spans="2:2">
      <c r="B3104" s="47"/>
    </row>
    <row r="3105" spans="2:2">
      <c r="B3105" s="47"/>
    </row>
    <row r="3106" spans="2:2">
      <c r="B3106" s="47"/>
    </row>
    <row r="3107" spans="2:2">
      <c r="B3107" s="47"/>
    </row>
    <row r="3108" spans="2:2">
      <c r="B3108" s="47"/>
    </row>
    <row r="3109" spans="2:2">
      <c r="B3109" s="47"/>
    </row>
    <row r="3110" spans="2:2">
      <c r="B3110" s="47"/>
    </row>
    <row r="3111" spans="2:2">
      <c r="B3111" s="47"/>
    </row>
    <row r="3112" spans="2:2">
      <c r="B3112" s="47"/>
    </row>
    <row r="3113" spans="2:2">
      <c r="B3113" s="47"/>
    </row>
    <row r="3114" spans="2:2">
      <c r="B3114" s="47"/>
    </row>
    <row r="3115" spans="2:2">
      <c r="B3115" s="47"/>
    </row>
    <row r="3116" spans="2:2">
      <c r="B3116" s="47"/>
    </row>
    <row r="3117" spans="2:2">
      <c r="B3117" s="47"/>
    </row>
    <row r="3118" spans="2:2">
      <c r="B3118" s="47"/>
    </row>
    <row r="3119" spans="2:2">
      <c r="B3119" s="47"/>
    </row>
    <row r="3120" spans="2:2">
      <c r="B3120" s="47"/>
    </row>
    <row r="3121" spans="2:2">
      <c r="B3121" s="47"/>
    </row>
    <row r="3122" spans="2:2">
      <c r="B3122" s="47"/>
    </row>
    <row r="3123" spans="2:2">
      <c r="B3123" s="47"/>
    </row>
    <row r="3124" spans="2:2">
      <c r="B3124" s="47"/>
    </row>
    <row r="3125" spans="2:2">
      <c r="B3125" s="47"/>
    </row>
    <row r="3126" spans="2:2">
      <c r="B3126" s="47"/>
    </row>
    <row r="3127" spans="2:2">
      <c r="B3127" s="47"/>
    </row>
    <row r="3128" spans="2:2">
      <c r="B3128" s="47"/>
    </row>
    <row r="3129" spans="2:2">
      <c r="B3129" s="47"/>
    </row>
    <row r="3130" spans="2:2">
      <c r="B3130" s="47"/>
    </row>
    <row r="3131" spans="2:2">
      <c r="B3131" s="47"/>
    </row>
    <row r="3132" spans="2:2">
      <c r="B3132" s="47"/>
    </row>
    <row r="3133" spans="2:2">
      <c r="B3133" s="47"/>
    </row>
    <row r="3134" spans="2:2">
      <c r="B3134" s="47"/>
    </row>
    <row r="3135" spans="2:2">
      <c r="B3135" s="47"/>
    </row>
    <row r="3136" spans="2:2">
      <c r="B3136" s="47"/>
    </row>
    <row r="3137" spans="2:2">
      <c r="B3137" s="47"/>
    </row>
    <row r="3138" spans="2:2">
      <c r="B3138" s="47"/>
    </row>
    <row r="3139" spans="2:2">
      <c r="B3139" s="47"/>
    </row>
    <row r="3140" spans="2:2">
      <c r="B3140" s="47"/>
    </row>
    <row r="3141" spans="2:2">
      <c r="B3141" s="47"/>
    </row>
    <row r="3142" spans="2:2">
      <c r="B3142" s="47"/>
    </row>
    <row r="3143" spans="2:2">
      <c r="B3143" s="47"/>
    </row>
    <row r="3144" spans="2:2">
      <c r="B3144" s="47"/>
    </row>
    <row r="3145" spans="2:2">
      <c r="B3145" s="47"/>
    </row>
    <row r="3146" spans="2:2">
      <c r="B3146" s="47"/>
    </row>
    <row r="3147" spans="2:2">
      <c r="B3147" s="47"/>
    </row>
    <row r="3148" spans="2:2">
      <c r="B3148" s="47"/>
    </row>
    <row r="3149" spans="2:2">
      <c r="B3149" s="47"/>
    </row>
    <row r="3150" spans="2:2">
      <c r="B3150" s="47"/>
    </row>
    <row r="3151" spans="2:2">
      <c r="B3151" s="47"/>
    </row>
    <row r="3152" spans="2:2">
      <c r="B3152" s="47"/>
    </row>
    <row r="3153" spans="2:2">
      <c r="B3153" s="47"/>
    </row>
    <row r="3154" spans="2:2">
      <c r="B3154" s="47"/>
    </row>
    <row r="3155" spans="2:2">
      <c r="B3155" s="47"/>
    </row>
    <row r="3156" spans="2:2">
      <c r="B3156" s="47"/>
    </row>
    <row r="3157" spans="2:2">
      <c r="B3157" s="47"/>
    </row>
    <row r="3158" spans="2:2">
      <c r="B3158" s="47"/>
    </row>
    <row r="3159" spans="2:2">
      <c r="B3159" s="47"/>
    </row>
    <row r="3160" spans="2:2">
      <c r="B3160" s="47"/>
    </row>
    <row r="3161" spans="2:2">
      <c r="B3161" s="47"/>
    </row>
    <row r="3162" spans="2:2">
      <c r="B3162" s="47"/>
    </row>
    <row r="3163" spans="2:2">
      <c r="B3163" s="47"/>
    </row>
    <row r="3164" spans="2:2">
      <c r="B3164" s="47"/>
    </row>
    <row r="3165" spans="2:2">
      <c r="B3165" s="47"/>
    </row>
    <row r="3166" spans="2:2">
      <c r="B3166" s="47"/>
    </row>
    <row r="3167" spans="2:2">
      <c r="B3167" s="47"/>
    </row>
    <row r="3168" spans="2:2">
      <c r="B3168" s="47"/>
    </row>
    <row r="3169" spans="2:2">
      <c r="B3169" s="47"/>
    </row>
    <row r="3170" spans="2:2">
      <c r="B3170" s="47"/>
    </row>
    <row r="3171" spans="2:2">
      <c r="B3171" s="47"/>
    </row>
    <row r="3172" spans="2:2">
      <c r="B3172" s="47"/>
    </row>
    <row r="3173" spans="2:2">
      <c r="B3173" s="47"/>
    </row>
    <row r="3174" spans="2:2">
      <c r="B3174" s="47"/>
    </row>
    <row r="3175" spans="2:2">
      <c r="B3175" s="47"/>
    </row>
    <row r="3176" spans="2:2">
      <c r="B3176" s="47"/>
    </row>
    <row r="3177" spans="2:2">
      <c r="B3177" s="47"/>
    </row>
    <row r="3178" spans="2:2">
      <c r="B3178" s="47"/>
    </row>
    <row r="3179" spans="2:2">
      <c r="B3179" s="47"/>
    </row>
    <row r="3180" spans="2:2">
      <c r="B3180" s="47"/>
    </row>
    <row r="3181" spans="2:2">
      <c r="B3181" s="47"/>
    </row>
    <row r="3182" spans="2:2">
      <c r="B3182" s="47"/>
    </row>
    <row r="3183" spans="2:2">
      <c r="B3183" s="47"/>
    </row>
    <row r="3184" spans="2:2">
      <c r="B3184" s="47"/>
    </row>
    <row r="3185" spans="2:2">
      <c r="B3185" s="47"/>
    </row>
    <row r="3186" spans="2:2">
      <c r="B3186" s="47"/>
    </row>
    <row r="3187" spans="2:2">
      <c r="B3187" s="47"/>
    </row>
    <row r="3188" spans="2:2">
      <c r="B3188" s="47"/>
    </row>
    <row r="3189" spans="2:2">
      <c r="B3189" s="47"/>
    </row>
    <row r="3190" spans="2:2">
      <c r="B3190" s="47"/>
    </row>
    <row r="3191" spans="2:2">
      <c r="B3191" s="47"/>
    </row>
    <row r="3192" spans="2:2">
      <c r="B3192" s="47"/>
    </row>
    <row r="3193" spans="2:2">
      <c r="B3193" s="47"/>
    </row>
    <row r="3194" spans="2:2">
      <c r="B3194" s="47"/>
    </row>
    <row r="3195" spans="2:2">
      <c r="B3195" s="47"/>
    </row>
    <row r="3196" spans="2:2">
      <c r="B3196" s="47"/>
    </row>
    <row r="3197" spans="2:2">
      <c r="B3197" s="47"/>
    </row>
    <row r="3198" spans="2:2">
      <c r="B3198" s="47"/>
    </row>
    <row r="3199" spans="2:2">
      <c r="B3199" s="47"/>
    </row>
    <row r="3200" spans="2:2">
      <c r="B3200" s="47"/>
    </row>
    <row r="3201" spans="2:2">
      <c r="B3201" s="47"/>
    </row>
    <row r="3202" spans="2:2">
      <c r="B3202" s="47"/>
    </row>
    <row r="3203" spans="2:2">
      <c r="B3203" s="47"/>
    </row>
    <row r="3204" spans="2:2">
      <c r="B3204" s="47"/>
    </row>
    <row r="3205" spans="2:2">
      <c r="B3205" s="47"/>
    </row>
    <row r="3206" spans="2:2">
      <c r="B3206" s="47"/>
    </row>
    <row r="3207" spans="2:2">
      <c r="B3207" s="47"/>
    </row>
    <row r="3208" spans="2:2">
      <c r="B3208" s="47"/>
    </row>
    <row r="3209" spans="2:2">
      <c r="B3209" s="47"/>
    </row>
    <row r="3210" spans="2:2">
      <c r="B3210" s="47"/>
    </row>
    <row r="3211" spans="2:2">
      <c r="B3211" s="47"/>
    </row>
    <row r="3212" spans="2:2">
      <c r="B3212" s="47"/>
    </row>
    <row r="3213" spans="2:2">
      <c r="B3213" s="47"/>
    </row>
    <row r="3214" spans="2:2">
      <c r="B3214" s="47"/>
    </row>
    <row r="3215" spans="2:2">
      <c r="B3215" s="47"/>
    </row>
    <row r="3216" spans="2:2">
      <c r="B3216" s="47"/>
    </row>
    <row r="3217" spans="2:2">
      <c r="B3217" s="47"/>
    </row>
    <row r="3218" spans="2:2">
      <c r="B3218" s="47"/>
    </row>
    <row r="3219" spans="2:2">
      <c r="B3219" s="47"/>
    </row>
    <row r="3220" spans="2:2">
      <c r="B3220" s="47"/>
    </row>
    <row r="3221" spans="2:2">
      <c r="B3221" s="47"/>
    </row>
    <row r="3222" spans="2:2">
      <c r="B3222" s="47"/>
    </row>
    <row r="3223" spans="2:2">
      <c r="B3223" s="47"/>
    </row>
    <row r="3224" spans="2:2">
      <c r="B3224" s="47"/>
    </row>
    <row r="3225" spans="2:2">
      <c r="B3225" s="47"/>
    </row>
    <row r="3226" spans="2:2">
      <c r="B3226" s="47"/>
    </row>
    <row r="3227" spans="2:2">
      <c r="B3227" s="47"/>
    </row>
    <row r="3228" spans="2:2">
      <c r="B3228" s="47"/>
    </row>
    <row r="3229" spans="2:2">
      <c r="B3229" s="47"/>
    </row>
    <row r="3230" spans="2:2">
      <c r="B3230" s="47"/>
    </row>
    <row r="3231" spans="2:2">
      <c r="B3231" s="47"/>
    </row>
    <row r="3232" spans="2:2">
      <c r="B3232" s="47"/>
    </row>
    <row r="3233" spans="2:2">
      <c r="B3233" s="47"/>
    </row>
    <row r="3234" spans="2:2">
      <c r="B3234" s="47"/>
    </row>
    <row r="3235" spans="2:2">
      <c r="B3235" s="47"/>
    </row>
    <row r="3236" spans="2:2">
      <c r="B3236" s="47"/>
    </row>
    <row r="3237" spans="2:2">
      <c r="B3237" s="47"/>
    </row>
    <row r="3238" spans="2:2">
      <c r="B3238" s="47"/>
    </row>
    <row r="3239" spans="2:2">
      <c r="B3239" s="47"/>
    </row>
    <row r="3240" spans="2:2">
      <c r="B3240" s="47"/>
    </row>
    <row r="3241" spans="2:2">
      <c r="B3241" s="47"/>
    </row>
    <row r="3242" spans="2:2">
      <c r="B3242" s="47"/>
    </row>
    <row r="3243" spans="2:2">
      <c r="B3243" s="47"/>
    </row>
    <row r="3244" spans="2:2">
      <c r="B3244" s="47"/>
    </row>
    <row r="3245" spans="2:2">
      <c r="B3245" s="47"/>
    </row>
    <row r="3246" spans="2:2">
      <c r="B3246" s="47"/>
    </row>
    <row r="3247" spans="2:2">
      <c r="B3247" s="47"/>
    </row>
    <row r="3248" spans="2:2">
      <c r="B3248" s="47"/>
    </row>
    <row r="3249" spans="2:2">
      <c r="B3249" s="47"/>
    </row>
    <row r="3250" spans="2:2">
      <c r="B3250" s="47"/>
    </row>
    <row r="3251" spans="2:2">
      <c r="B3251" s="47"/>
    </row>
    <row r="3252" spans="2:2">
      <c r="B3252" s="47"/>
    </row>
    <row r="3253" spans="2:2">
      <c r="B3253" s="47"/>
    </row>
    <row r="3254" spans="2:2">
      <c r="B3254" s="47"/>
    </row>
    <row r="3255" spans="2:2">
      <c r="B3255" s="47"/>
    </row>
    <row r="3256" spans="2:2">
      <c r="B3256" s="47"/>
    </row>
    <row r="3257" spans="2:2">
      <c r="B3257" s="47"/>
    </row>
    <row r="3258" spans="2:2">
      <c r="B3258" s="47"/>
    </row>
    <row r="3259" spans="2:2">
      <c r="B3259" s="47"/>
    </row>
    <row r="3260" spans="2:2">
      <c r="B3260" s="47"/>
    </row>
    <row r="3261" spans="2:2">
      <c r="B3261" s="47"/>
    </row>
    <row r="3262" spans="2:2">
      <c r="B3262" s="47"/>
    </row>
    <row r="3263" spans="2:2">
      <c r="B3263" s="47"/>
    </row>
    <row r="3264" spans="2:2">
      <c r="B3264" s="47"/>
    </row>
    <row r="3265" spans="2:2">
      <c r="B3265" s="47"/>
    </row>
    <row r="3266" spans="2:2">
      <c r="B3266" s="47"/>
    </row>
    <row r="3267" spans="2:2">
      <c r="B3267" s="47"/>
    </row>
    <row r="3268" spans="2:2">
      <c r="B3268" s="47"/>
    </row>
    <row r="3269" spans="2:2">
      <c r="B3269" s="47"/>
    </row>
    <row r="3270" spans="2:2">
      <c r="B3270" s="47"/>
    </row>
    <row r="3271" spans="2:2">
      <c r="B3271" s="47"/>
    </row>
    <row r="3272" spans="2:2">
      <c r="B3272" s="47"/>
    </row>
    <row r="3273" spans="2:2">
      <c r="B3273" s="47"/>
    </row>
    <row r="3274" spans="2:2">
      <c r="B3274" s="47"/>
    </row>
    <row r="3275" spans="2:2">
      <c r="B3275" s="47"/>
    </row>
    <row r="3276" spans="2:2">
      <c r="B3276" s="47"/>
    </row>
    <row r="3277" spans="2:2">
      <c r="B3277" s="47"/>
    </row>
    <row r="3278" spans="2:2">
      <c r="B3278" s="47"/>
    </row>
    <row r="3279" spans="2:2">
      <c r="B3279" s="47"/>
    </row>
    <row r="3280" spans="2:2">
      <c r="B3280" s="47"/>
    </row>
    <row r="3281" spans="2:2">
      <c r="B3281" s="47"/>
    </row>
    <row r="3282" spans="2:2">
      <c r="B3282" s="47"/>
    </row>
    <row r="3283" spans="2:2">
      <c r="B3283" s="47"/>
    </row>
    <row r="3284" spans="2:2">
      <c r="B3284" s="47"/>
    </row>
    <row r="3285" spans="2:2">
      <c r="B3285" s="47"/>
    </row>
    <row r="3286" spans="2:2">
      <c r="B3286" s="47"/>
    </row>
    <row r="3287" spans="2:2">
      <c r="B3287" s="47"/>
    </row>
    <row r="3288" spans="2:2">
      <c r="B3288" s="47"/>
    </row>
    <row r="3289" spans="2:2">
      <c r="B3289" s="47"/>
    </row>
    <row r="3290" spans="2:2">
      <c r="B3290" s="47"/>
    </row>
    <row r="3291" spans="2:2">
      <c r="B3291" s="47"/>
    </row>
    <row r="3292" spans="2:2">
      <c r="B3292" s="47"/>
    </row>
    <row r="3293" spans="2:2">
      <c r="B3293" s="47"/>
    </row>
    <row r="3294" spans="2:2">
      <c r="B3294" s="47"/>
    </row>
    <row r="3295" spans="2:2">
      <c r="B3295" s="47"/>
    </row>
    <row r="3296" spans="2:2">
      <c r="B3296" s="47"/>
    </row>
    <row r="3297" spans="2:2">
      <c r="B3297" s="47"/>
    </row>
    <row r="3298" spans="2:2">
      <c r="B3298" s="47"/>
    </row>
    <row r="3299" spans="2:2">
      <c r="B3299" s="47"/>
    </row>
    <row r="3300" spans="2:2">
      <c r="B3300" s="47"/>
    </row>
    <row r="3301" spans="2:2">
      <c r="B3301" s="47"/>
    </row>
    <row r="3302" spans="2:2">
      <c r="B3302" s="47"/>
    </row>
    <row r="3303" spans="2:2">
      <c r="B3303" s="47"/>
    </row>
    <row r="3304" spans="2:2">
      <c r="B3304" s="47"/>
    </row>
    <row r="3305" spans="2:2">
      <c r="B3305" s="47"/>
    </row>
    <row r="3306" spans="2:2">
      <c r="B3306" s="47"/>
    </row>
    <row r="3307" spans="2:2">
      <c r="B3307" s="47"/>
    </row>
    <row r="3308" spans="2:2">
      <c r="B3308" s="47"/>
    </row>
    <row r="3309" spans="2:2">
      <c r="B3309" s="47"/>
    </row>
    <row r="3310" spans="2:2">
      <c r="B3310" s="47"/>
    </row>
    <row r="3311" spans="2:2">
      <c r="B3311" s="47"/>
    </row>
    <row r="3312" spans="2:2">
      <c r="B3312" s="47"/>
    </row>
    <row r="3313" spans="2:2">
      <c r="B3313" s="47"/>
    </row>
    <row r="3314" spans="2:2">
      <c r="B3314" s="47"/>
    </row>
    <row r="3315" spans="2:2">
      <c r="B3315" s="47"/>
    </row>
    <row r="3316" spans="2:2">
      <c r="B3316" s="47"/>
    </row>
    <row r="3317" spans="2:2">
      <c r="B3317" s="47"/>
    </row>
    <row r="3318" spans="2:2">
      <c r="B3318" s="47"/>
    </row>
    <row r="3319" spans="2:2">
      <c r="B3319" s="47"/>
    </row>
    <row r="3320" spans="2:2">
      <c r="B3320" s="47"/>
    </row>
    <row r="3321" spans="2:2">
      <c r="B3321" s="47"/>
    </row>
    <row r="3322" spans="2:2">
      <c r="B3322" s="47"/>
    </row>
    <row r="3323" spans="2:2">
      <c r="B3323" s="47"/>
    </row>
    <row r="3324" spans="2:2">
      <c r="B3324" s="47"/>
    </row>
    <row r="3325" spans="2:2">
      <c r="B3325" s="47"/>
    </row>
    <row r="3326" spans="2:2">
      <c r="B3326" s="47"/>
    </row>
    <row r="3327" spans="2:2">
      <c r="B3327" s="47"/>
    </row>
    <row r="3328" spans="2:2">
      <c r="B3328" s="47"/>
    </row>
    <row r="3329" spans="2:2">
      <c r="B3329" s="47"/>
    </row>
    <row r="3330" spans="2:2">
      <c r="B3330" s="47"/>
    </row>
    <row r="3331" spans="2:2">
      <c r="B3331" s="47"/>
    </row>
    <row r="3332" spans="2:2">
      <c r="B3332" s="47"/>
    </row>
    <row r="3333" spans="2:2">
      <c r="B3333" s="47"/>
    </row>
    <row r="3334" spans="2:2">
      <c r="B3334" s="47"/>
    </row>
    <row r="3335" spans="2:2">
      <c r="B3335" s="47"/>
    </row>
    <row r="3336" spans="2:2">
      <c r="B3336" s="47"/>
    </row>
    <row r="3337" spans="2:2">
      <c r="B3337" s="47"/>
    </row>
    <row r="3338" spans="2:2">
      <c r="B3338" s="47"/>
    </row>
    <row r="3339" spans="2:2">
      <c r="B3339" s="47"/>
    </row>
    <row r="3340" spans="2:2">
      <c r="B3340" s="47"/>
    </row>
    <row r="3341" spans="2:2">
      <c r="B3341" s="47"/>
    </row>
    <row r="3342" spans="2:2">
      <c r="B3342" s="47"/>
    </row>
    <row r="3343" spans="2:2">
      <c r="B3343" s="47"/>
    </row>
    <row r="3344" spans="2:2">
      <c r="B3344" s="47"/>
    </row>
    <row r="3345" spans="2:2">
      <c r="B3345" s="47"/>
    </row>
    <row r="3346" spans="2:2">
      <c r="B3346" s="47"/>
    </row>
    <row r="3347" spans="2:2">
      <c r="B3347" s="47"/>
    </row>
    <row r="3348" spans="2:2">
      <c r="B3348" s="47"/>
    </row>
    <row r="3349" spans="2:2">
      <c r="B3349" s="47"/>
    </row>
    <row r="3350" spans="2:2">
      <c r="B3350" s="47"/>
    </row>
    <row r="3351" spans="2:2">
      <c r="B3351" s="47"/>
    </row>
    <row r="3352" spans="2:2">
      <c r="B3352" s="47"/>
    </row>
    <row r="3353" spans="2:2">
      <c r="B3353" s="47"/>
    </row>
    <row r="3354" spans="2:2">
      <c r="B3354" s="47"/>
    </row>
    <row r="3355" spans="2:2">
      <c r="B3355" s="47"/>
    </row>
    <row r="3356" spans="2:2">
      <c r="B3356" s="47"/>
    </row>
    <row r="3357" spans="2:2">
      <c r="B3357" s="47"/>
    </row>
    <row r="3358" spans="2:2">
      <c r="B3358" s="47"/>
    </row>
    <row r="3359" spans="2:2">
      <c r="B3359" s="47"/>
    </row>
    <row r="3360" spans="2:2">
      <c r="B3360" s="47"/>
    </row>
    <row r="3361" spans="2:2">
      <c r="B3361" s="47"/>
    </row>
    <row r="3362" spans="2:2">
      <c r="B3362" s="47"/>
    </row>
    <row r="3363" spans="2:2">
      <c r="B3363" s="47"/>
    </row>
    <row r="3364" spans="2:2">
      <c r="B3364" s="47"/>
    </row>
    <row r="3365" spans="2:2">
      <c r="B3365" s="47"/>
    </row>
    <row r="3366" spans="2:2">
      <c r="B3366" s="47"/>
    </row>
    <row r="3367" spans="2:2">
      <c r="B3367" s="47"/>
    </row>
    <row r="3368" spans="2:2">
      <c r="B3368" s="47"/>
    </row>
    <row r="3369" spans="2:2">
      <c r="B3369" s="47"/>
    </row>
    <row r="3370" spans="2:2">
      <c r="B3370" s="47"/>
    </row>
    <row r="3371" spans="2:2">
      <c r="B3371" s="47"/>
    </row>
    <row r="3372" spans="2:2">
      <c r="B3372" s="47"/>
    </row>
    <row r="3373" spans="2:2">
      <c r="B3373" s="47"/>
    </row>
    <row r="3374" spans="2:2">
      <c r="B3374" s="47"/>
    </row>
    <row r="3375" spans="2:2">
      <c r="B3375" s="47"/>
    </row>
    <row r="3376" spans="2:2">
      <c r="B3376" s="47"/>
    </row>
    <row r="3377" spans="2:2">
      <c r="B3377" s="47"/>
    </row>
    <row r="3378" spans="2:2">
      <c r="B3378" s="47"/>
    </row>
    <row r="3379" spans="2:2">
      <c r="B3379" s="47"/>
    </row>
    <row r="3380" spans="2:2">
      <c r="B3380" s="47"/>
    </row>
    <row r="3381" spans="2:2">
      <c r="B3381" s="47"/>
    </row>
    <row r="3382" spans="2:2">
      <c r="B3382" s="47"/>
    </row>
    <row r="3383" spans="2:2">
      <c r="B3383" s="47"/>
    </row>
    <row r="3384" spans="2:2">
      <c r="B3384" s="47"/>
    </row>
    <row r="3385" spans="2:2">
      <c r="B3385" s="47"/>
    </row>
    <row r="3386" spans="2:2">
      <c r="B3386" s="47"/>
    </row>
    <row r="3387" spans="2:2">
      <c r="B3387" s="47"/>
    </row>
    <row r="3388" spans="2:2">
      <c r="B3388" s="47"/>
    </row>
    <row r="3389" spans="2:2">
      <c r="B3389" s="47"/>
    </row>
    <row r="3390" spans="2:2">
      <c r="B3390" s="47"/>
    </row>
    <row r="3391" spans="2:2">
      <c r="B3391" s="47"/>
    </row>
    <row r="3392" spans="2:2">
      <c r="B3392" s="47"/>
    </row>
    <row r="3393" spans="2:2">
      <c r="B3393" s="47"/>
    </row>
    <row r="3394" spans="2:2">
      <c r="B3394" s="47"/>
    </row>
    <row r="3395" spans="2:2">
      <c r="B3395" s="47"/>
    </row>
    <row r="3396" spans="2:2">
      <c r="B3396" s="47"/>
    </row>
    <row r="3397" spans="2:2">
      <c r="B3397" s="47"/>
    </row>
    <row r="3398" spans="2:2">
      <c r="B3398" s="47"/>
    </row>
    <row r="3399" spans="2:2">
      <c r="B3399" s="47"/>
    </row>
    <row r="3400" spans="2:2">
      <c r="B3400" s="47"/>
    </row>
    <row r="3401" spans="2:2">
      <c r="B3401" s="47"/>
    </row>
    <row r="3402" spans="2:2">
      <c r="B3402" s="47"/>
    </row>
    <row r="3403" spans="2:2">
      <c r="B3403" s="47"/>
    </row>
    <row r="3404" spans="2:2">
      <c r="B3404" s="47"/>
    </row>
    <row r="3405" spans="2:2">
      <c r="B3405" s="47"/>
    </row>
    <row r="3406" spans="2:2">
      <c r="B3406" s="47"/>
    </row>
    <row r="3407" spans="2:2">
      <c r="B3407" s="47"/>
    </row>
    <row r="3408" spans="2:2">
      <c r="B3408" s="47"/>
    </row>
    <row r="3409" spans="2:2">
      <c r="B3409" s="47"/>
    </row>
    <row r="3410" spans="2:2">
      <c r="B3410" s="47"/>
    </row>
    <row r="3411" spans="2:2">
      <c r="B3411" s="47"/>
    </row>
    <row r="3412" spans="2:2">
      <c r="B3412" s="47"/>
    </row>
    <row r="3413" spans="2:2">
      <c r="B3413" s="47"/>
    </row>
    <row r="3414" spans="2:2">
      <c r="B3414" s="47"/>
    </row>
    <row r="3415" spans="2:2">
      <c r="B3415" s="47"/>
    </row>
    <row r="3416" spans="2:2">
      <c r="B3416" s="47"/>
    </row>
    <row r="3417" spans="2:2">
      <c r="B3417" s="47"/>
    </row>
    <row r="3418" spans="2:2">
      <c r="B3418" s="47"/>
    </row>
    <row r="3419" spans="2:2">
      <c r="B3419" s="47"/>
    </row>
    <row r="3420" spans="2:2">
      <c r="B3420" s="47"/>
    </row>
    <row r="3421" spans="2:2">
      <c r="B3421" s="47"/>
    </row>
    <row r="3422" spans="2:2">
      <c r="B3422" s="47"/>
    </row>
    <row r="3423" spans="2:2">
      <c r="B3423" s="47"/>
    </row>
    <row r="3424" spans="2:2">
      <c r="B3424" s="47"/>
    </row>
    <row r="3425" spans="2:2">
      <c r="B3425" s="47"/>
    </row>
    <row r="3426" spans="2:2">
      <c r="B3426" s="47"/>
    </row>
    <row r="3427" spans="2:2">
      <c r="B3427" s="47"/>
    </row>
    <row r="3428" spans="2:2">
      <c r="B3428" s="47"/>
    </row>
    <row r="3429" spans="2:2">
      <c r="B3429" s="47"/>
    </row>
    <row r="3430" spans="2:2">
      <c r="B3430" s="47"/>
    </row>
    <row r="3431" spans="2:2">
      <c r="B3431" s="47"/>
    </row>
    <row r="3432" spans="2:2">
      <c r="B3432" s="47"/>
    </row>
    <row r="3433" spans="2:2">
      <c r="B3433" s="47"/>
    </row>
    <row r="3434" spans="2:2">
      <c r="B3434" s="47"/>
    </row>
    <row r="3435" spans="2:2">
      <c r="B3435" s="47"/>
    </row>
    <row r="3436" spans="2:2">
      <c r="B3436" s="47"/>
    </row>
    <row r="3437" spans="2:2">
      <c r="B3437" s="47"/>
    </row>
    <row r="3438" spans="2:2">
      <c r="B3438" s="47"/>
    </row>
    <row r="3439" spans="2:2">
      <c r="B3439" s="47"/>
    </row>
    <row r="3440" spans="2:2">
      <c r="B3440" s="47"/>
    </row>
    <row r="3441" spans="2:2">
      <c r="B3441" s="47"/>
    </row>
    <row r="3442" spans="2:2">
      <c r="B3442" s="47"/>
    </row>
    <row r="3443" spans="2:2">
      <c r="B3443" s="47"/>
    </row>
    <row r="3444" spans="2:2">
      <c r="B3444" s="47"/>
    </row>
    <row r="3445" spans="2:2">
      <c r="B3445" s="47"/>
    </row>
    <row r="3446" spans="2:2">
      <c r="B3446" s="47"/>
    </row>
    <row r="3447" spans="2:2">
      <c r="B3447" s="47"/>
    </row>
    <row r="3448" spans="2:2">
      <c r="B3448" s="47"/>
    </row>
    <row r="3449" spans="2:2">
      <c r="B3449" s="47"/>
    </row>
    <row r="3450" spans="2:2">
      <c r="B3450" s="47"/>
    </row>
    <row r="3451" spans="2:2">
      <c r="B3451" s="47"/>
    </row>
    <row r="3452" spans="2:2">
      <c r="B3452" s="47"/>
    </row>
    <row r="3453" spans="2:2">
      <c r="B3453" s="47"/>
    </row>
    <row r="3454" spans="2:2">
      <c r="B3454" s="47"/>
    </row>
    <row r="3455" spans="2:2">
      <c r="B3455" s="47"/>
    </row>
    <row r="3456" spans="2:2">
      <c r="B3456" s="47"/>
    </row>
    <row r="3457" spans="2:2">
      <c r="B3457" s="47"/>
    </row>
    <row r="3458" spans="2:2">
      <c r="B3458" s="47"/>
    </row>
    <row r="3459" spans="2:2">
      <c r="B3459" s="47"/>
    </row>
    <row r="3460" spans="2:2">
      <c r="B3460" s="47"/>
    </row>
    <row r="3461" spans="2:2">
      <c r="B3461" s="47"/>
    </row>
    <row r="3462" spans="2:2">
      <c r="B3462" s="47"/>
    </row>
    <row r="3463" spans="2:2">
      <c r="B3463" s="47"/>
    </row>
    <row r="3464" spans="2:2">
      <c r="B3464" s="47"/>
    </row>
    <row r="3465" spans="2:2">
      <c r="B3465" s="47"/>
    </row>
    <row r="3466" spans="2:2">
      <c r="B3466" s="47"/>
    </row>
    <row r="3467" spans="2:2">
      <c r="B3467" s="47"/>
    </row>
    <row r="3468" spans="2:2">
      <c r="B3468" s="47"/>
    </row>
    <row r="3469" spans="2:2">
      <c r="B3469" s="47"/>
    </row>
    <row r="3470" spans="2:2">
      <c r="B3470" s="47"/>
    </row>
    <row r="3471" spans="2:2">
      <c r="B3471" s="47"/>
    </row>
    <row r="3472" spans="2:2">
      <c r="B3472" s="47"/>
    </row>
    <row r="3473" spans="2:2">
      <c r="B3473" s="47"/>
    </row>
    <row r="3474" spans="2:2">
      <c r="B3474" s="47"/>
    </row>
    <row r="3475" spans="2:2">
      <c r="B3475" s="47"/>
    </row>
    <row r="3476" spans="2:2">
      <c r="B3476" s="47"/>
    </row>
    <row r="3477" spans="2:2">
      <c r="B3477" s="47"/>
    </row>
    <row r="3478" spans="2:2">
      <c r="B3478" s="47"/>
    </row>
    <row r="3479" spans="2:2">
      <c r="B3479" s="47"/>
    </row>
    <row r="3480" spans="2:2">
      <c r="B3480" s="47"/>
    </row>
    <row r="3481" spans="2:2">
      <c r="B3481" s="47"/>
    </row>
    <row r="3482" spans="2:2">
      <c r="B3482" s="47"/>
    </row>
    <row r="3483" spans="2:2">
      <c r="B3483" s="47"/>
    </row>
    <row r="3484" spans="2:2">
      <c r="B3484" s="47"/>
    </row>
    <row r="3485" spans="2:2">
      <c r="B3485" s="47"/>
    </row>
    <row r="3486" spans="2:2">
      <c r="B3486" s="47"/>
    </row>
    <row r="3487" spans="2:2">
      <c r="B3487" s="47"/>
    </row>
    <row r="3488" spans="2:2">
      <c r="B3488" s="47"/>
    </row>
    <row r="3489" spans="2:2">
      <c r="B3489" s="47"/>
    </row>
    <row r="3490" spans="2:2">
      <c r="B3490" s="47"/>
    </row>
    <row r="3491" spans="2:2">
      <c r="B3491" s="47"/>
    </row>
    <row r="3492" spans="2:2">
      <c r="B3492" s="47"/>
    </row>
    <row r="3493" spans="2:2">
      <c r="B3493" s="47"/>
    </row>
    <row r="3494" spans="2:2">
      <c r="B3494" s="47"/>
    </row>
    <row r="3495" spans="2:2">
      <c r="B3495" s="47"/>
    </row>
    <row r="3496" spans="2:2">
      <c r="B3496" s="47"/>
    </row>
    <row r="3497" spans="2:2">
      <c r="B3497" s="47"/>
    </row>
    <row r="3498" spans="2:2">
      <c r="B3498" s="47"/>
    </row>
    <row r="3499" spans="2:2">
      <c r="B3499" s="47"/>
    </row>
    <row r="3500" spans="2:2">
      <c r="B3500" s="47"/>
    </row>
    <row r="3501" spans="2:2">
      <c r="B3501" s="47"/>
    </row>
    <row r="3502" spans="2:2">
      <c r="B3502" s="47"/>
    </row>
    <row r="3503" spans="2:2">
      <c r="B3503" s="47"/>
    </row>
    <row r="3504" spans="2:2">
      <c r="B3504" s="47"/>
    </row>
    <row r="3505" spans="2:2">
      <c r="B3505" s="47"/>
    </row>
    <row r="3506" spans="2:2">
      <c r="B3506" s="47"/>
    </row>
    <row r="3507" spans="2:2">
      <c r="B3507" s="47"/>
    </row>
    <row r="3508" spans="2:2">
      <c r="B3508" s="47"/>
    </row>
    <row r="3509" spans="2:2">
      <c r="B3509" s="47"/>
    </row>
    <row r="3510" spans="2:2">
      <c r="B3510" s="47"/>
    </row>
    <row r="3511" spans="2:2">
      <c r="B3511" s="47"/>
    </row>
    <row r="3512" spans="2:2">
      <c r="B3512" s="47"/>
    </row>
    <row r="3513" spans="2:2">
      <c r="B3513" s="47"/>
    </row>
    <row r="3514" spans="2:2">
      <c r="B3514" s="47"/>
    </row>
    <row r="3515" spans="2:2">
      <c r="B3515" s="47"/>
    </row>
    <row r="3516" spans="2:2">
      <c r="B3516" s="47"/>
    </row>
    <row r="3517" spans="2:2">
      <c r="B3517" s="47"/>
    </row>
    <row r="3518" spans="2:2">
      <c r="B3518" s="47"/>
    </row>
    <row r="3519" spans="2:2">
      <c r="B3519" s="47"/>
    </row>
    <row r="3520" spans="2:2">
      <c r="B3520" s="47"/>
    </row>
    <row r="3521" spans="2:2">
      <c r="B3521" s="47"/>
    </row>
    <row r="3522" spans="2:2">
      <c r="B3522" s="47"/>
    </row>
    <row r="3523" spans="2:2">
      <c r="B3523" s="47"/>
    </row>
    <row r="3524" spans="2:2">
      <c r="B3524" s="47"/>
    </row>
    <row r="3525" spans="2:2">
      <c r="B3525" s="47"/>
    </row>
    <row r="3526" spans="2:2">
      <c r="B3526" s="47"/>
    </row>
    <row r="3527" spans="2:2">
      <c r="B3527" s="47"/>
    </row>
    <row r="3528" spans="2:2">
      <c r="B3528" s="47"/>
    </row>
    <row r="3529" spans="2:2">
      <c r="B3529" s="47"/>
    </row>
    <row r="3530" spans="2:2">
      <c r="B3530" s="47"/>
    </row>
    <row r="3531" spans="2:2">
      <c r="B3531" s="47"/>
    </row>
    <row r="3532" spans="2:2">
      <c r="B3532" s="47"/>
    </row>
    <row r="3533" spans="2:2">
      <c r="B3533" s="47"/>
    </row>
    <row r="3534" spans="2:2">
      <c r="B3534" s="47"/>
    </row>
    <row r="3535" spans="2:2">
      <c r="B3535" s="47"/>
    </row>
    <row r="3536" spans="2:2">
      <c r="B3536" s="47"/>
    </row>
    <row r="3537" spans="2:2">
      <c r="B3537" s="47"/>
    </row>
    <row r="3538" spans="2:2">
      <c r="B3538" s="47"/>
    </row>
    <row r="3539" spans="2:2">
      <c r="B3539" s="47"/>
    </row>
    <row r="3540" spans="2:2">
      <c r="B3540" s="47"/>
    </row>
    <row r="3541" spans="2:2">
      <c r="B3541" s="47"/>
    </row>
    <row r="3542" spans="2:2">
      <c r="B3542" s="47"/>
    </row>
    <row r="3543" spans="2:2">
      <c r="B3543" s="47"/>
    </row>
    <row r="3544" spans="2:2">
      <c r="B3544" s="47"/>
    </row>
    <row r="3545" spans="2:2">
      <c r="B3545" s="47"/>
    </row>
    <row r="3546" spans="2:2">
      <c r="B3546" s="47"/>
    </row>
    <row r="3547" spans="2:2">
      <c r="B3547" s="47"/>
    </row>
    <row r="3548" spans="2:2">
      <c r="B3548" s="47"/>
    </row>
    <row r="3549" spans="2:2">
      <c r="B3549" s="47"/>
    </row>
    <row r="3550" spans="2:2">
      <c r="B3550" s="47"/>
    </row>
    <row r="3551" spans="2:2">
      <c r="B3551" s="47"/>
    </row>
    <row r="3552" spans="2:2">
      <c r="B3552" s="47"/>
    </row>
    <row r="3553" spans="2:2">
      <c r="B3553" s="47"/>
    </row>
    <row r="3554" spans="2:2">
      <c r="B3554" s="47"/>
    </row>
    <row r="3555" spans="2:2">
      <c r="B3555" s="47"/>
    </row>
    <row r="3556" spans="2:2">
      <c r="B3556" s="47"/>
    </row>
    <row r="3557" spans="2:2">
      <c r="B3557" s="47"/>
    </row>
    <row r="3558" spans="2:2">
      <c r="B3558" s="47"/>
    </row>
    <row r="3559" spans="2:2">
      <c r="B3559" s="47"/>
    </row>
    <row r="3560" spans="2:2">
      <c r="B3560" s="47"/>
    </row>
    <row r="3561" spans="2:2">
      <c r="B3561" s="47"/>
    </row>
    <row r="3562" spans="2:2">
      <c r="B3562" s="47"/>
    </row>
    <row r="3563" spans="2:2">
      <c r="B3563" s="47"/>
    </row>
    <row r="3564" spans="2:2">
      <c r="B3564" s="47"/>
    </row>
    <row r="3565" spans="2:2">
      <c r="B3565" s="47"/>
    </row>
    <row r="3566" spans="2:2">
      <c r="B3566" s="47"/>
    </row>
    <row r="3567" spans="2:2">
      <c r="B3567" s="47"/>
    </row>
    <row r="3568" spans="2:2">
      <c r="B3568" s="47"/>
    </row>
    <row r="3569" spans="2:2">
      <c r="B3569" s="47"/>
    </row>
    <row r="3570" spans="2:2">
      <c r="B3570" s="47"/>
    </row>
    <row r="3571" spans="2:2">
      <c r="B3571" s="47"/>
    </row>
    <row r="3572" spans="2:2">
      <c r="B3572" s="47"/>
    </row>
    <row r="3573" spans="2:2">
      <c r="B3573" s="47"/>
    </row>
    <row r="3574" spans="2:2">
      <c r="B3574" s="47"/>
    </row>
    <row r="3575" spans="2:2">
      <c r="B3575" s="47"/>
    </row>
    <row r="3576" spans="2:2">
      <c r="B3576" s="47"/>
    </row>
    <row r="3577" spans="2:2">
      <c r="B3577" s="47"/>
    </row>
    <row r="3578" spans="2:2">
      <c r="B3578" s="47"/>
    </row>
    <row r="3579" spans="2:2">
      <c r="B3579" s="47"/>
    </row>
    <row r="3580" spans="2:2">
      <c r="B3580" s="47"/>
    </row>
    <row r="3581" spans="2:2">
      <c r="B3581" s="47"/>
    </row>
    <row r="3582" spans="2:2">
      <c r="B3582" s="47"/>
    </row>
    <row r="3583" spans="2:2">
      <c r="B3583" s="47"/>
    </row>
    <row r="3584" spans="2:2">
      <c r="B3584" s="47"/>
    </row>
    <row r="3585" spans="2:2">
      <c r="B3585" s="47"/>
    </row>
    <row r="3586" spans="2:2">
      <c r="B3586" s="47"/>
    </row>
    <row r="3587" spans="2:2">
      <c r="B3587" s="47"/>
    </row>
    <row r="3588" spans="2:2">
      <c r="B3588" s="47"/>
    </row>
    <row r="3589" spans="2:2">
      <c r="B3589" s="47"/>
    </row>
    <row r="3590" spans="2:2">
      <c r="B3590" s="47"/>
    </row>
    <row r="3591" spans="2:2">
      <c r="B3591" s="47"/>
    </row>
    <row r="3592" spans="2:2">
      <c r="B3592" s="47"/>
    </row>
    <row r="3593" spans="2:2">
      <c r="B3593" s="47"/>
    </row>
    <row r="3594" spans="2:2">
      <c r="B3594" s="47"/>
    </row>
    <row r="3595" spans="2:2">
      <c r="B3595" s="47"/>
    </row>
    <row r="3596" spans="2:2">
      <c r="B3596" s="47"/>
    </row>
    <row r="3597" spans="2:2">
      <c r="B3597" s="47"/>
    </row>
    <row r="3598" spans="2:2">
      <c r="B3598" s="47"/>
    </row>
    <row r="3599" spans="2:2">
      <c r="B3599" s="47"/>
    </row>
    <row r="3600" spans="2:2">
      <c r="B3600" s="47"/>
    </row>
    <row r="3601" spans="2:2">
      <c r="B3601" s="47"/>
    </row>
    <row r="3602" spans="2:2">
      <c r="B3602" s="47"/>
    </row>
    <row r="3603" spans="2:2">
      <c r="B3603" s="47"/>
    </row>
    <row r="3604" spans="2:2">
      <c r="B3604" s="47"/>
    </row>
    <row r="3605" spans="2:2">
      <c r="B3605" s="47"/>
    </row>
    <row r="3606" spans="2:2">
      <c r="B3606" s="47"/>
    </row>
    <row r="3607" spans="2:2">
      <c r="B3607" s="47"/>
    </row>
    <row r="3608" spans="2:2">
      <c r="B3608" s="47"/>
    </row>
    <row r="3609" spans="2:2">
      <c r="B3609" s="47"/>
    </row>
    <row r="3610" spans="2:2">
      <c r="B3610" s="47"/>
    </row>
    <row r="3611" spans="2:2">
      <c r="B3611" s="47"/>
    </row>
    <row r="3612" spans="2:2">
      <c r="B3612" s="47"/>
    </row>
    <row r="3613" spans="2:2">
      <c r="B3613" s="47"/>
    </row>
    <row r="3614" spans="2:2">
      <c r="B3614" s="47"/>
    </row>
    <row r="3615" spans="2:2">
      <c r="B3615" s="47"/>
    </row>
    <row r="3616" spans="2:2">
      <c r="B3616" s="47"/>
    </row>
    <row r="3617" spans="2:2">
      <c r="B3617" s="47"/>
    </row>
    <row r="3618" spans="2:2">
      <c r="B3618" s="47"/>
    </row>
    <row r="3619" spans="2:2">
      <c r="B3619" s="47"/>
    </row>
    <row r="3620" spans="2:2">
      <c r="B3620" s="47"/>
    </row>
    <row r="3621" spans="2:2">
      <c r="B3621" s="47"/>
    </row>
    <row r="3622" spans="2:2">
      <c r="B3622" s="47"/>
    </row>
    <row r="3623" spans="2:2">
      <c r="B3623" s="47"/>
    </row>
    <row r="3624" spans="2:2">
      <c r="B3624" s="47"/>
    </row>
    <row r="3625" spans="2:2">
      <c r="B3625" s="47"/>
    </row>
    <row r="3626" spans="2:2">
      <c r="B3626" s="47"/>
    </row>
    <row r="3627" spans="2:2">
      <c r="B3627" s="47"/>
    </row>
    <row r="3628" spans="2:2">
      <c r="B3628" s="47"/>
    </row>
    <row r="3629" spans="2:2">
      <c r="B3629" s="47"/>
    </row>
    <row r="3630" spans="2:2">
      <c r="B3630" s="47"/>
    </row>
    <row r="3631" spans="2:2">
      <c r="B3631" s="47"/>
    </row>
    <row r="3632" spans="2:2">
      <c r="B3632" s="47"/>
    </row>
    <row r="3633" spans="2:2">
      <c r="B3633" s="47"/>
    </row>
    <row r="3634" spans="2:2">
      <c r="B3634" s="47"/>
    </row>
    <row r="3635" spans="2:2">
      <c r="B3635" s="47"/>
    </row>
    <row r="3636" spans="2:2">
      <c r="B3636" s="47"/>
    </row>
    <row r="3637" spans="2:2">
      <c r="B3637" s="47"/>
    </row>
    <row r="3638" spans="2:2">
      <c r="B3638" s="47"/>
    </row>
    <row r="3639" spans="2:2">
      <c r="B3639" s="47"/>
    </row>
    <row r="3640" spans="2:2">
      <c r="B3640" s="47"/>
    </row>
    <row r="3641" spans="2:2">
      <c r="B3641" s="47"/>
    </row>
    <row r="3642" spans="2:2">
      <c r="B3642" s="47"/>
    </row>
    <row r="3643" spans="2:2">
      <c r="B3643" s="47"/>
    </row>
    <row r="3644" spans="2:2">
      <c r="B3644" s="47"/>
    </row>
    <row r="3645" spans="2:2">
      <c r="B3645" s="47"/>
    </row>
    <row r="3646" spans="2:2">
      <c r="B3646" s="47"/>
    </row>
    <row r="3647" spans="2:2">
      <c r="B3647" s="47"/>
    </row>
    <row r="3648" spans="2:2">
      <c r="B3648" s="47"/>
    </row>
    <row r="3649" spans="2:2">
      <c r="B3649" s="47"/>
    </row>
    <row r="3650" spans="2:2">
      <c r="B3650" s="47"/>
    </row>
    <row r="3651" spans="2:2">
      <c r="B3651" s="47"/>
    </row>
    <row r="3652" spans="2:2">
      <c r="B3652" s="47"/>
    </row>
    <row r="3653" spans="2:2">
      <c r="B3653" s="47"/>
    </row>
    <row r="3654" spans="2:2">
      <c r="B3654" s="47"/>
    </row>
    <row r="3655" spans="2:2">
      <c r="B3655" s="47"/>
    </row>
    <row r="3656" spans="2:2">
      <c r="B3656" s="47"/>
    </row>
    <row r="3657" spans="2:2">
      <c r="B3657" s="47"/>
    </row>
    <row r="3658" spans="2:2">
      <c r="B3658" s="47"/>
    </row>
    <row r="3659" spans="2:2">
      <c r="B3659" s="47"/>
    </row>
    <row r="3660" spans="2:2">
      <c r="B3660" s="47"/>
    </row>
    <row r="3661" spans="2:2">
      <c r="B3661" s="47"/>
    </row>
    <row r="3662" spans="2:2">
      <c r="B3662" s="47"/>
    </row>
    <row r="3663" spans="2:2">
      <c r="B3663" s="47"/>
    </row>
    <row r="3664" spans="2:2">
      <c r="B3664" s="47"/>
    </row>
    <row r="3665" spans="2:2">
      <c r="B3665" s="47"/>
    </row>
    <row r="3666" spans="2:2">
      <c r="B3666" s="47"/>
    </row>
    <row r="3667" spans="2:2">
      <c r="B3667" s="47"/>
    </row>
    <row r="3668" spans="2:2">
      <c r="B3668" s="47"/>
    </row>
    <row r="3669" spans="2:2">
      <c r="B3669" s="47"/>
    </row>
    <row r="3670" spans="2:2">
      <c r="B3670" s="47"/>
    </row>
    <row r="3671" spans="2:2">
      <c r="B3671" s="47"/>
    </row>
    <row r="3672" spans="2:2">
      <c r="B3672" s="47"/>
    </row>
    <row r="3673" spans="2:2">
      <c r="B3673" s="47"/>
    </row>
    <row r="3674" spans="2:2">
      <c r="B3674" s="47"/>
    </row>
    <row r="3675" spans="2:2">
      <c r="B3675" s="47"/>
    </row>
    <row r="3676" spans="2:2">
      <c r="B3676" s="47"/>
    </row>
    <row r="3677" spans="2:2">
      <c r="B3677" s="47"/>
    </row>
    <row r="3678" spans="2:2">
      <c r="B3678" s="47"/>
    </row>
    <row r="3679" spans="2:2">
      <c r="B3679" s="47"/>
    </row>
    <row r="3680" spans="2:2">
      <c r="B3680" s="47"/>
    </row>
    <row r="3681" spans="2:2">
      <c r="B3681" s="47"/>
    </row>
    <row r="3682" spans="2:2">
      <c r="B3682" s="47"/>
    </row>
    <row r="3683" spans="2:2">
      <c r="B3683" s="47"/>
    </row>
    <row r="3684" spans="2:2">
      <c r="B3684" s="47"/>
    </row>
    <row r="3685" spans="2:2">
      <c r="B3685" s="47"/>
    </row>
    <row r="3686" spans="2:2">
      <c r="B3686" s="47"/>
    </row>
    <row r="3687" spans="2:2">
      <c r="B3687" s="47"/>
    </row>
    <row r="3688" spans="2:2">
      <c r="B3688" s="47"/>
    </row>
    <row r="3689" spans="2:2">
      <c r="B3689" s="47"/>
    </row>
    <row r="3690" spans="2:2">
      <c r="B3690" s="47"/>
    </row>
    <row r="3691" spans="2:2">
      <c r="B3691" s="47"/>
    </row>
    <row r="3692" spans="2:2">
      <c r="B3692" s="47"/>
    </row>
    <row r="3693" spans="2:2">
      <c r="B3693" s="47"/>
    </row>
    <row r="3694" spans="2:2">
      <c r="B3694" s="47"/>
    </row>
    <row r="3695" spans="2:2">
      <c r="B3695" s="47"/>
    </row>
    <row r="3696" spans="2:2">
      <c r="B3696" s="47"/>
    </row>
    <row r="3697" spans="2:2">
      <c r="B3697" s="47"/>
    </row>
    <row r="3698" spans="2:2">
      <c r="B3698" s="47"/>
    </row>
    <row r="3699" spans="2:2">
      <c r="B3699" s="47"/>
    </row>
    <row r="3700" spans="2:2">
      <c r="B3700" s="47"/>
    </row>
    <row r="3701" spans="2:2">
      <c r="B3701" s="47"/>
    </row>
    <row r="3702" spans="2:2">
      <c r="B3702" s="47"/>
    </row>
    <row r="3703" spans="2:2">
      <c r="B3703" s="47"/>
    </row>
    <row r="3704" spans="2:2">
      <c r="B3704" s="47"/>
    </row>
    <row r="3705" spans="2:2">
      <c r="B3705" s="47"/>
    </row>
    <row r="3706" spans="2:2">
      <c r="B3706" s="47"/>
    </row>
    <row r="3707" spans="2:2">
      <c r="B3707" s="47"/>
    </row>
    <row r="3708" spans="2:2">
      <c r="B3708" s="47"/>
    </row>
    <row r="3709" spans="2:2">
      <c r="B3709" s="47"/>
    </row>
    <row r="3710" spans="2:2">
      <c r="B3710" s="47"/>
    </row>
    <row r="3711" spans="2:2">
      <c r="B3711" s="47"/>
    </row>
    <row r="3712" spans="2:2">
      <c r="B3712" s="47"/>
    </row>
    <row r="3713" spans="2:2">
      <c r="B3713" s="47"/>
    </row>
    <row r="3714" spans="2:2">
      <c r="B3714" s="47"/>
    </row>
    <row r="3715" spans="2:2">
      <c r="B3715" s="47"/>
    </row>
    <row r="3716" spans="2:2">
      <c r="B3716" s="47"/>
    </row>
    <row r="3717" spans="2:2">
      <c r="B3717" s="47"/>
    </row>
    <row r="3718" spans="2:2">
      <c r="B3718" s="47"/>
    </row>
    <row r="3719" spans="2:2">
      <c r="B3719" s="47"/>
    </row>
    <row r="3720" spans="2:2">
      <c r="B3720" s="47"/>
    </row>
    <row r="3721" spans="2:2">
      <c r="B3721" s="47"/>
    </row>
    <row r="3722" spans="2:2">
      <c r="B3722" s="47"/>
    </row>
    <row r="3723" spans="2:2">
      <c r="B3723" s="47"/>
    </row>
    <row r="3724" spans="2:2">
      <c r="B3724" s="47"/>
    </row>
    <row r="3725" spans="2:2">
      <c r="B3725" s="47"/>
    </row>
    <row r="3726" spans="2:2">
      <c r="B3726" s="47"/>
    </row>
    <row r="3727" spans="2:2">
      <c r="B3727" s="47"/>
    </row>
    <row r="3728" spans="2:2">
      <c r="B3728" s="47"/>
    </row>
    <row r="3729" spans="2:2">
      <c r="B3729" s="47"/>
    </row>
    <row r="3730" spans="2:2">
      <c r="B3730" s="47"/>
    </row>
    <row r="3731" spans="2:2">
      <c r="B3731" s="47"/>
    </row>
    <row r="3732" spans="2:2">
      <c r="B3732" s="47"/>
    </row>
    <row r="3733" spans="2:2">
      <c r="B3733" s="47"/>
    </row>
    <row r="3734" spans="2:2">
      <c r="B3734" s="47"/>
    </row>
    <row r="3735" spans="2:2">
      <c r="B3735" s="47"/>
    </row>
    <row r="3736" spans="2:2">
      <c r="B3736" s="47"/>
    </row>
    <row r="3737" spans="2:2">
      <c r="B3737" s="47"/>
    </row>
    <row r="3738" spans="2:2">
      <c r="B3738" s="47"/>
    </row>
    <row r="3739" spans="2:2">
      <c r="B3739" s="47"/>
    </row>
    <row r="3740" spans="2:2">
      <c r="B3740" s="47"/>
    </row>
    <row r="3741" spans="2:2">
      <c r="B3741" s="47"/>
    </row>
    <row r="3742" spans="2:2">
      <c r="B3742" s="47"/>
    </row>
    <row r="3743" spans="2:2">
      <c r="B3743" s="47"/>
    </row>
    <row r="3744" spans="2:2">
      <c r="B3744" s="47"/>
    </row>
    <row r="3745" spans="2:2">
      <c r="B3745" s="47"/>
    </row>
    <row r="3746" spans="2:2">
      <c r="B3746" s="47"/>
    </row>
    <row r="3747" spans="2:2">
      <c r="B3747" s="47"/>
    </row>
    <row r="3748" spans="2:2">
      <c r="B3748" s="47"/>
    </row>
    <row r="3749" spans="2:2">
      <c r="B3749" s="47"/>
    </row>
    <row r="3750" spans="2:2">
      <c r="B3750" s="47"/>
    </row>
    <row r="3751" spans="2:2">
      <c r="B3751" s="47"/>
    </row>
    <row r="3752" spans="2:2">
      <c r="B3752" s="47"/>
    </row>
    <row r="3753" spans="2:2">
      <c r="B3753" s="47"/>
    </row>
    <row r="3754" spans="2:2">
      <c r="B3754" s="47"/>
    </row>
    <row r="3755" spans="2:2">
      <c r="B3755" s="47"/>
    </row>
    <row r="3756" spans="2:2">
      <c r="B3756" s="47"/>
    </row>
    <row r="3757" spans="2:2">
      <c r="B3757" s="47"/>
    </row>
    <row r="3758" spans="2:2">
      <c r="B3758" s="47"/>
    </row>
    <row r="3759" spans="2:2">
      <c r="B3759" s="47"/>
    </row>
    <row r="3760" spans="2:2">
      <c r="B3760" s="47"/>
    </row>
    <row r="3761" spans="2:2">
      <c r="B3761" s="47"/>
    </row>
    <row r="3762" spans="2:2">
      <c r="B3762" s="47"/>
    </row>
    <row r="3763" spans="2:2">
      <c r="B3763" s="47"/>
    </row>
    <row r="3764" spans="2:2">
      <c r="B3764" s="47"/>
    </row>
    <row r="3765" spans="2:2">
      <c r="B3765" s="47"/>
    </row>
    <row r="3766" spans="2:2">
      <c r="B3766" s="47"/>
    </row>
    <row r="3767" spans="2:2">
      <c r="B3767" s="47"/>
    </row>
    <row r="3768" spans="2:2">
      <c r="B3768" s="47"/>
    </row>
    <row r="3769" spans="2:2">
      <c r="B3769" s="47"/>
    </row>
    <row r="3770" spans="2:2">
      <c r="B3770" s="47"/>
    </row>
    <row r="3771" spans="2:2">
      <c r="B3771" s="47"/>
    </row>
    <row r="3772" spans="2:2">
      <c r="B3772" s="47"/>
    </row>
    <row r="3773" spans="2:2">
      <c r="B3773" s="47"/>
    </row>
    <row r="3774" spans="2:2">
      <c r="B3774" s="47"/>
    </row>
    <row r="3775" spans="2:2">
      <c r="B3775" s="47"/>
    </row>
    <row r="3776" spans="2:2">
      <c r="B3776" s="47"/>
    </row>
    <row r="3777" spans="2:2">
      <c r="B3777" s="47"/>
    </row>
    <row r="3778" spans="2:2">
      <c r="B3778" s="47"/>
    </row>
    <row r="3779" spans="2:2">
      <c r="B3779" s="47"/>
    </row>
    <row r="3780" spans="2:2">
      <c r="B3780" s="47"/>
    </row>
    <row r="3781" spans="2:2">
      <c r="B3781" s="47"/>
    </row>
    <row r="3782" spans="2:2">
      <c r="B3782" s="47"/>
    </row>
    <row r="3783" spans="2:2">
      <c r="B3783" s="47"/>
    </row>
    <row r="3784" spans="2:2">
      <c r="B3784" s="47"/>
    </row>
    <row r="3785" spans="2:2">
      <c r="B3785" s="47"/>
    </row>
    <row r="3786" spans="2:2">
      <c r="B3786" s="47"/>
    </row>
    <row r="3787" spans="2:2">
      <c r="B3787" s="47"/>
    </row>
    <row r="3788" spans="2:2">
      <c r="B3788" s="47"/>
    </row>
    <row r="3789" spans="2:2">
      <c r="B3789" s="47"/>
    </row>
    <row r="3790" spans="2:2">
      <c r="B3790" s="47"/>
    </row>
    <row r="3791" spans="2:2">
      <c r="B3791" s="47"/>
    </row>
    <row r="3792" spans="2:2">
      <c r="B3792" s="47"/>
    </row>
    <row r="3793" spans="2:2">
      <c r="B3793" s="47"/>
    </row>
    <row r="3794" spans="2:2">
      <c r="B3794" s="47"/>
    </row>
    <row r="3795" spans="2:2">
      <c r="B3795" s="47"/>
    </row>
    <row r="3796" spans="2:2">
      <c r="B3796" s="47"/>
    </row>
    <row r="3797" spans="2:2">
      <c r="B3797" s="47"/>
    </row>
    <row r="3798" spans="2:2">
      <c r="B3798" s="47"/>
    </row>
    <row r="3799" spans="2:2">
      <c r="B3799" s="47"/>
    </row>
    <row r="3800" spans="2:2">
      <c r="B3800" s="47"/>
    </row>
    <row r="3801" spans="2:2">
      <c r="B3801" s="47"/>
    </row>
    <row r="3802" spans="2:2">
      <c r="B3802" s="47"/>
    </row>
    <row r="3803" spans="2:2">
      <c r="B3803" s="47"/>
    </row>
    <row r="3804" spans="2:2">
      <c r="B3804" s="47"/>
    </row>
    <row r="3805" spans="2:2">
      <c r="B3805" s="47"/>
    </row>
    <row r="3806" spans="2:2">
      <c r="B3806" s="47"/>
    </row>
    <row r="3807" spans="2:2">
      <c r="B3807" s="47"/>
    </row>
    <row r="3808" spans="2:2">
      <c r="B3808" s="47"/>
    </row>
    <row r="3809" spans="2:2">
      <c r="B3809" s="47"/>
    </row>
    <row r="3810" spans="2:2">
      <c r="B3810" s="47"/>
    </row>
    <row r="3811" spans="2:2">
      <c r="B3811" s="47"/>
    </row>
    <row r="3812" spans="2:2">
      <c r="B3812" s="47"/>
    </row>
    <row r="3813" spans="2:2">
      <c r="B3813" s="47"/>
    </row>
    <row r="3814" spans="2:2">
      <c r="B3814" s="47"/>
    </row>
    <row r="3815" spans="2:2">
      <c r="B3815" s="47"/>
    </row>
    <row r="3816" spans="2:2">
      <c r="B3816" s="47"/>
    </row>
    <row r="3817" spans="2:2">
      <c r="B3817" s="47"/>
    </row>
    <row r="3818" spans="2:2">
      <c r="B3818" s="47"/>
    </row>
    <row r="3819" spans="2:2">
      <c r="B3819" s="47"/>
    </row>
    <row r="3820" spans="2:2">
      <c r="B3820" s="47"/>
    </row>
    <row r="3821" spans="2:2">
      <c r="B3821" s="47"/>
    </row>
    <row r="3822" spans="2:2">
      <c r="B3822" s="47"/>
    </row>
    <row r="3823" spans="2:2">
      <c r="B3823" s="47"/>
    </row>
    <row r="3824" spans="2:2">
      <c r="B3824" s="47"/>
    </row>
    <row r="3825" spans="2:2">
      <c r="B3825" s="47"/>
    </row>
    <row r="3826" spans="2:2">
      <c r="B3826" s="47"/>
    </row>
    <row r="3827" spans="2:2">
      <c r="B3827" s="47"/>
    </row>
    <row r="3828" spans="2:2">
      <c r="B3828" s="47"/>
    </row>
    <row r="3829" spans="2:2">
      <c r="B3829" s="47"/>
    </row>
    <row r="3830" spans="2:2">
      <c r="B3830" s="47"/>
    </row>
    <row r="3831" spans="2:2">
      <c r="B3831" s="47"/>
    </row>
    <row r="3832" spans="2:2">
      <c r="B3832" s="47"/>
    </row>
    <row r="3833" spans="2:2">
      <c r="B3833" s="47"/>
    </row>
    <row r="3834" spans="2:2">
      <c r="B3834" s="47"/>
    </row>
    <row r="3835" spans="2:2">
      <c r="B3835" s="47"/>
    </row>
    <row r="3836" spans="2:2">
      <c r="B3836" s="47"/>
    </row>
    <row r="3837" spans="2:2">
      <c r="B3837" s="47"/>
    </row>
    <row r="3838" spans="2:2">
      <c r="B3838" s="47"/>
    </row>
    <row r="3839" spans="2:2">
      <c r="B3839" s="47"/>
    </row>
    <row r="3840" spans="2:2">
      <c r="B3840" s="47"/>
    </row>
    <row r="3841" spans="2:2">
      <c r="B3841" s="47"/>
    </row>
    <row r="3842" spans="2:2">
      <c r="B3842" s="47"/>
    </row>
    <row r="3843" spans="2:2">
      <c r="B3843" s="47"/>
    </row>
    <row r="3844" spans="2:2">
      <c r="B3844" s="47"/>
    </row>
    <row r="3845" spans="2:2">
      <c r="B3845" s="47"/>
    </row>
    <row r="3846" spans="2:2">
      <c r="B3846" s="47"/>
    </row>
    <row r="3847" spans="2:2">
      <c r="B3847" s="47"/>
    </row>
    <row r="3848" spans="2:2">
      <c r="B3848" s="47"/>
    </row>
    <row r="3849" spans="2:2">
      <c r="B3849" s="47"/>
    </row>
    <row r="3850" spans="2:2">
      <c r="B3850" s="47"/>
    </row>
    <row r="3851" spans="2:2">
      <c r="B3851" s="47"/>
    </row>
    <row r="3852" spans="2:2">
      <c r="B3852" s="47"/>
    </row>
    <row r="3853" spans="2:2">
      <c r="B3853" s="47"/>
    </row>
    <row r="3854" spans="2:2">
      <c r="B3854" s="47"/>
    </row>
    <row r="3855" spans="2:2">
      <c r="B3855" s="47"/>
    </row>
    <row r="3856" spans="2:2">
      <c r="B3856" s="47"/>
    </row>
    <row r="3857" spans="2:2">
      <c r="B3857" s="47"/>
    </row>
    <row r="3858" spans="2:2">
      <c r="B3858" s="47"/>
    </row>
    <row r="3859" spans="2:2">
      <c r="B3859" s="47"/>
    </row>
    <row r="3860" spans="2:2">
      <c r="B3860" s="47"/>
    </row>
    <row r="3861" spans="2:2">
      <c r="B3861" s="47"/>
    </row>
    <row r="3862" spans="2:2">
      <c r="B3862" s="47"/>
    </row>
    <row r="3863" spans="2:2">
      <c r="B3863" s="47"/>
    </row>
    <row r="3864" spans="2:2">
      <c r="B3864" s="47"/>
    </row>
    <row r="3865" spans="2:2">
      <c r="B3865" s="47"/>
    </row>
    <row r="3866" spans="2:2">
      <c r="B3866" s="47"/>
    </row>
    <row r="3867" spans="2:2">
      <c r="B3867" s="47"/>
    </row>
    <row r="3868" spans="2:2">
      <c r="B3868" s="47"/>
    </row>
    <row r="3869" spans="2:2">
      <c r="B3869" s="47"/>
    </row>
    <row r="3870" spans="2:2">
      <c r="B3870" s="47"/>
    </row>
    <row r="3871" spans="2:2">
      <c r="B3871" s="47"/>
    </row>
    <row r="3872" spans="2:2">
      <c r="B3872" s="47"/>
    </row>
    <row r="3873" spans="2:2">
      <c r="B3873" s="47"/>
    </row>
    <row r="3874" spans="2:2">
      <c r="B3874" s="47"/>
    </row>
    <row r="3875" spans="2:2">
      <c r="B3875" s="47"/>
    </row>
    <row r="3876" spans="2:2">
      <c r="B3876" s="47"/>
    </row>
    <row r="3877" spans="2:2">
      <c r="B3877" s="47"/>
    </row>
    <row r="3878" spans="2:2">
      <c r="B3878" s="47"/>
    </row>
    <row r="3879" spans="2:2">
      <c r="B3879" s="47"/>
    </row>
    <row r="3880" spans="2:2">
      <c r="B3880" s="47"/>
    </row>
    <row r="3881" spans="2:2">
      <c r="B3881" s="47"/>
    </row>
    <row r="3882" spans="2:2">
      <c r="B3882" s="47"/>
    </row>
    <row r="3883" spans="2:2">
      <c r="B3883" s="47"/>
    </row>
    <row r="3884" spans="2:2">
      <c r="B3884" s="47"/>
    </row>
    <row r="3885" spans="2:2">
      <c r="B3885" s="47"/>
    </row>
    <row r="3886" spans="2:2">
      <c r="B3886" s="47"/>
    </row>
    <row r="3887" spans="2:2">
      <c r="B3887" s="47"/>
    </row>
    <row r="3888" spans="2:2">
      <c r="B3888" s="47"/>
    </row>
    <row r="3889" spans="2:2">
      <c r="B3889" s="47"/>
    </row>
    <row r="3890" spans="2:2">
      <c r="B3890" s="47"/>
    </row>
    <row r="3891" spans="2:2">
      <c r="B3891" s="47"/>
    </row>
    <row r="3892" spans="2:2">
      <c r="B3892" s="47"/>
    </row>
    <row r="3893" spans="2:2">
      <c r="B3893" s="47"/>
    </row>
    <row r="3894" spans="2:2">
      <c r="B3894" s="47"/>
    </row>
    <row r="3895" spans="2:2">
      <c r="B3895" s="47"/>
    </row>
    <row r="3896" spans="2:2">
      <c r="B3896" s="47"/>
    </row>
    <row r="3897" spans="2:2">
      <c r="B3897" s="47"/>
    </row>
    <row r="3898" spans="2:2">
      <c r="B3898" s="47"/>
    </row>
    <row r="3899" spans="2:2">
      <c r="B3899" s="47"/>
    </row>
    <row r="3900" spans="2:2">
      <c r="B3900" s="47"/>
    </row>
    <row r="3901" spans="2:2">
      <c r="B3901" s="47"/>
    </row>
    <row r="3902" spans="2:2">
      <c r="B3902" s="47"/>
    </row>
    <row r="3903" spans="2:2">
      <c r="B3903" s="47"/>
    </row>
    <row r="3904" spans="2:2">
      <c r="B3904" s="47"/>
    </row>
    <row r="3905" spans="2:2">
      <c r="B3905" s="47"/>
    </row>
    <row r="3906" spans="2:2">
      <c r="B3906" s="47"/>
    </row>
    <row r="3907" spans="2:2">
      <c r="B3907" s="47"/>
    </row>
    <row r="3908" spans="2:2">
      <c r="B3908" s="47"/>
    </row>
    <row r="3909" spans="2:2">
      <c r="B3909" s="47"/>
    </row>
    <row r="3910" spans="2:2">
      <c r="B3910" s="47"/>
    </row>
    <row r="3911" spans="2:2">
      <c r="B3911" s="47"/>
    </row>
    <row r="3912" spans="2:2">
      <c r="B3912" s="47"/>
    </row>
    <row r="3913" spans="2:2">
      <c r="B3913" s="47"/>
    </row>
    <row r="3914" spans="2:2">
      <c r="B3914" s="47"/>
    </row>
    <row r="3915" spans="2:2">
      <c r="B3915" s="47"/>
    </row>
    <row r="3916" spans="2:2">
      <c r="B3916" s="47"/>
    </row>
    <row r="3917" spans="2:2">
      <c r="B3917" s="47"/>
    </row>
    <row r="3918" spans="2:2">
      <c r="B3918" s="47"/>
    </row>
    <row r="3919" spans="2:2">
      <c r="B3919" s="47"/>
    </row>
    <row r="3920" spans="2:2">
      <c r="B3920" s="47"/>
    </row>
    <row r="3921" spans="2:2">
      <c r="B3921" s="47"/>
    </row>
    <row r="3922" spans="2:2">
      <c r="B3922" s="47"/>
    </row>
    <row r="3923" spans="2:2">
      <c r="B3923" s="47"/>
    </row>
    <row r="3924" spans="2:2">
      <c r="B3924" s="47"/>
    </row>
    <row r="3925" spans="2:2">
      <c r="B3925" s="47"/>
    </row>
    <row r="3926" spans="2:2">
      <c r="B3926" s="47"/>
    </row>
    <row r="3927" spans="2:2">
      <c r="B3927" s="47"/>
    </row>
    <row r="3928" spans="2:2">
      <c r="B3928" s="47"/>
    </row>
    <row r="3929" spans="2:2">
      <c r="B3929" s="47"/>
    </row>
    <row r="3930" spans="2:2">
      <c r="B3930" s="47"/>
    </row>
    <row r="3931" spans="2:2">
      <c r="B3931" s="47"/>
    </row>
    <row r="3932" spans="2:2">
      <c r="B3932" s="47"/>
    </row>
    <row r="3933" spans="2:2">
      <c r="B3933" s="47"/>
    </row>
    <row r="3934" spans="2:2">
      <c r="B3934" s="47"/>
    </row>
    <row r="3935" spans="2:2">
      <c r="B3935" s="47"/>
    </row>
    <row r="3936" spans="2:2">
      <c r="B3936" s="47"/>
    </row>
    <row r="3937" spans="2:2">
      <c r="B3937" s="47"/>
    </row>
    <row r="3938" spans="2:2">
      <c r="B3938" s="47"/>
    </row>
    <row r="3939" spans="2:2">
      <c r="B3939" s="47"/>
    </row>
    <row r="3940" spans="2:2">
      <c r="B3940" s="47"/>
    </row>
    <row r="3941" spans="2:2">
      <c r="B3941" s="47"/>
    </row>
    <row r="3942" spans="2:2">
      <c r="B3942" s="47"/>
    </row>
    <row r="3943" spans="2:2">
      <c r="B3943" s="47"/>
    </row>
    <row r="3944" spans="2:2">
      <c r="B3944" s="47"/>
    </row>
    <row r="3945" spans="2:2">
      <c r="B3945" s="47"/>
    </row>
    <row r="3946" spans="2:2">
      <c r="B3946" s="47"/>
    </row>
    <row r="3947" spans="2:2">
      <c r="B3947" s="47"/>
    </row>
    <row r="3948" spans="2:2">
      <c r="B3948" s="47"/>
    </row>
    <row r="3949" spans="2:2">
      <c r="B3949" s="47"/>
    </row>
    <row r="3950" spans="2:2">
      <c r="B3950" s="47"/>
    </row>
    <row r="3951" spans="2:2">
      <c r="B3951" s="47"/>
    </row>
    <row r="3952" spans="2:2">
      <c r="B3952" s="47"/>
    </row>
    <row r="3953" spans="2:2">
      <c r="B3953" s="47"/>
    </row>
    <row r="3954" spans="2:2">
      <c r="B3954" s="47"/>
    </row>
    <row r="3955" spans="2:2">
      <c r="B3955" s="47"/>
    </row>
    <row r="3956" spans="2:2">
      <c r="B3956" s="47"/>
    </row>
    <row r="3957" spans="2:2">
      <c r="B3957" s="47"/>
    </row>
    <row r="3958" spans="2:2">
      <c r="B3958" s="47"/>
    </row>
    <row r="3959" spans="2:2">
      <c r="B3959" s="47"/>
    </row>
    <row r="3960" spans="2:2">
      <c r="B3960" s="47"/>
    </row>
    <row r="3961" spans="2:2">
      <c r="B3961" s="47"/>
    </row>
    <row r="3962" spans="2:2">
      <c r="B3962" s="47"/>
    </row>
    <row r="3963" spans="2:2">
      <c r="B3963" s="47"/>
    </row>
    <row r="3964" spans="2:2">
      <c r="B3964" s="47"/>
    </row>
    <row r="3965" spans="2:2">
      <c r="B3965" s="47"/>
    </row>
    <row r="3966" spans="2:2">
      <c r="B3966" s="47"/>
    </row>
    <row r="3967" spans="2:2">
      <c r="B3967" s="47"/>
    </row>
    <row r="3968" spans="2:2">
      <c r="B3968" s="47"/>
    </row>
    <row r="3969" spans="2:2">
      <c r="B3969" s="47"/>
    </row>
    <row r="3970" spans="2:2">
      <c r="B3970" s="47"/>
    </row>
    <row r="3971" spans="2:2">
      <c r="B3971" s="47"/>
    </row>
    <row r="3972" spans="2:2">
      <c r="B3972" s="47"/>
    </row>
    <row r="3973" spans="2:2">
      <c r="B3973" s="47"/>
    </row>
    <row r="3974" spans="2:2">
      <c r="B3974" s="47"/>
    </row>
    <row r="3975" spans="2:2">
      <c r="B3975" s="47"/>
    </row>
    <row r="3976" spans="2:2">
      <c r="B3976" s="47"/>
    </row>
    <row r="3977" spans="2:2">
      <c r="B3977" s="47"/>
    </row>
    <row r="3978" spans="2:2">
      <c r="B3978" s="47"/>
    </row>
    <row r="3979" spans="2:2">
      <c r="B3979" s="47"/>
    </row>
    <row r="3980" spans="2:2">
      <c r="B3980" s="47"/>
    </row>
    <row r="3981" spans="2:2">
      <c r="B3981" s="47"/>
    </row>
    <row r="3982" spans="2:2">
      <c r="B3982" s="47"/>
    </row>
    <row r="3983" spans="2:2">
      <c r="B3983" s="47"/>
    </row>
    <row r="3984" spans="2:2">
      <c r="B3984" s="47"/>
    </row>
    <row r="3985" spans="2:2">
      <c r="B3985" s="47"/>
    </row>
    <row r="3986" spans="2:2">
      <c r="B3986" s="47"/>
    </row>
    <row r="3987" spans="2:2">
      <c r="B3987" s="47"/>
    </row>
    <row r="3988" spans="2:2">
      <c r="B3988" s="47"/>
    </row>
    <row r="3989" spans="2:2">
      <c r="B3989" s="47"/>
    </row>
    <row r="3990" spans="2:2">
      <c r="B3990" s="47"/>
    </row>
    <row r="3991" spans="2:2">
      <c r="B3991" s="47"/>
    </row>
    <row r="3992" spans="2:2">
      <c r="B3992" s="47"/>
    </row>
    <row r="3993" spans="2:2">
      <c r="B3993" s="47"/>
    </row>
    <row r="3994" spans="2:2">
      <c r="B3994" s="47"/>
    </row>
    <row r="3995" spans="2:2">
      <c r="B3995" s="47"/>
    </row>
    <row r="3996" spans="2:2">
      <c r="B3996" s="47"/>
    </row>
    <row r="3997" spans="2:2">
      <c r="B3997" s="47"/>
    </row>
    <row r="3998" spans="2:2">
      <c r="B3998" s="47"/>
    </row>
    <row r="3999" spans="2:2">
      <c r="B3999" s="47"/>
    </row>
    <row r="4000" spans="2:2">
      <c r="B4000" s="47"/>
    </row>
    <row r="4001" spans="2:2">
      <c r="B4001" s="47"/>
    </row>
    <row r="4002" spans="2:2">
      <c r="B4002" s="47"/>
    </row>
    <row r="4003" spans="2:2">
      <c r="B4003" s="47"/>
    </row>
    <row r="4004" spans="2:2">
      <c r="B4004" s="47"/>
    </row>
    <row r="4005" spans="2:2">
      <c r="B4005" s="47"/>
    </row>
    <row r="4006" spans="2:2">
      <c r="B4006" s="47"/>
    </row>
    <row r="4007" spans="2:2">
      <c r="B4007" s="47"/>
    </row>
    <row r="4008" spans="2:2">
      <c r="B4008" s="47"/>
    </row>
    <row r="4009" spans="2:2">
      <c r="B4009" s="47"/>
    </row>
    <row r="4010" spans="2:2">
      <c r="B4010" s="47"/>
    </row>
    <row r="4011" spans="2:2">
      <c r="B4011" s="47"/>
    </row>
    <row r="4012" spans="2:2">
      <c r="B4012" s="47"/>
    </row>
    <row r="4013" spans="2:2">
      <c r="B4013" s="47"/>
    </row>
    <row r="4014" spans="2:2">
      <c r="B4014" s="47"/>
    </row>
    <row r="4015" spans="2:2">
      <c r="B4015" s="47"/>
    </row>
    <row r="4016" spans="2:2">
      <c r="B4016" s="47"/>
    </row>
    <row r="4017" spans="2:2">
      <c r="B4017" s="47"/>
    </row>
    <row r="4018" spans="2:2">
      <c r="B4018" s="47"/>
    </row>
    <row r="4019" spans="2:2">
      <c r="B4019" s="47"/>
    </row>
    <row r="4020" spans="2:2">
      <c r="B4020" s="47"/>
    </row>
    <row r="4021" spans="2:2">
      <c r="B4021" s="47"/>
    </row>
    <row r="4022" spans="2:2">
      <c r="B4022" s="47"/>
    </row>
    <row r="4023" spans="2:2">
      <c r="B4023" s="47"/>
    </row>
    <row r="4024" spans="2:2">
      <c r="B4024" s="47"/>
    </row>
    <row r="4025" spans="2:2">
      <c r="B4025" s="47"/>
    </row>
    <row r="4026" spans="2:2">
      <c r="B4026" s="47"/>
    </row>
    <row r="4027" spans="2:2">
      <c r="B4027" s="47"/>
    </row>
    <row r="4028" spans="2:2">
      <c r="B4028" s="47"/>
    </row>
    <row r="4029" spans="2:2">
      <c r="B4029" s="47"/>
    </row>
    <row r="4030" spans="2:2">
      <c r="B4030" s="47"/>
    </row>
    <row r="4031" spans="2:2">
      <c r="B4031" s="47"/>
    </row>
    <row r="4032" spans="2:2">
      <c r="B4032" s="47"/>
    </row>
    <row r="4033" spans="2:2">
      <c r="B4033" s="47"/>
    </row>
    <row r="4034" spans="2:2">
      <c r="B4034" s="47"/>
    </row>
    <row r="4035" spans="2:2">
      <c r="B4035" s="47"/>
    </row>
    <row r="4036" spans="2:2">
      <c r="B4036" s="47"/>
    </row>
    <row r="4037" spans="2:2">
      <c r="B4037" s="47"/>
    </row>
    <row r="4038" spans="2:2">
      <c r="B4038" s="47"/>
    </row>
    <row r="4039" spans="2:2">
      <c r="B4039" s="47"/>
    </row>
    <row r="4040" spans="2:2">
      <c r="B4040" s="47"/>
    </row>
    <row r="4041" spans="2:2">
      <c r="B4041" s="47"/>
    </row>
    <row r="4042" spans="2:2">
      <c r="B4042" s="47"/>
    </row>
    <row r="4043" spans="2:2">
      <c r="B4043" s="47"/>
    </row>
    <row r="4044" spans="2:2">
      <c r="B4044" s="47"/>
    </row>
    <row r="4045" spans="2:2">
      <c r="B4045" s="47"/>
    </row>
    <row r="4046" spans="2:2">
      <c r="B4046" s="47"/>
    </row>
    <row r="4047" spans="2:2">
      <c r="B4047" s="47"/>
    </row>
    <row r="4048" spans="2:2">
      <c r="B4048" s="47"/>
    </row>
    <row r="4049" spans="2:2">
      <c r="B4049" s="47"/>
    </row>
    <row r="4050" spans="2:2">
      <c r="B4050" s="47"/>
    </row>
    <row r="4051" spans="2:2">
      <c r="B4051" s="47"/>
    </row>
    <row r="4052" spans="2:2">
      <c r="B4052" s="47"/>
    </row>
    <row r="4053" spans="2:2">
      <c r="B4053" s="47"/>
    </row>
    <row r="4054" spans="2:2">
      <c r="B4054" s="47"/>
    </row>
    <row r="4055" spans="2:2">
      <c r="B4055" s="47"/>
    </row>
    <row r="4056" spans="2:2">
      <c r="B4056" s="47"/>
    </row>
    <row r="4057" spans="2:2">
      <c r="B4057" s="47"/>
    </row>
    <row r="4058" spans="2:2">
      <c r="B4058" s="47"/>
    </row>
    <row r="4059" spans="2:2">
      <c r="B4059" s="47"/>
    </row>
    <row r="4060" spans="2:2">
      <c r="B4060" s="47"/>
    </row>
    <row r="4061" spans="2:2">
      <c r="B4061" s="47"/>
    </row>
    <row r="4062" spans="2:2">
      <c r="B4062" s="47"/>
    </row>
    <row r="4063" spans="2:2">
      <c r="B4063" s="47"/>
    </row>
    <row r="4064" spans="2:2">
      <c r="B4064" s="47"/>
    </row>
    <row r="4065" spans="2:2">
      <c r="B4065" s="47"/>
    </row>
    <row r="4066" spans="2:2">
      <c r="B4066" s="47"/>
    </row>
    <row r="4067" spans="2:2">
      <c r="B4067" s="47"/>
    </row>
    <row r="4068" spans="2:2">
      <c r="B4068" s="47"/>
    </row>
    <row r="4069" spans="2:2">
      <c r="B4069" s="47"/>
    </row>
    <row r="4070" spans="2:2">
      <c r="B4070" s="47"/>
    </row>
    <row r="4071" spans="2:2">
      <c r="B4071" s="47"/>
    </row>
    <row r="4072" spans="2:2">
      <c r="B4072" s="47"/>
    </row>
    <row r="4073" spans="2:2">
      <c r="B4073" s="47"/>
    </row>
    <row r="4074" spans="2:2">
      <c r="B4074" s="47"/>
    </row>
    <row r="4075" spans="2:2">
      <c r="B4075" s="47"/>
    </row>
    <row r="4076" spans="2:2">
      <c r="B4076" s="47"/>
    </row>
    <row r="4077" spans="2:2">
      <c r="B4077" s="47"/>
    </row>
    <row r="4078" spans="2:2">
      <c r="B4078" s="47"/>
    </row>
    <row r="4079" spans="2:2">
      <c r="B4079" s="47"/>
    </row>
    <row r="4080" spans="2:2">
      <c r="B4080" s="47"/>
    </row>
    <row r="4081" spans="2:2">
      <c r="B4081" s="47"/>
    </row>
    <row r="4082" spans="2:2">
      <c r="B4082" s="47"/>
    </row>
    <row r="4083" spans="2:2">
      <c r="B4083" s="47"/>
    </row>
    <row r="4084" spans="2:2">
      <c r="B4084" s="47"/>
    </row>
    <row r="4085" spans="2:2">
      <c r="B4085" s="47"/>
    </row>
    <row r="4086" spans="2:2">
      <c r="B4086" s="47"/>
    </row>
    <row r="4087" spans="2:2">
      <c r="B4087" s="47"/>
    </row>
    <row r="4088" spans="2:2">
      <c r="B4088" s="47"/>
    </row>
    <row r="4089" spans="2:2">
      <c r="B4089" s="47"/>
    </row>
    <row r="4090" spans="2:2">
      <c r="B4090" s="47"/>
    </row>
    <row r="4091" spans="2:2">
      <c r="B4091" s="47"/>
    </row>
    <row r="4092" spans="2:2">
      <c r="B4092" s="47"/>
    </row>
    <row r="4093" spans="2:2">
      <c r="B4093" s="47"/>
    </row>
    <row r="4094" spans="2:2">
      <c r="B4094" s="47"/>
    </row>
    <row r="4095" spans="2:2">
      <c r="B4095" s="47"/>
    </row>
    <row r="4096" spans="2:2">
      <c r="B4096" s="47"/>
    </row>
    <row r="4097" spans="2:2">
      <c r="B4097" s="47"/>
    </row>
    <row r="4098" spans="2:2">
      <c r="B4098" s="47"/>
    </row>
    <row r="4099" spans="2:2">
      <c r="B4099" s="47"/>
    </row>
    <row r="4100" spans="2:2">
      <c r="B4100" s="47"/>
    </row>
    <row r="4101" spans="2:2">
      <c r="B4101" s="47"/>
    </row>
    <row r="4102" spans="2:2">
      <c r="B4102" s="47"/>
    </row>
    <row r="4103" spans="2:2">
      <c r="B4103" s="47"/>
    </row>
    <row r="4104" spans="2:2">
      <c r="B4104" s="47"/>
    </row>
    <row r="4105" spans="2:2">
      <c r="B4105" s="47"/>
    </row>
    <row r="4106" spans="2:2">
      <c r="B4106" s="47"/>
    </row>
    <row r="4107" spans="2:2">
      <c r="B4107" s="47"/>
    </row>
    <row r="4108" spans="2:2">
      <c r="B4108" s="47"/>
    </row>
    <row r="4109" spans="2:2">
      <c r="B4109" s="47"/>
    </row>
    <row r="4110" spans="2:2">
      <c r="B4110" s="47"/>
    </row>
    <row r="4111" spans="2:2">
      <c r="B4111" s="47"/>
    </row>
    <row r="4112" spans="2:2">
      <c r="B4112" s="47"/>
    </row>
    <row r="4113" spans="2:2">
      <c r="B4113" s="47"/>
    </row>
    <row r="4114" spans="2:2">
      <c r="B4114" s="47"/>
    </row>
    <row r="4115" spans="2:2">
      <c r="B4115" s="47"/>
    </row>
    <row r="4116" spans="2:2">
      <c r="B4116" s="47"/>
    </row>
    <row r="4117" spans="2:2">
      <c r="B4117" s="47"/>
    </row>
    <row r="4118" spans="2:2">
      <c r="B4118" s="47"/>
    </row>
    <row r="4119" spans="2:2">
      <c r="B4119" s="47"/>
    </row>
    <row r="4120" spans="2:2">
      <c r="B4120" s="47"/>
    </row>
    <row r="4121" spans="2:2">
      <c r="B4121" s="47"/>
    </row>
    <row r="4122" spans="2:2">
      <c r="B4122" s="47"/>
    </row>
    <row r="4123" spans="2:2">
      <c r="B4123" s="47"/>
    </row>
    <row r="4124" spans="2:2">
      <c r="B4124" s="47"/>
    </row>
    <row r="4125" spans="2:2">
      <c r="B4125" s="47"/>
    </row>
    <row r="4126" spans="2:2">
      <c r="B4126" s="47"/>
    </row>
    <row r="4127" spans="2:2">
      <c r="B4127" s="47"/>
    </row>
    <row r="4128" spans="2:2">
      <c r="B4128" s="47"/>
    </row>
    <row r="4129" spans="2:2">
      <c r="B4129" s="47"/>
    </row>
    <row r="4130" spans="2:2">
      <c r="B4130" s="47"/>
    </row>
    <row r="4131" spans="2:2">
      <c r="B4131" s="47"/>
    </row>
    <row r="4132" spans="2:2">
      <c r="B4132" s="47"/>
    </row>
    <row r="4133" spans="2:2">
      <c r="B4133" s="47"/>
    </row>
    <row r="4134" spans="2:2">
      <c r="B4134" s="47"/>
    </row>
    <row r="4135" spans="2:2">
      <c r="B4135" s="47"/>
    </row>
    <row r="4136" spans="2:2">
      <c r="B4136" s="47"/>
    </row>
    <row r="4137" spans="2:2">
      <c r="B4137" s="47"/>
    </row>
    <row r="4138" spans="2:2">
      <c r="B4138" s="47"/>
    </row>
    <row r="4139" spans="2:2">
      <c r="B4139" s="47"/>
    </row>
    <row r="4140" spans="2:2">
      <c r="B4140" s="47"/>
    </row>
    <row r="4141" spans="2:2">
      <c r="B4141" s="47"/>
    </row>
    <row r="4142" spans="2:2">
      <c r="B4142" s="47"/>
    </row>
    <row r="4143" spans="2:2">
      <c r="B4143" s="47"/>
    </row>
    <row r="4144" spans="2:2">
      <c r="B4144" s="47"/>
    </row>
    <row r="4145" spans="2:2">
      <c r="B4145" s="47"/>
    </row>
    <row r="4146" spans="2:2">
      <c r="B4146" s="47"/>
    </row>
    <row r="4147" spans="2:2">
      <c r="B4147" s="47"/>
    </row>
    <row r="4148" spans="2:2">
      <c r="B4148" s="47"/>
    </row>
    <row r="4149" spans="2:2">
      <c r="B4149" s="47"/>
    </row>
    <row r="4150" spans="2:2">
      <c r="B4150" s="47"/>
    </row>
    <row r="4151" spans="2:2">
      <c r="B4151" s="47"/>
    </row>
    <row r="4152" spans="2:2">
      <c r="B4152" s="47"/>
    </row>
    <row r="4153" spans="2:2">
      <c r="B4153" s="47"/>
    </row>
    <row r="4154" spans="2:2">
      <c r="B4154" s="47"/>
    </row>
    <row r="4155" spans="2:2">
      <c r="B4155" s="47"/>
    </row>
    <row r="4156" spans="2:2">
      <c r="B4156" s="47"/>
    </row>
    <row r="4157" spans="2:2">
      <c r="B4157" s="47"/>
    </row>
    <row r="4158" spans="2:2">
      <c r="B4158" s="47"/>
    </row>
    <row r="4159" spans="2:2">
      <c r="B4159" s="47"/>
    </row>
    <row r="4160" spans="2:2">
      <c r="B4160" s="47"/>
    </row>
    <row r="4161" spans="2:2">
      <c r="B4161" s="47"/>
    </row>
    <row r="4162" spans="2:2">
      <c r="B4162" s="47"/>
    </row>
    <row r="4163" spans="2:2">
      <c r="B4163" s="47"/>
    </row>
    <row r="4164" spans="2:2">
      <c r="B4164" s="47"/>
    </row>
    <row r="4165" spans="2:2">
      <c r="B4165" s="47"/>
    </row>
    <row r="4166" spans="2:2">
      <c r="B4166" s="47"/>
    </row>
    <row r="4167" spans="2:2">
      <c r="B4167" s="47"/>
    </row>
    <row r="4168" spans="2:2">
      <c r="B4168" s="47"/>
    </row>
    <row r="4169" spans="2:2">
      <c r="B4169" s="47"/>
    </row>
    <row r="4170" spans="2:2">
      <c r="B4170" s="47"/>
    </row>
    <row r="4171" spans="2:2">
      <c r="B4171" s="47"/>
    </row>
    <row r="4172" spans="2:2">
      <c r="B4172" s="47"/>
    </row>
    <row r="4173" spans="2:2">
      <c r="B4173" s="47"/>
    </row>
    <row r="4174" spans="2:2">
      <c r="B4174" s="47"/>
    </row>
    <row r="4175" spans="2:2">
      <c r="B4175" s="47"/>
    </row>
    <row r="4176" spans="2:2">
      <c r="B4176" s="47"/>
    </row>
    <row r="4177" spans="2:2">
      <c r="B4177" s="47"/>
    </row>
    <row r="4178" spans="2:2">
      <c r="B4178" s="47"/>
    </row>
    <row r="4179" spans="2:2">
      <c r="B4179" s="47"/>
    </row>
    <row r="4180" spans="2:2">
      <c r="B4180" s="47"/>
    </row>
    <row r="4181" spans="2:2">
      <c r="B4181" s="47"/>
    </row>
    <row r="4182" spans="2:2">
      <c r="B4182" s="47"/>
    </row>
    <row r="4183" spans="2:2">
      <c r="B4183" s="47"/>
    </row>
    <row r="4184" spans="2:2">
      <c r="B4184" s="47"/>
    </row>
    <row r="4185" spans="2:2">
      <c r="B4185" s="47"/>
    </row>
    <row r="4186" spans="2:2">
      <c r="B4186" s="47"/>
    </row>
    <row r="4187" spans="2:2">
      <c r="B4187" s="47"/>
    </row>
    <row r="4188" spans="2:2">
      <c r="B4188" s="47"/>
    </row>
    <row r="4189" spans="2:2">
      <c r="B4189" s="47"/>
    </row>
    <row r="4190" spans="2:2">
      <c r="B4190" s="47"/>
    </row>
    <row r="4191" spans="2:2">
      <c r="B4191" s="47"/>
    </row>
    <row r="4192" spans="2:2">
      <c r="B4192" s="47"/>
    </row>
    <row r="4193" spans="2:2">
      <c r="B4193" s="47"/>
    </row>
    <row r="4194" spans="2:2">
      <c r="B4194" s="47"/>
    </row>
    <row r="4195" spans="2:2">
      <c r="B4195" s="47"/>
    </row>
    <row r="4196" spans="2:2">
      <c r="B4196" s="47"/>
    </row>
    <row r="4197" spans="2:2">
      <c r="B4197" s="47"/>
    </row>
    <row r="4198" spans="2:2">
      <c r="B4198" s="47"/>
    </row>
    <row r="4199" spans="2:2">
      <c r="B4199" s="47"/>
    </row>
    <row r="4200" spans="2:2">
      <c r="B4200" s="47"/>
    </row>
    <row r="4201" spans="2:2">
      <c r="B4201" s="47"/>
    </row>
    <row r="4202" spans="2:2">
      <c r="B4202" s="47"/>
    </row>
    <row r="4203" spans="2:2">
      <c r="B4203" s="47"/>
    </row>
    <row r="4204" spans="2:2">
      <c r="B4204" s="47"/>
    </row>
    <row r="4205" spans="2:2">
      <c r="B4205" s="47"/>
    </row>
    <row r="4206" spans="2:2">
      <c r="B4206" s="47"/>
    </row>
    <row r="4207" spans="2:2">
      <c r="B4207" s="47"/>
    </row>
    <row r="4208" spans="2:2">
      <c r="B4208" s="47"/>
    </row>
    <row r="4209" spans="2:2">
      <c r="B4209" s="47"/>
    </row>
    <row r="4210" spans="2:2">
      <c r="B4210" s="47"/>
    </row>
    <row r="4211" spans="2:2">
      <c r="B4211" s="47"/>
    </row>
    <row r="4212" spans="2:2">
      <c r="B4212" s="47"/>
    </row>
    <row r="4213" spans="2:2">
      <c r="B4213" s="47"/>
    </row>
    <row r="4214" spans="2:2">
      <c r="B4214" s="47"/>
    </row>
    <row r="4215" spans="2:2">
      <c r="B4215" s="47"/>
    </row>
    <row r="4216" spans="2:2">
      <c r="B4216" s="47"/>
    </row>
    <row r="4217" spans="2:2">
      <c r="B4217" s="47"/>
    </row>
    <row r="4218" spans="2:2">
      <c r="B4218" s="47"/>
    </row>
    <row r="4219" spans="2:2">
      <c r="B4219" s="47"/>
    </row>
    <row r="4220" spans="2:2">
      <c r="B4220" s="47"/>
    </row>
    <row r="4221" spans="2:2">
      <c r="B4221" s="47"/>
    </row>
    <row r="4222" spans="2:2">
      <c r="B4222" s="47"/>
    </row>
    <row r="4223" spans="2:2">
      <c r="B4223" s="47"/>
    </row>
    <row r="4224" spans="2:2">
      <c r="B4224" s="47"/>
    </row>
    <row r="4225" spans="2:2">
      <c r="B4225" s="47"/>
    </row>
    <row r="4226" spans="2:2">
      <c r="B4226" s="47"/>
    </row>
    <row r="4227" spans="2:2">
      <c r="B4227" s="47"/>
    </row>
    <row r="4228" spans="2:2">
      <c r="B4228" s="47"/>
    </row>
    <row r="4229" spans="2:2">
      <c r="B4229" s="47"/>
    </row>
    <row r="4230" spans="2:2">
      <c r="B4230" s="47"/>
    </row>
    <row r="4231" spans="2:2">
      <c r="B4231" s="47"/>
    </row>
    <row r="4232" spans="2:2">
      <c r="B4232" s="47"/>
    </row>
    <row r="4233" spans="2:2">
      <c r="B4233" s="47"/>
    </row>
    <row r="4234" spans="2:2">
      <c r="B4234" s="47"/>
    </row>
    <row r="4235" spans="2:2">
      <c r="B4235" s="47"/>
    </row>
    <row r="4236" spans="2:2">
      <c r="B4236" s="47"/>
    </row>
    <row r="4237" spans="2:2">
      <c r="B4237" s="47"/>
    </row>
    <row r="4238" spans="2:2">
      <c r="B4238" s="47"/>
    </row>
    <row r="4239" spans="2:2">
      <c r="B4239" s="47"/>
    </row>
    <row r="4240" spans="2:2">
      <c r="B4240" s="47"/>
    </row>
    <row r="4241" spans="2:2">
      <c r="B4241" s="47"/>
    </row>
    <row r="4242" spans="2:2">
      <c r="B4242" s="47"/>
    </row>
    <row r="4243" spans="2:2">
      <c r="B4243" s="47"/>
    </row>
    <row r="4244" spans="2:2">
      <c r="B4244" s="47"/>
    </row>
    <row r="4245" spans="2:2">
      <c r="B4245" s="47"/>
    </row>
    <row r="4246" spans="2:2">
      <c r="B4246" s="47"/>
    </row>
    <row r="4247" spans="2:2">
      <c r="B4247" s="47"/>
    </row>
    <row r="4248" spans="2:2">
      <c r="B4248" s="47"/>
    </row>
    <row r="4249" spans="2:2">
      <c r="B4249" s="47"/>
    </row>
    <row r="4250" spans="2:2">
      <c r="B4250" s="47"/>
    </row>
    <row r="4251" spans="2:2">
      <c r="B4251" s="47"/>
    </row>
    <row r="4252" spans="2:2">
      <c r="B4252" s="47"/>
    </row>
    <row r="4253" spans="2:2">
      <c r="B4253" s="47"/>
    </row>
    <row r="4254" spans="2:2">
      <c r="B4254" s="47"/>
    </row>
    <row r="4255" spans="2:2">
      <c r="B4255" s="47"/>
    </row>
    <row r="4256" spans="2:2">
      <c r="B4256" s="47"/>
    </row>
    <row r="4257" spans="2:2">
      <c r="B4257" s="47"/>
    </row>
    <row r="4258" spans="2:2">
      <c r="B4258" s="47"/>
    </row>
    <row r="4259" spans="2:2">
      <c r="B4259" s="47"/>
    </row>
    <row r="4260" spans="2:2">
      <c r="B4260" s="47"/>
    </row>
    <row r="4261" spans="2:2">
      <c r="B4261" s="47"/>
    </row>
    <row r="4262" spans="2:2">
      <c r="B4262" s="47"/>
    </row>
    <row r="4263" spans="2:2">
      <c r="B4263" s="47"/>
    </row>
    <row r="4264" spans="2:2">
      <c r="B4264" s="47"/>
    </row>
    <row r="4265" spans="2:2">
      <c r="B4265" s="47"/>
    </row>
    <row r="4266" spans="2:2">
      <c r="B4266" s="47"/>
    </row>
    <row r="4267" spans="2:2">
      <c r="B4267" s="47"/>
    </row>
    <row r="4268" spans="2:2">
      <c r="B4268" s="47"/>
    </row>
    <row r="4269" spans="2:2">
      <c r="B4269" s="47"/>
    </row>
    <row r="4270" spans="2:2">
      <c r="B4270" s="47"/>
    </row>
    <row r="4271" spans="2:2">
      <c r="B4271" s="47"/>
    </row>
    <row r="4272" spans="2:2">
      <c r="B4272" s="47"/>
    </row>
    <row r="4273" spans="2:2">
      <c r="B4273" s="47"/>
    </row>
    <row r="4274" spans="2:2">
      <c r="B4274" s="47"/>
    </row>
    <row r="4275" spans="2:2">
      <c r="B4275" s="47"/>
    </row>
    <row r="4276" spans="2:2">
      <c r="B4276" s="47"/>
    </row>
    <row r="4277" spans="2:2">
      <c r="B4277" s="47"/>
    </row>
    <row r="4278" spans="2:2">
      <c r="B4278" s="47"/>
    </row>
    <row r="4279" spans="2:2">
      <c r="B4279" s="47"/>
    </row>
    <row r="4280" spans="2:2">
      <c r="B4280" s="47"/>
    </row>
    <row r="4281" spans="2:2">
      <c r="B4281" s="47"/>
    </row>
    <row r="4282" spans="2:2">
      <c r="B4282" s="47"/>
    </row>
    <row r="4283" spans="2:2">
      <c r="B4283" s="47"/>
    </row>
    <row r="4284" spans="2:2">
      <c r="B4284" s="47"/>
    </row>
    <row r="4285" spans="2:2">
      <c r="B4285" s="47"/>
    </row>
    <row r="4286" spans="2:2">
      <c r="B4286" s="47"/>
    </row>
    <row r="4287" spans="2:2">
      <c r="B4287" s="47"/>
    </row>
    <row r="4288" spans="2:2">
      <c r="B4288" s="47"/>
    </row>
    <row r="4289" spans="2:2">
      <c r="B4289" s="47"/>
    </row>
    <row r="4290" spans="2:2">
      <c r="B4290" s="47"/>
    </row>
    <row r="4291" spans="2:2">
      <c r="B4291" s="47"/>
    </row>
    <row r="4292" spans="2:2">
      <c r="B4292" s="47"/>
    </row>
    <row r="4293" spans="2:2">
      <c r="B4293" s="47"/>
    </row>
    <row r="4294" spans="2:2">
      <c r="B4294" s="47"/>
    </row>
    <row r="4295" spans="2:2">
      <c r="B4295" s="47"/>
    </row>
    <row r="4296" spans="2:2">
      <c r="B4296" s="47"/>
    </row>
    <row r="4297" spans="2:2">
      <c r="B4297" s="47"/>
    </row>
    <row r="4298" spans="2:2">
      <c r="B4298" s="47"/>
    </row>
    <row r="4299" spans="2:2">
      <c r="B4299" s="47"/>
    </row>
    <row r="4300" spans="2:2">
      <c r="B4300" s="47"/>
    </row>
    <row r="4301" spans="2:2">
      <c r="B4301" s="47"/>
    </row>
    <row r="4302" spans="2:2">
      <c r="B4302" s="47"/>
    </row>
    <row r="4303" spans="2:2">
      <c r="B4303" s="47"/>
    </row>
    <row r="4304" spans="2:2">
      <c r="B4304" s="47"/>
    </row>
    <row r="4305" spans="2:2">
      <c r="B4305" s="47"/>
    </row>
    <row r="4306" spans="2:2">
      <c r="B4306" s="47"/>
    </row>
    <row r="4307" spans="2:2">
      <c r="B4307" s="47"/>
    </row>
    <row r="4308" spans="2:2">
      <c r="B4308" s="47"/>
    </row>
    <row r="4309" spans="2:2">
      <c r="B4309" s="47"/>
    </row>
    <row r="4310" spans="2:2">
      <c r="B4310" s="47"/>
    </row>
    <row r="4311" spans="2:2">
      <c r="B4311" s="47"/>
    </row>
    <row r="4312" spans="2:2">
      <c r="B4312" s="47"/>
    </row>
    <row r="4313" spans="2:2">
      <c r="B4313" s="47"/>
    </row>
    <row r="4314" spans="2:2">
      <c r="B4314" s="47"/>
    </row>
    <row r="4315" spans="2:2">
      <c r="B4315" s="47"/>
    </row>
    <row r="4316" spans="2:2">
      <c r="B4316" s="47"/>
    </row>
    <row r="4317" spans="2:2">
      <c r="B4317" s="47"/>
    </row>
    <row r="4318" spans="2:2">
      <c r="B4318" s="47"/>
    </row>
    <row r="4319" spans="2:2">
      <c r="B4319" s="47"/>
    </row>
    <row r="4320" spans="2:2">
      <c r="B4320" s="47"/>
    </row>
    <row r="4321" spans="2:2">
      <c r="B4321" s="47"/>
    </row>
    <row r="4322" spans="2:2">
      <c r="B4322" s="47"/>
    </row>
    <row r="4323" spans="2:2">
      <c r="B4323" s="47"/>
    </row>
    <row r="4324" spans="2:2">
      <c r="B4324" s="47"/>
    </row>
    <row r="4325" spans="2:2">
      <c r="B4325" s="47"/>
    </row>
    <row r="4326" spans="2:2">
      <c r="B4326" s="47"/>
    </row>
    <row r="4327" spans="2:2">
      <c r="B4327" s="47"/>
    </row>
    <row r="4328" spans="2:2">
      <c r="B4328" s="47"/>
    </row>
    <row r="4329" spans="2:2">
      <c r="B4329" s="47"/>
    </row>
    <row r="4330" spans="2:2">
      <c r="B4330" s="47"/>
    </row>
    <row r="4331" spans="2:2">
      <c r="B4331" s="47"/>
    </row>
    <row r="4332" spans="2:2">
      <c r="B4332" s="47"/>
    </row>
    <row r="4333" spans="2:2">
      <c r="B4333" s="47"/>
    </row>
    <row r="4334" spans="2:2">
      <c r="B4334" s="47"/>
    </row>
    <row r="4335" spans="2:2">
      <c r="B4335" s="47"/>
    </row>
    <row r="4336" spans="2:2">
      <c r="B4336" s="47"/>
    </row>
    <row r="4337" spans="2:2">
      <c r="B4337" s="47"/>
    </row>
    <row r="4338" spans="2:2">
      <c r="B4338" s="47"/>
    </row>
    <row r="4339" spans="2:2">
      <c r="B4339" s="47"/>
    </row>
    <row r="4340" spans="2:2">
      <c r="B4340" s="47"/>
    </row>
    <row r="4341" spans="2:2">
      <c r="B4341" s="47"/>
    </row>
    <row r="4342" spans="2:2">
      <c r="B4342" s="47"/>
    </row>
    <row r="4343" spans="2:2">
      <c r="B4343" s="47"/>
    </row>
    <row r="4344" spans="2:2">
      <c r="B4344" s="47"/>
    </row>
    <row r="4345" spans="2:2">
      <c r="B4345" s="47"/>
    </row>
    <row r="4346" spans="2:2">
      <c r="B4346" s="47"/>
    </row>
    <row r="4347" spans="2:2">
      <c r="B4347" s="47"/>
    </row>
    <row r="4348" spans="2:2">
      <c r="B4348" s="47"/>
    </row>
    <row r="4349" spans="2:2">
      <c r="B4349" s="47"/>
    </row>
    <row r="4350" spans="2:2">
      <c r="B4350" s="47"/>
    </row>
    <row r="4351" spans="2:2">
      <c r="B4351" s="47"/>
    </row>
    <row r="4352" spans="2:2">
      <c r="B4352" s="47"/>
    </row>
    <row r="4353" spans="2:2">
      <c r="B4353" s="47"/>
    </row>
    <row r="4354" spans="2:2">
      <c r="B4354" s="47"/>
    </row>
    <row r="4355" spans="2:2">
      <c r="B4355" s="47"/>
    </row>
    <row r="4356" spans="2:2">
      <c r="B4356" s="47"/>
    </row>
    <row r="4357" spans="2:2">
      <c r="B4357" s="47"/>
    </row>
    <row r="4358" spans="2:2">
      <c r="B4358" s="47"/>
    </row>
    <row r="4359" spans="2:2">
      <c r="B4359" s="47"/>
    </row>
    <row r="4360" spans="2:2">
      <c r="B4360" s="47"/>
    </row>
    <row r="4361" spans="2:2">
      <c r="B4361" s="47"/>
    </row>
    <row r="4362" spans="2:2">
      <c r="B4362" s="47"/>
    </row>
    <row r="4363" spans="2:2">
      <c r="B4363" s="47"/>
    </row>
    <row r="4364" spans="2:2">
      <c r="B4364" s="47"/>
    </row>
    <row r="4365" spans="2:2">
      <c r="B4365" s="47"/>
    </row>
    <row r="4366" spans="2:2">
      <c r="B4366" s="47"/>
    </row>
    <row r="4367" spans="2:2">
      <c r="B4367" s="47"/>
    </row>
    <row r="4368" spans="2:2">
      <c r="B4368" s="47"/>
    </row>
    <row r="4369" spans="2:2">
      <c r="B4369" s="47"/>
    </row>
    <row r="4370" spans="2:2">
      <c r="B4370" s="47"/>
    </row>
    <row r="4371" spans="2:2">
      <c r="B4371" s="47"/>
    </row>
    <row r="4372" spans="2:2">
      <c r="B4372" s="47"/>
    </row>
    <row r="4373" spans="2:2">
      <c r="B4373" s="47"/>
    </row>
    <row r="4374" spans="2:2">
      <c r="B4374" s="47"/>
    </row>
    <row r="4375" spans="2:2">
      <c r="B4375" s="47"/>
    </row>
    <row r="4376" spans="2:2">
      <c r="B4376" s="47"/>
    </row>
    <row r="4377" spans="2:2">
      <c r="B4377" s="47"/>
    </row>
    <row r="4378" spans="2:2">
      <c r="B4378" s="47"/>
    </row>
    <row r="4379" spans="2:2">
      <c r="B4379" s="47"/>
    </row>
    <row r="4380" spans="2:2">
      <c r="B4380" s="47"/>
    </row>
    <row r="4381" spans="2:2">
      <c r="B4381" s="47"/>
    </row>
    <row r="4382" spans="2:2">
      <c r="B4382" s="47"/>
    </row>
    <row r="4383" spans="2:2">
      <c r="B4383" s="47"/>
    </row>
    <row r="4384" spans="2:2">
      <c r="B4384" s="47"/>
    </row>
    <row r="4385" spans="2:2">
      <c r="B4385" s="47"/>
    </row>
    <row r="4386" spans="2:2">
      <c r="B4386" s="47"/>
    </row>
    <row r="4387" spans="2:2">
      <c r="B4387" s="47"/>
    </row>
    <row r="4388" spans="2:2">
      <c r="B4388" s="47"/>
    </row>
    <row r="4389" spans="2:2">
      <c r="B4389" s="47"/>
    </row>
    <row r="4390" spans="2:2">
      <c r="B4390" s="47"/>
    </row>
    <row r="4391" spans="2:2">
      <c r="B4391" s="47"/>
    </row>
    <row r="4392" spans="2:2">
      <c r="B4392" s="47"/>
    </row>
    <row r="4393" spans="2:2">
      <c r="B4393" s="47"/>
    </row>
    <row r="4394" spans="2:2">
      <c r="B4394" s="47"/>
    </row>
    <row r="4395" spans="2:2">
      <c r="B4395" s="47"/>
    </row>
    <row r="4396" spans="2:2">
      <c r="B4396" s="47"/>
    </row>
    <row r="4397" spans="2:2">
      <c r="B4397" s="47"/>
    </row>
    <row r="4398" spans="2:2">
      <c r="B4398" s="47"/>
    </row>
    <row r="4399" spans="2:2">
      <c r="B4399" s="47"/>
    </row>
    <row r="4400" spans="2:2">
      <c r="B4400" s="47"/>
    </row>
    <row r="4401" spans="2:2">
      <c r="B4401" s="47"/>
    </row>
    <row r="4402" spans="2:2">
      <c r="B4402" s="47"/>
    </row>
    <row r="4403" spans="2:2">
      <c r="B4403" s="47"/>
    </row>
    <row r="4404" spans="2:2">
      <c r="B4404" s="47"/>
    </row>
    <row r="4405" spans="2:2">
      <c r="B4405" s="47"/>
    </row>
    <row r="4406" spans="2:2">
      <c r="B4406" s="47"/>
    </row>
    <row r="4407" spans="2:2">
      <c r="B4407" s="47"/>
    </row>
    <row r="4408" spans="2:2">
      <c r="B4408" s="47"/>
    </row>
    <row r="4409" spans="2:2">
      <c r="B4409" s="47"/>
    </row>
    <row r="4410" spans="2:2">
      <c r="B4410" s="47"/>
    </row>
    <row r="4411" spans="2:2">
      <c r="B4411" s="47"/>
    </row>
    <row r="4412" spans="2:2">
      <c r="B4412" s="47"/>
    </row>
    <row r="4413" spans="2:2">
      <c r="B4413" s="47"/>
    </row>
    <row r="4414" spans="2:2">
      <c r="B4414" s="47"/>
    </row>
    <row r="4415" spans="2:2">
      <c r="B4415" s="47"/>
    </row>
    <row r="4416" spans="2:2">
      <c r="B4416" s="47"/>
    </row>
    <row r="4417" spans="2:2">
      <c r="B4417" s="47"/>
    </row>
    <row r="4418" spans="2:2">
      <c r="B4418" s="47"/>
    </row>
    <row r="4419" spans="2:2">
      <c r="B4419" s="47"/>
    </row>
    <row r="4420" spans="2:2">
      <c r="B4420" s="47"/>
    </row>
    <row r="4421" spans="2:2">
      <c r="B4421" s="47"/>
    </row>
    <row r="4422" spans="2:2">
      <c r="B4422" s="47"/>
    </row>
    <row r="4423" spans="2:2">
      <c r="B4423" s="47"/>
    </row>
    <row r="4424" spans="2:2">
      <c r="B4424" s="47"/>
    </row>
    <row r="4425" spans="2:2">
      <c r="B4425" s="47"/>
    </row>
    <row r="4426" spans="2:2">
      <c r="B4426" s="47"/>
    </row>
    <row r="4427" spans="2:2">
      <c r="B4427" s="47"/>
    </row>
    <row r="4428" spans="2:2">
      <c r="B4428" s="47"/>
    </row>
    <row r="4429" spans="2:2">
      <c r="B4429" s="47"/>
    </row>
    <row r="4430" spans="2:2">
      <c r="B4430" s="47"/>
    </row>
    <row r="4431" spans="2:2">
      <c r="B4431" s="47"/>
    </row>
    <row r="4432" spans="2:2">
      <c r="B4432" s="47"/>
    </row>
    <row r="4433" spans="2:2">
      <c r="B4433" s="47"/>
    </row>
    <row r="4434" spans="2:2">
      <c r="B4434" s="47"/>
    </row>
    <row r="4435" spans="2:2">
      <c r="B4435" s="47"/>
    </row>
    <row r="4436" spans="2:2">
      <c r="B4436" s="47"/>
    </row>
    <row r="4437" spans="2:2">
      <c r="B4437" s="47"/>
    </row>
    <row r="4438" spans="2:2">
      <c r="B4438" s="47"/>
    </row>
    <row r="4439" spans="2:2">
      <c r="B4439" s="47"/>
    </row>
    <row r="4440" spans="2:2">
      <c r="B4440" s="47"/>
    </row>
    <row r="4441" spans="2:2">
      <c r="B4441" s="47"/>
    </row>
    <row r="4442" spans="2:2">
      <c r="B4442" s="47"/>
    </row>
    <row r="4443" spans="2:2">
      <c r="B4443" s="47"/>
    </row>
    <row r="4444" spans="2:2">
      <c r="B4444" s="47"/>
    </row>
    <row r="4445" spans="2:2">
      <c r="B4445" s="47"/>
    </row>
    <row r="4446" spans="2:2">
      <c r="B4446" s="47"/>
    </row>
    <row r="4447" spans="2:2">
      <c r="B4447" s="47"/>
    </row>
    <row r="4448" spans="2:2">
      <c r="B4448" s="47"/>
    </row>
    <row r="4449" spans="2:2">
      <c r="B4449" s="47"/>
    </row>
    <row r="4450" spans="2:2">
      <c r="B4450" s="47"/>
    </row>
    <row r="4451" spans="2:2">
      <c r="B4451" s="47"/>
    </row>
    <row r="4452" spans="2:2">
      <c r="B4452" s="47"/>
    </row>
    <row r="4453" spans="2:2">
      <c r="B4453" s="47"/>
    </row>
    <row r="4454" spans="2:2">
      <c r="B4454" s="47"/>
    </row>
    <row r="4455" spans="2:2">
      <c r="B4455" s="47"/>
    </row>
    <row r="4456" spans="2:2">
      <c r="B4456" s="47"/>
    </row>
    <row r="4457" spans="2:2">
      <c r="B4457" s="47"/>
    </row>
    <row r="4458" spans="2:2">
      <c r="B4458" s="47"/>
    </row>
    <row r="4459" spans="2:2">
      <c r="B4459" s="47"/>
    </row>
    <row r="4460" spans="2:2">
      <c r="B4460" s="47"/>
    </row>
    <row r="4461" spans="2:2">
      <c r="B4461" s="47"/>
    </row>
    <row r="4462" spans="2:2">
      <c r="B4462" s="47"/>
    </row>
    <row r="4463" spans="2:2">
      <c r="B4463" s="47"/>
    </row>
    <row r="4464" spans="2:2">
      <c r="B4464" s="47"/>
    </row>
    <row r="4465" spans="2:2">
      <c r="B4465" s="47"/>
    </row>
    <row r="4466" spans="2:2">
      <c r="B4466" s="47"/>
    </row>
    <row r="4467" spans="2:2">
      <c r="B4467" s="47"/>
    </row>
    <row r="4468" spans="2:2">
      <c r="B4468" s="47"/>
    </row>
    <row r="4469" spans="2:2">
      <c r="B4469" s="47"/>
    </row>
    <row r="4470" spans="2:2">
      <c r="B4470" s="47"/>
    </row>
    <row r="4471" spans="2:2">
      <c r="B4471" s="47"/>
    </row>
    <row r="4472" spans="2:2">
      <c r="B4472" s="47"/>
    </row>
    <row r="4473" spans="2:2">
      <c r="B4473" s="47"/>
    </row>
    <row r="4474" spans="2:2">
      <c r="B4474" s="47"/>
    </row>
    <row r="4475" spans="2:2">
      <c r="B4475" s="47"/>
    </row>
    <row r="4476" spans="2:2">
      <c r="B4476" s="47"/>
    </row>
    <row r="4477" spans="2:2">
      <c r="B4477" s="47"/>
    </row>
    <row r="4478" spans="2:2">
      <c r="B4478" s="47"/>
    </row>
    <row r="4479" spans="2:2">
      <c r="B4479" s="47"/>
    </row>
    <row r="4480" spans="2:2">
      <c r="B4480" s="47"/>
    </row>
    <row r="4481" spans="2:2">
      <c r="B4481" s="47"/>
    </row>
    <row r="4482" spans="2:2">
      <c r="B4482" s="47"/>
    </row>
    <row r="4483" spans="2:2">
      <c r="B4483" s="47"/>
    </row>
    <row r="4484" spans="2:2">
      <c r="B4484" s="47"/>
    </row>
    <row r="4485" spans="2:2">
      <c r="B4485" s="47"/>
    </row>
    <row r="4486" spans="2:2">
      <c r="B4486" s="47"/>
    </row>
    <row r="4487" spans="2:2">
      <c r="B4487" s="47"/>
    </row>
    <row r="4488" spans="2:2">
      <c r="B4488" s="47"/>
    </row>
    <row r="4489" spans="2:2">
      <c r="B4489" s="47"/>
    </row>
    <row r="4490" spans="2:2">
      <c r="B4490" s="47"/>
    </row>
    <row r="4491" spans="2:2">
      <c r="B4491" s="47"/>
    </row>
    <row r="4492" spans="2:2">
      <c r="B4492" s="47"/>
    </row>
    <row r="4493" spans="2:2">
      <c r="B4493" s="47"/>
    </row>
    <row r="4494" spans="2:2">
      <c r="B4494" s="47"/>
    </row>
    <row r="4495" spans="2:2">
      <c r="B4495" s="47"/>
    </row>
    <row r="4496" spans="2:2">
      <c r="B4496" s="47"/>
    </row>
    <row r="4497" spans="2:2">
      <c r="B4497" s="47"/>
    </row>
    <row r="4498" spans="2:2">
      <c r="B4498" s="47"/>
    </row>
    <row r="4499" spans="2:2">
      <c r="B4499" s="47"/>
    </row>
    <row r="4500" spans="2:2">
      <c r="B4500" s="47"/>
    </row>
    <row r="4501" spans="2:2">
      <c r="B4501" s="47"/>
    </row>
    <row r="4502" spans="2:2">
      <c r="B4502" s="47"/>
    </row>
    <row r="4503" spans="2:2">
      <c r="B4503" s="47"/>
    </row>
    <row r="4504" spans="2:2">
      <c r="B4504" s="47"/>
    </row>
    <row r="4505" spans="2:2">
      <c r="B4505" s="47"/>
    </row>
    <row r="4506" spans="2:2">
      <c r="B4506" s="47"/>
    </row>
    <row r="4507" spans="2:2">
      <c r="B4507" s="47"/>
    </row>
    <row r="4508" spans="2:2">
      <c r="B4508" s="47"/>
    </row>
    <row r="4509" spans="2:2">
      <c r="B4509" s="47"/>
    </row>
    <row r="4510" spans="2:2">
      <c r="B4510" s="47"/>
    </row>
    <row r="4511" spans="2:2">
      <c r="B4511" s="47"/>
    </row>
    <row r="4512" spans="2:2">
      <c r="B4512" s="47"/>
    </row>
    <row r="4513" spans="2:2">
      <c r="B4513" s="47"/>
    </row>
    <row r="4514" spans="2:2">
      <c r="B4514" s="47"/>
    </row>
    <row r="4515" spans="2:2">
      <c r="B4515" s="47"/>
    </row>
    <row r="4516" spans="2:2">
      <c r="B4516" s="47"/>
    </row>
    <row r="4517" spans="2:2">
      <c r="B4517" s="47"/>
    </row>
    <row r="4518" spans="2:2">
      <c r="B4518" s="47"/>
    </row>
    <row r="4519" spans="2:2">
      <c r="B4519" s="47"/>
    </row>
    <row r="4520" spans="2:2">
      <c r="B4520" s="47"/>
    </row>
    <row r="4521" spans="2:2">
      <c r="B4521" s="47"/>
    </row>
    <row r="4522" spans="2:2">
      <c r="B4522" s="47"/>
    </row>
    <row r="4523" spans="2:2">
      <c r="B4523" s="47"/>
    </row>
    <row r="4524" spans="2:2">
      <c r="B4524" s="47"/>
    </row>
    <row r="4525" spans="2:2">
      <c r="B4525" s="47"/>
    </row>
    <row r="4526" spans="2:2">
      <c r="B4526" s="47"/>
    </row>
    <row r="4527" spans="2:2">
      <c r="B4527" s="47"/>
    </row>
    <row r="4528" spans="2:2">
      <c r="B4528" s="47"/>
    </row>
    <row r="4529" spans="2:2">
      <c r="B4529" s="47"/>
    </row>
    <row r="4530" spans="2:2">
      <c r="B4530" s="47"/>
    </row>
    <row r="4531" spans="2:2">
      <c r="B4531" s="47"/>
    </row>
    <row r="4532" spans="2:2">
      <c r="B4532" s="47"/>
    </row>
    <row r="4533" spans="2:2">
      <c r="B4533" s="47"/>
    </row>
    <row r="4534" spans="2:2">
      <c r="B4534" s="47"/>
    </row>
    <row r="4535" spans="2:2">
      <c r="B4535" s="47"/>
    </row>
    <row r="4536" spans="2:2">
      <c r="B4536" s="47"/>
    </row>
    <row r="4537" spans="2:2">
      <c r="B4537" s="47"/>
    </row>
    <row r="4538" spans="2:2">
      <c r="B4538" s="47"/>
    </row>
    <row r="4539" spans="2:2">
      <c r="B4539" s="47"/>
    </row>
    <row r="4540" spans="2:2">
      <c r="B4540" s="47"/>
    </row>
    <row r="4541" spans="2:2">
      <c r="B4541" s="47"/>
    </row>
    <row r="4542" spans="2:2">
      <c r="B4542" s="47"/>
    </row>
    <row r="4543" spans="2:2">
      <c r="B4543" s="47"/>
    </row>
    <row r="4544" spans="2:2">
      <c r="B4544" s="47"/>
    </row>
    <row r="4545" spans="2:2">
      <c r="B4545" s="47"/>
    </row>
    <row r="4546" spans="2:2">
      <c r="B4546" s="47"/>
    </row>
    <row r="4547" spans="2:2">
      <c r="B4547" s="47"/>
    </row>
    <row r="4548" spans="2:2">
      <c r="B4548" s="47"/>
    </row>
    <row r="4549" spans="2:2">
      <c r="B4549" s="47"/>
    </row>
    <row r="4550" spans="2:2">
      <c r="B4550" s="47"/>
    </row>
    <row r="4551" spans="2:2">
      <c r="B4551" s="47"/>
    </row>
    <row r="4552" spans="2:2">
      <c r="B4552" s="47"/>
    </row>
    <row r="4553" spans="2:2">
      <c r="B4553" s="47"/>
    </row>
    <row r="4554" spans="2:2">
      <c r="B4554" s="47"/>
    </row>
    <row r="4555" spans="2:2">
      <c r="B4555" s="47"/>
    </row>
    <row r="4556" spans="2:2">
      <c r="B4556" s="47"/>
    </row>
    <row r="4557" spans="2:2">
      <c r="B4557" s="47"/>
    </row>
    <row r="4558" spans="2:2">
      <c r="B4558" s="47"/>
    </row>
    <row r="4559" spans="2:2">
      <c r="B4559" s="47"/>
    </row>
    <row r="4560" spans="2:2">
      <c r="B4560" s="47"/>
    </row>
    <row r="4561" spans="2:2">
      <c r="B4561" s="47"/>
    </row>
    <row r="4562" spans="2:2">
      <c r="B4562" s="47"/>
    </row>
    <row r="4563" spans="2:2">
      <c r="B4563" s="47"/>
    </row>
    <row r="4564" spans="2:2">
      <c r="B4564" s="47"/>
    </row>
    <row r="4565" spans="2:2">
      <c r="B4565" s="47"/>
    </row>
    <row r="4566" spans="2:2">
      <c r="B4566" s="47"/>
    </row>
    <row r="4567" spans="2:2">
      <c r="B4567" s="47"/>
    </row>
    <row r="4568" spans="2:2">
      <c r="B4568" s="47"/>
    </row>
    <row r="4569" spans="2:2">
      <c r="B4569" s="47"/>
    </row>
    <row r="4570" spans="2:2">
      <c r="B4570" s="47"/>
    </row>
    <row r="4571" spans="2:2">
      <c r="B4571" s="47"/>
    </row>
    <row r="4572" spans="2:2">
      <c r="B4572" s="47"/>
    </row>
    <row r="4573" spans="2:2">
      <c r="B4573" s="47"/>
    </row>
    <row r="4574" spans="2:2">
      <c r="B4574" s="47"/>
    </row>
    <row r="4575" spans="2:2">
      <c r="B4575" s="47"/>
    </row>
    <row r="4576" spans="2:2">
      <c r="B4576" s="47"/>
    </row>
    <row r="4577" spans="2:2">
      <c r="B4577" s="47"/>
    </row>
    <row r="4578" spans="2:2">
      <c r="B4578" s="47"/>
    </row>
    <row r="4579" spans="2:2">
      <c r="B4579" s="47"/>
    </row>
    <row r="4580" spans="2:2">
      <c r="B4580" s="47"/>
    </row>
    <row r="4581" spans="2:2">
      <c r="B4581" s="47"/>
    </row>
    <row r="4582" spans="2:2">
      <c r="B4582" s="47"/>
    </row>
    <row r="4583" spans="2:2">
      <c r="B4583" s="47"/>
    </row>
    <row r="4584" spans="2:2">
      <c r="B4584" s="47"/>
    </row>
    <row r="4585" spans="2:2">
      <c r="B4585" s="47"/>
    </row>
    <row r="4586" spans="2:2">
      <c r="B4586" s="47"/>
    </row>
    <row r="4587" spans="2:2">
      <c r="B4587" s="47"/>
    </row>
    <row r="4588" spans="2:2">
      <c r="B4588" s="47"/>
    </row>
    <row r="4589" spans="2:2">
      <c r="B4589" s="47"/>
    </row>
    <row r="4590" spans="2:2">
      <c r="B4590" s="47"/>
    </row>
    <row r="4591" spans="2:2">
      <c r="B4591" s="47"/>
    </row>
    <row r="4592" spans="2:2">
      <c r="B4592" s="47"/>
    </row>
    <row r="4593" spans="2:2">
      <c r="B4593" s="47"/>
    </row>
    <row r="4594" spans="2:2">
      <c r="B4594" s="47"/>
    </row>
    <row r="4595" spans="2:2">
      <c r="B4595" s="47"/>
    </row>
    <row r="4596" spans="2:2">
      <c r="B4596" s="47"/>
    </row>
    <row r="4597" spans="2:2">
      <c r="B4597" s="47"/>
    </row>
    <row r="4598" spans="2:2">
      <c r="B4598" s="47"/>
    </row>
    <row r="4599" spans="2:2">
      <c r="B4599" s="47"/>
    </row>
    <row r="4600" spans="2:2">
      <c r="B4600" s="47"/>
    </row>
    <row r="4601" spans="2:2">
      <c r="B4601" s="47"/>
    </row>
    <row r="4602" spans="2:2">
      <c r="B4602" s="47"/>
    </row>
    <row r="4603" spans="2:2">
      <c r="B4603" s="47"/>
    </row>
    <row r="4604" spans="2:2">
      <c r="B4604" s="47"/>
    </row>
    <row r="4605" spans="2:2">
      <c r="B4605" s="47"/>
    </row>
    <row r="4606" spans="2:2">
      <c r="B4606" s="47"/>
    </row>
    <row r="4607" spans="2:2">
      <c r="B4607" s="47"/>
    </row>
    <row r="4608" spans="2:2">
      <c r="B4608" s="47"/>
    </row>
    <row r="4609" spans="2:2">
      <c r="B4609" s="47"/>
    </row>
    <row r="4610" spans="2:2">
      <c r="B4610" s="47"/>
    </row>
    <row r="4611" spans="2:2">
      <c r="B4611" s="47"/>
    </row>
    <row r="4612" spans="2:2">
      <c r="B4612" s="47"/>
    </row>
    <row r="4613" spans="2:2">
      <c r="B4613" s="47"/>
    </row>
    <row r="4614" spans="2:2">
      <c r="B4614" s="47"/>
    </row>
    <row r="4615" spans="2:2">
      <c r="B4615" s="47"/>
    </row>
    <row r="4616" spans="2:2">
      <c r="B4616" s="47"/>
    </row>
    <row r="4617" spans="2:2">
      <c r="B4617" s="47"/>
    </row>
    <row r="4618" spans="2:2">
      <c r="B4618" s="47"/>
    </row>
    <row r="4619" spans="2:2">
      <c r="B4619" s="47"/>
    </row>
    <row r="4620" spans="2:2">
      <c r="B4620" s="47"/>
    </row>
    <row r="4621" spans="2:2">
      <c r="B4621" s="47"/>
    </row>
    <row r="4622" spans="2:2">
      <c r="B4622" s="47"/>
    </row>
    <row r="4623" spans="2:2">
      <c r="B4623" s="47"/>
    </row>
    <row r="4624" spans="2:2">
      <c r="B4624" s="47"/>
    </row>
    <row r="4625" spans="2:2">
      <c r="B4625" s="47"/>
    </row>
    <row r="4626" spans="2:2">
      <c r="B4626" s="47"/>
    </row>
    <row r="4627" spans="2:2">
      <c r="B4627" s="47"/>
    </row>
    <row r="4628" spans="2:2">
      <c r="B4628" s="47"/>
    </row>
    <row r="4629" spans="2:2">
      <c r="B4629" s="47"/>
    </row>
    <row r="4630" spans="2:2">
      <c r="B4630" s="47"/>
    </row>
    <row r="4631" spans="2:2">
      <c r="B4631" s="47"/>
    </row>
    <row r="4632" spans="2:2">
      <c r="B4632" s="47"/>
    </row>
    <row r="4633" spans="2:2">
      <c r="B4633" s="47"/>
    </row>
    <row r="4634" spans="2:2">
      <c r="B4634" s="47"/>
    </row>
    <row r="4635" spans="2:2">
      <c r="B4635" s="47"/>
    </row>
    <row r="4636" spans="2:2">
      <c r="B4636" s="47"/>
    </row>
    <row r="4637" spans="2:2">
      <c r="B4637" s="47"/>
    </row>
    <row r="4638" spans="2:2">
      <c r="B4638" s="47"/>
    </row>
    <row r="4639" spans="2:2">
      <c r="B4639" s="47"/>
    </row>
    <row r="4640" spans="2:2">
      <c r="B4640" s="47"/>
    </row>
    <row r="4641" spans="2:2">
      <c r="B4641" s="47"/>
    </row>
    <row r="4642" spans="2:2">
      <c r="B4642" s="47"/>
    </row>
    <row r="4643" spans="2:2">
      <c r="B4643" s="47"/>
    </row>
    <row r="4644" spans="2:2">
      <c r="B4644" s="47"/>
    </row>
    <row r="4645" spans="2:2">
      <c r="B4645" s="47"/>
    </row>
    <row r="4646" spans="2:2">
      <c r="B4646" s="47"/>
    </row>
    <row r="4647" spans="2:2">
      <c r="B4647" s="47"/>
    </row>
    <row r="4648" spans="2:2">
      <c r="B4648" s="47"/>
    </row>
    <row r="4649" spans="2:2">
      <c r="B4649" s="47"/>
    </row>
    <row r="4650" spans="2:2">
      <c r="B4650" s="47"/>
    </row>
    <row r="4651" spans="2:2">
      <c r="B4651" s="47"/>
    </row>
    <row r="4652" spans="2:2">
      <c r="B4652" s="47"/>
    </row>
    <row r="4653" spans="2:2">
      <c r="B4653" s="47"/>
    </row>
    <row r="4654" spans="2:2">
      <c r="B4654" s="47"/>
    </row>
    <row r="4655" spans="2:2">
      <c r="B4655" s="47"/>
    </row>
    <row r="4656" spans="2:2">
      <c r="B4656" s="47"/>
    </row>
    <row r="4657" spans="2:2">
      <c r="B4657" s="47"/>
    </row>
    <row r="4658" spans="2:2">
      <c r="B4658" s="47"/>
    </row>
    <row r="4659" spans="2:2">
      <c r="B4659" s="47"/>
    </row>
    <row r="4660" spans="2:2">
      <c r="B4660" s="47"/>
    </row>
    <row r="4661" spans="2:2">
      <c r="B4661" s="47"/>
    </row>
    <row r="4662" spans="2:2">
      <c r="B4662" s="47"/>
    </row>
    <row r="4663" spans="2:2">
      <c r="B4663" s="47"/>
    </row>
    <row r="4664" spans="2:2">
      <c r="B4664" s="47"/>
    </row>
    <row r="4665" spans="2:2">
      <c r="B4665" s="47"/>
    </row>
    <row r="4666" spans="2:2">
      <c r="B4666" s="47"/>
    </row>
    <row r="4667" spans="2:2">
      <c r="B4667" s="47"/>
    </row>
    <row r="4668" spans="2:2">
      <c r="B4668" s="47"/>
    </row>
    <row r="4669" spans="2:2">
      <c r="B4669" s="47"/>
    </row>
    <row r="4670" spans="2:2">
      <c r="B4670" s="47"/>
    </row>
    <row r="4671" spans="2:2">
      <c r="B4671" s="47"/>
    </row>
    <row r="4672" spans="2:2">
      <c r="B4672" s="47"/>
    </row>
    <row r="4673" spans="2:2">
      <c r="B4673" s="47"/>
    </row>
    <row r="4674" spans="2:2">
      <c r="B4674" s="47"/>
    </row>
    <row r="4675" spans="2:2">
      <c r="B4675" s="47"/>
    </row>
    <row r="4676" spans="2:2">
      <c r="B4676" s="47"/>
    </row>
    <row r="4677" spans="2:2">
      <c r="B4677" s="47"/>
    </row>
    <row r="4678" spans="2:2">
      <c r="B4678" s="47"/>
    </row>
    <row r="4679" spans="2:2">
      <c r="B4679" s="47"/>
    </row>
    <row r="4680" spans="2:2">
      <c r="B4680" s="47"/>
    </row>
    <row r="4681" spans="2:2">
      <c r="B4681" s="47"/>
    </row>
    <row r="4682" spans="2:2">
      <c r="B4682" s="47"/>
    </row>
    <row r="4683" spans="2:2">
      <c r="B4683" s="47"/>
    </row>
    <row r="4684" spans="2:2">
      <c r="B4684" s="47"/>
    </row>
    <row r="4685" spans="2:2">
      <c r="B4685" s="47"/>
    </row>
    <row r="4686" spans="2:2">
      <c r="B4686" s="47"/>
    </row>
    <row r="4687" spans="2:2">
      <c r="B4687" s="47"/>
    </row>
    <row r="4688" spans="2:2">
      <c r="B4688" s="47"/>
    </row>
    <row r="4689" spans="2:2">
      <c r="B4689" s="47"/>
    </row>
    <row r="4690" spans="2:2">
      <c r="B4690" s="47"/>
    </row>
    <row r="4691" spans="2:2">
      <c r="B4691" s="47"/>
    </row>
    <row r="4692" spans="2:2">
      <c r="B4692" s="47"/>
    </row>
    <row r="4693" spans="2:2">
      <c r="B4693" s="47"/>
    </row>
    <row r="4694" spans="2:2">
      <c r="B4694" s="47"/>
    </row>
    <row r="4695" spans="2:2">
      <c r="B4695" s="47"/>
    </row>
    <row r="4696" spans="2:2">
      <c r="B4696" s="47"/>
    </row>
    <row r="4697" spans="2:2">
      <c r="B4697" s="47"/>
    </row>
    <row r="4698" spans="2:2">
      <c r="B4698" s="47"/>
    </row>
    <row r="4699" spans="2:2">
      <c r="B4699" s="47"/>
    </row>
    <row r="4700" spans="2:2">
      <c r="B4700" s="47"/>
    </row>
    <row r="4701" spans="2:2">
      <c r="B4701" s="47"/>
    </row>
    <row r="4702" spans="2:2">
      <c r="B4702" s="47"/>
    </row>
    <row r="4703" spans="2:2">
      <c r="B4703" s="47"/>
    </row>
    <row r="4704" spans="2:2">
      <c r="B4704" s="47"/>
    </row>
    <row r="4705" spans="2:2">
      <c r="B4705" s="47"/>
    </row>
    <row r="4706" spans="2:2">
      <c r="B4706" s="47"/>
    </row>
    <row r="4707" spans="2:2">
      <c r="B4707" s="47"/>
    </row>
    <row r="4708" spans="2:2">
      <c r="B4708" s="47"/>
    </row>
    <row r="4709" spans="2:2">
      <c r="B4709" s="47"/>
    </row>
    <row r="4710" spans="2:2">
      <c r="B4710" s="47"/>
    </row>
    <row r="4711" spans="2:2">
      <c r="B4711" s="47"/>
    </row>
    <row r="4712" spans="2:2">
      <c r="B4712" s="47"/>
    </row>
    <row r="4713" spans="2:2">
      <c r="B4713" s="47"/>
    </row>
    <row r="4714" spans="2:2">
      <c r="B4714" s="47"/>
    </row>
    <row r="4715" spans="2:2">
      <c r="B4715" s="47"/>
    </row>
    <row r="4716" spans="2:2">
      <c r="B4716" s="47"/>
    </row>
    <row r="4717" spans="2:2">
      <c r="B4717" s="47"/>
    </row>
    <row r="4718" spans="2:2">
      <c r="B4718" s="47"/>
    </row>
    <row r="4719" spans="2:2">
      <c r="B4719" s="47"/>
    </row>
    <row r="4720" spans="2:2">
      <c r="B4720" s="47"/>
    </row>
    <row r="4721" spans="2:2">
      <c r="B4721" s="47"/>
    </row>
    <row r="4722" spans="2:2">
      <c r="B4722" s="47"/>
    </row>
    <row r="4723" spans="2:2">
      <c r="B4723" s="47"/>
    </row>
    <row r="4724" spans="2:2">
      <c r="B4724" s="47"/>
    </row>
    <row r="4725" spans="2:2">
      <c r="B4725" s="47"/>
    </row>
    <row r="4726" spans="2:2">
      <c r="B4726" s="47"/>
    </row>
    <row r="4727" spans="2:2">
      <c r="B4727" s="47"/>
    </row>
    <row r="4728" spans="2:2">
      <c r="B4728" s="47"/>
    </row>
    <row r="4729" spans="2:2">
      <c r="B4729" s="47"/>
    </row>
    <row r="4730" spans="2:2">
      <c r="B4730" s="47"/>
    </row>
    <row r="4731" spans="2:2">
      <c r="B4731" s="47"/>
    </row>
    <row r="4732" spans="2:2">
      <c r="B4732" s="47"/>
    </row>
    <row r="4733" spans="2:2">
      <c r="B4733" s="47"/>
    </row>
    <row r="4734" spans="2:2">
      <c r="B4734" s="47"/>
    </row>
    <row r="4735" spans="2:2">
      <c r="B4735" s="47"/>
    </row>
    <row r="4736" spans="2:2">
      <c r="B4736" s="47"/>
    </row>
    <row r="4737" spans="2:2">
      <c r="B4737" s="47"/>
    </row>
    <row r="4738" spans="2:2">
      <c r="B4738" s="47"/>
    </row>
    <row r="4739" spans="2:2">
      <c r="B4739" s="47"/>
    </row>
    <row r="4740" spans="2:2">
      <c r="B4740" s="47"/>
    </row>
    <row r="4741" spans="2:2">
      <c r="B4741" s="47"/>
    </row>
    <row r="4742" spans="2:2">
      <c r="B4742" s="47"/>
    </row>
    <row r="4743" spans="2:2">
      <c r="B4743" s="47"/>
    </row>
    <row r="4744" spans="2:2">
      <c r="B4744" s="47"/>
    </row>
    <row r="4745" spans="2:2">
      <c r="B4745" s="47"/>
    </row>
    <row r="4746" spans="2:2">
      <c r="B4746" s="47"/>
    </row>
    <row r="4747" spans="2:2">
      <c r="B4747" s="47"/>
    </row>
    <row r="4748" spans="2:2">
      <c r="B4748" s="47"/>
    </row>
    <row r="4749" spans="2:2">
      <c r="B4749" s="47"/>
    </row>
    <row r="4750" spans="2:2">
      <c r="B4750" s="47"/>
    </row>
    <row r="4751" spans="2:2">
      <c r="B4751" s="47"/>
    </row>
    <row r="4752" spans="2:2">
      <c r="B4752" s="47"/>
    </row>
    <row r="4753" spans="2:2">
      <c r="B4753" s="47"/>
    </row>
    <row r="4754" spans="2:2">
      <c r="B4754" s="47"/>
    </row>
    <row r="4755" spans="2:2">
      <c r="B4755" s="47"/>
    </row>
    <row r="4756" spans="2:2">
      <c r="B4756" s="47"/>
    </row>
    <row r="4757" spans="2:2">
      <c r="B4757" s="47"/>
    </row>
    <row r="4758" spans="2:2">
      <c r="B4758" s="47"/>
    </row>
    <row r="4759" spans="2:2">
      <c r="B4759" s="47"/>
    </row>
    <row r="4760" spans="2:2">
      <c r="B4760" s="47"/>
    </row>
    <row r="4761" spans="2:2">
      <c r="B4761" s="47"/>
    </row>
    <row r="4762" spans="2:2">
      <c r="B4762" s="47"/>
    </row>
    <row r="4763" spans="2:2">
      <c r="B4763" s="47"/>
    </row>
    <row r="4764" spans="2:2">
      <c r="B4764" s="47"/>
    </row>
    <row r="4765" spans="2:2">
      <c r="B4765" s="47"/>
    </row>
    <row r="4766" spans="2:2">
      <c r="B4766" s="47"/>
    </row>
    <row r="4767" spans="2:2">
      <c r="B4767" s="47"/>
    </row>
    <row r="4768" spans="2:2">
      <c r="B4768" s="47"/>
    </row>
    <row r="4769" spans="2:2">
      <c r="B4769" s="47"/>
    </row>
    <row r="4770" spans="2:2">
      <c r="B4770" s="47"/>
    </row>
    <row r="4771" spans="2:2">
      <c r="B4771" s="47"/>
    </row>
    <row r="4772" spans="2:2">
      <c r="B4772" s="47"/>
    </row>
    <row r="4773" spans="2:2">
      <c r="B4773" s="47"/>
    </row>
    <row r="4774" spans="2:2">
      <c r="B4774" s="47"/>
    </row>
    <row r="4775" spans="2:2">
      <c r="B4775" s="47"/>
    </row>
    <row r="4776" spans="2:2">
      <c r="B4776" s="47"/>
    </row>
    <row r="4777" spans="2:2">
      <c r="B4777" s="47"/>
    </row>
    <row r="4778" spans="2:2">
      <c r="B4778" s="47"/>
    </row>
    <row r="4779" spans="2:2">
      <c r="B4779" s="47"/>
    </row>
    <row r="4780" spans="2:2">
      <c r="B4780" s="47"/>
    </row>
    <row r="4781" spans="2:2">
      <c r="B4781" s="47"/>
    </row>
    <row r="4782" spans="2:2">
      <c r="B4782" s="47"/>
    </row>
    <row r="4783" spans="2:2">
      <c r="B4783" s="47"/>
    </row>
    <row r="4784" spans="2:2">
      <c r="B4784" s="47"/>
    </row>
    <row r="4785" spans="2:2">
      <c r="B4785" s="47"/>
    </row>
    <row r="4786" spans="2:2">
      <c r="B4786" s="47"/>
    </row>
    <row r="4787" spans="2:2">
      <c r="B4787" s="47"/>
    </row>
    <row r="4788" spans="2:2">
      <c r="B4788" s="47"/>
    </row>
    <row r="4789" spans="2:2">
      <c r="B4789" s="47"/>
    </row>
    <row r="4790" spans="2:2">
      <c r="B4790" s="47"/>
    </row>
    <row r="4791" spans="2:2">
      <c r="B4791" s="47"/>
    </row>
    <row r="4792" spans="2:2">
      <c r="B4792" s="47"/>
    </row>
    <row r="4793" spans="2:2">
      <c r="B4793" s="47"/>
    </row>
    <row r="4794" spans="2:2">
      <c r="B4794" s="47"/>
    </row>
    <row r="4795" spans="2:2">
      <c r="B4795" s="47"/>
    </row>
    <row r="4796" spans="2:2">
      <c r="B4796" s="47"/>
    </row>
    <row r="4797" spans="2:2">
      <c r="B4797" s="47"/>
    </row>
    <row r="4798" spans="2:2">
      <c r="B4798" s="47"/>
    </row>
    <row r="4799" spans="2:2">
      <c r="B4799" s="47"/>
    </row>
    <row r="4800" spans="2:2">
      <c r="B4800" s="47"/>
    </row>
    <row r="4801" spans="2:2">
      <c r="B4801" s="47"/>
    </row>
    <row r="4802" spans="2:2">
      <c r="B4802" s="47"/>
    </row>
    <row r="4803" spans="2:2">
      <c r="B4803" s="47"/>
    </row>
    <row r="4804" spans="2:2">
      <c r="B4804" s="47"/>
    </row>
    <row r="4805" spans="2:2">
      <c r="B4805" s="47"/>
    </row>
    <row r="4806" spans="2:2">
      <c r="B4806" s="47"/>
    </row>
    <row r="4807" spans="2:2">
      <c r="B4807" s="47"/>
    </row>
    <row r="4808" spans="2:2">
      <c r="B4808" s="47"/>
    </row>
    <row r="4809" spans="2:2">
      <c r="B4809" s="47"/>
    </row>
    <row r="4810" spans="2:2">
      <c r="B4810" s="47"/>
    </row>
    <row r="4811" spans="2:2">
      <c r="B4811" s="47"/>
    </row>
    <row r="4812" spans="2:2">
      <c r="B4812" s="47"/>
    </row>
    <row r="4813" spans="2:2">
      <c r="B4813" s="47"/>
    </row>
    <row r="4814" spans="2:2">
      <c r="B4814" s="47"/>
    </row>
    <row r="4815" spans="2:2">
      <c r="B4815" s="47"/>
    </row>
    <row r="4816" spans="2:2">
      <c r="B4816" s="47"/>
    </row>
    <row r="4817" spans="2:2">
      <c r="B4817" s="47"/>
    </row>
    <row r="4818" spans="2:2">
      <c r="B4818" s="47"/>
    </row>
    <row r="4819" spans="2:2">
      <c r="B4819" s="47"/>
    </row>
    <row r="4820" spans="2:2">
      <c r="B4820" s="47"/>
    </row>
    <row r="4821" spans="2:2">
      <c r="B4821" s="47"/>
    </row>
    <row r="4822" spans="2:2">
      <c r="B4822" s="47"/>
    </row>
    <row r="4823" spans="2:2">
      <c r="B4823" s="47"/>
    </row>
    <row r="4824" spans="2:2">
      <c r="B4824" s="47"/>
    </row>
    <row r="4825" spans="2:2">
      <c r="B4825" s="47"/>
    </row>
    <row r="4826" spans="2:2">
      <c r="B4826" s="47"/>
    </row>
    <row r="4827" spans="2:2">
      <c r="B4827" s="47"/>
    </row>
    <row r="4828" spans="2:2">
      <c r="B4828" s="47"/>
    </row>
    <row r="4829" spans="2:2">
      <c r="B4829" s="47"/>
    </row>
    <row r="4830" spans="2:2">
      <c r="B4830" s="47"/>
    </row>
    <row r="4831" spans="2:2">
      <c r="B4831" s="47"/>
    </row>
    <row r="4832" spans="2:2">
      <c r="B4832" s="47"/>
    </row>
    <row r="4833" spans="2:2">
      <c r="B4833" s="47"/>
    </row>
    <row r="4834" spans="2:2">
      <c r="B4834" s="47"/>
    </row>
    <row r="4835" spans="2:2">
      <c r="B4835" s="47"/>
    </row>
    <row r="4836" spans="2:2">
      <c r="B4836" s="47"/>
    </row>
    <row r="4837" spans="2:2">
      <c r="B4837" s="47"/>
    </row>
    <row r="4838" spans="2:2">
      <c r="B4838" s="47"/>
    </row>
    <row r="4839" spans="2:2">
      <c r="B4839" s="47"/>
    </row>
    <row r="4840" spans="2:2">
      <c r="B4840" s="47"/>
    </row>
    <row r="4841" spans="2:2">
      <c r="B4841" s="47"/>
    </row>
    <row r="4842" spans="2:2">
      <c r="B4842" s="47"/>
    </row>
    <row r="4843" spans="2:2">
      <c r="B4843" s="47"/>
    </row>
    <row r="4844" spans="2:2">
      <c r="B4844" s="47"/>
    </row>
    <row r="4845" spans="2:2">
      <c r="B4845" s="47"/>
    </row>
    <row r="4846" spans="2:2">
      <c r="B4846" s="47"/>
    </row>
    <row r="4847" spans="2:2">
      <c r="B4847" s="47"/>
    </row>
    <row r="4848" spans="2:2">
      <c r="B4848" s="47"/>
    </row>
    <row r="4849" spans="2:2">
      <c r="B4849" s="47"/>
    </row>
    <row r="4850" spans="2:2">
      <c r="B4850" s="47"/>
    </row>
    <row r="4851" spans="2:2">
      <c r="B4851" s="47"/>
    </row>
    <row r="4852" spans="2:2">
      <c r="B4852" s="47"/>
    </row>
    <row r="4853" spans="2:2">
      <c r="B4853" s="47"/>
    </row>
    <row r="4854" spans="2:2">
      <c r="B4854" s="47"/>
    </row>
    <row r="4855" spans="2:2">
      <c r="B4855" s="47"/>
    </row>
    <row r="4856" spans="2:2">
      <c r="B4856" s="47"/>
    </row>
    <row r="4857" spans="2:2">
      <c r="B4857" s="47"/>
    </row>
    <row r="4858" spans="2:2">
      <c r="B4858" s="47"/>
    </row>
    <row r="4859" spans="2:2">
      <c r="B4859" s="47"/>
    </row>
    <row r="4860" spans="2:2">
      <c r="B4860" s="47"/>
    </row>
    <row r="4861" spans="2:2">
      <c r="B4861" s="47"/>
    </row>
    <row r="4862" spans="2:2">
      <c r="B4862" s="47"/>
    </row>
    <row r="4863" spans="2:2">
      <c r="B4863" s="47"/>
    </row>
    <row r="4864" spans="2:2">
      <c r="B4864" s="47"/>
    </row>
    <row r="4865" spans="2:2">
      <c r="B4865" s="47"/>
    </row>
    <row r="4866" spans="2:2">
      <c r="B4866" s="47"/>
    </row>
    <row r="4867" spans="2:2">
      <c r="B4867" s="47"/>
    </row>
    <row r="4868" spans="2:2">
      <c r="B4868" s="47"/>
    </row>
    <row r="4869" spans="2:2">
      <c r="B4869" s="47"/>
    </row>
    <row r="4870" spans="2:2">
      <c r="B4870" s="47"/>
    </row>
    <row r="4871" spans="2:2">
      <c r="B4871" s="47"/>
    </row>
    <row r="4872" spans="2:2">
      <c r="B4872" s="47"/>
    </row>
    <row r="4873" spans="2:2">
      <c r="B4873" s="47"/>
    </row>
    <row r="4874" spans="2:2">
      <c r="B4874" s="47"/>
    </row>
    <row r="4875" spans="2:2">
      <c r="B4875" s="47"/>
    </row>
    <row r="4876" spans="2:2">
      <c r="B4876" s="47"/>
    </row>
    <row r="4877" spans="2:2">
      <c r="B4877" s="47"/>
    </row>
    <row r="4878" spans="2:2">
      <c r="B4878" s="47"/>
    </row>
    <row r="4879" spans="2:2">
      <c r="B4879" s="47"/>
    </row>
    <row r="4880" spans="2:2">
      <c r="B4880" s="47"/>
    </row>
    <row r="4881" spans="2:2">
      <c r="B4881" s="47"/>
    </row>
    <row r="4882" spans="2:2">
      <c r="B4882" s="47"/>
    </row>
    <row r="4883" spans="2:2">
      <c r="B4883" s="47"/>
    </row>
    <row r="4884" spans="2:2">
      <c r="B4884" s="47"/>
    </row>
    <row r="4885" spans="2:2">
      <c r="B4885" s="47"/>
    </row>
    <row r="4886" spans="2:2">
      <c r="B4886" s="47"/>
    </row>
    <row r="4887" spans="2:2">
      <c r="B4887" s="47"/>
    </row>
    <row r="4888" spans="2:2">
      <c r="B4888" s="47"/>
    </row>
    <row r="4889" spans="2:2">
      <c r="B4889" s="47"/>
    </row>
    <row r="4890" spans="2:2">
      <c r="B4890" s="47"/>
    </row>
    <row r="4891" spans="2:2">
      <c r="B4891" s="47"/>
    </row>
    <row r="4892" spans="2:2">
      <c r="B4892" s="47"/>
    </row>
    <row r="4893" spans="2:2">
      <c r="B4893" s="47"/>
    </row>
    <row r="4894" spans="2:2">
      <c r="B4894" s="47"/>
    </row>
    <row r="4895" spans="2:2">
      <c r="B4895" s="47"/>
    </row>
    <row r="4896" spans="2:2">
      <c r="B4896" s="47"/>
    </row>
    <row r="4897" spans="2:2">
      <c r="B4897" s="47"/>
    </row>
    <row r="4898" spans="2:2">
      <c r="B4898" s="47"/>
    </row>
    <row r="4899" spans="2:2">
      <c r="B4899" s="47"/>
    </row>
    <row r="4900" spans="2:2">
      <c r="B4900" s="47"/>
    </row>
    <row r="4901" spans="2:2">
      <c r="B4901" s="47"/>
    </row>
    <row r="4902" spans="2:2">
      <c r="B4902" s="47"/>
    </row>
    <row r="4903" spans="2:2">
      <c r="B4903" s="47"/>
    </row>
    <row r="4904" spans="2:2">
      <c r="B4904" s="47"/>
    </row>
    <row r="4905" spans="2:2">
      <c r="B4905" s="47"/>
    </row>
    <row r="4906" spans="2:2">
      <c r="B4906" s="47"/>
    </row>
    <row r="4907" spans="2:2">
      <c r="B4907" s="47"/>
    </row>
    <row r="4908" spans="2:2">
      <c r="B4908" s="47"/>
    </row>
    <row r="4909" spans="2:2">
      <c r="B4909" s="47"/>
    </row>
    <row r="4910" spans="2:2">
      <c r="B4910" s="47"/>
    </row>
    <row r="4911" spans="2:2">
      <c r="B4911" s="47"/>
    </row>
    <row r="4912" spans="2:2">
      <c r="B4912" s="47"/>
    </row>
    <row r="4913" spans="2:2">
      <c r="B4913" s="47"/>
    </row>
    <row r="4914" spans="2:2">
      <c r="B4914" s="47"/>
    </row>
    <row r="4915" spans="2:2">
      <c r="B4915" s="47"/>
    </row>
    <row r="4916" spans="2:2">
      <c r="B4916" s="47"/>
    </row>
    <row r="4917" spans="2:2">
      <c r="B4917" s="47"/>
    </row>
    <row r="4918" spans="2:2">
      <c r="B4918" s="47"/>
    </row>
    <row r="4919" spans="2:2">
      <c r="B4919" s="47"/>
    </row>
    <row r="4920" spans="2:2">
      <c r="B4920" s="47"/>
    </row>
    <row r="4921" spans="2:2">
      <c r="B4921" s="47"/>
    </row>
    <row r="4922" spans="2:2">
      <c r="B4922" s="47"/>
    </row>
    <row r="4923" spans="2:2">
      <c r="B4923" s="47"/>
    </row>
    <row r="4924" spans="2:2">
      <c r="B4924" s="47"/>
    </row>
    <row r="4925" spans="2:2">
      <c r="B4925" s="47"/>
    </row>
    <row r="4926" spans="2:2">
      <c r="B4926" s="47"/>
    </row>
    <row r="4927" spans="2:2">
      <c r="B4927" s="47"/>
    </row>
    <row r="4928" spans="2:2">
      <c r="B4928" s="47"/>
    </row>
    <row r="4929" spans="2:2">
      <c r="B4929" s="47"/>
    </row>
    <row r="4930" spans="2:2">
      <c r="B4930" s="47"/>
    </row>
    <row r="4931" spans="2:2">
      <c r="B4931" s="47"/>
    </row>
    <row r="4932" spans="2:2">
      <c r="B4932" s="47"/>
    </row>
    <row r="4933" spans="2:2">
      <c r="B4933" s="47"/>
    </row>
    <row r="4934" spans="2:2">
      <c r="B4934" s="47"/>
    </row>
    <row r="4935" spans="2:2">
      <c r="B4935" s="47"/>
    </row>
    <row r="4936" spans="2:2">
      <c r="B4936" s="47"/>
    </row>
    <row r="4937" spans="2:2">
      <c r="B4937" s="47"/>
    </row>
    <row r="4938" spans="2:2">
      <c r="B4938" s="47"/>
    </row>
    <row r="4939" spans="2:2">
      <c r="B4939" s="47"/>
    </row>
    <row r="4940" spans="2:2">
      <c r="B4940" s="47"/>
    </row>
    <row r="4941" spans="2:2">
      <c r="B4941" s="47"/>
    </row>
    <row r="4942" spans="2:2">
      <c r="B4942" s="47"/>
    </row>
    <row r="4943" spans="2:2">
      <c r="B4943" s="47"/>
    </row>
    <row r="4944" spans="2:2">
      <c r="B4944" s="47"/>
    </row>
    <row r="4945" spans="2:2">
      <c r="B4945" s="47"/>
    </row>
    <row r="4946" spans="2:2">
      <c r="B4946" s="47"/>
    </row>
    <row r="4947" spans="2:2">
      <c r="B4947" s="47"/>
    </row>
    <row r="4948" spans="2:2">
      <c r="B4948" s="47"/>
    </row>
    <row r="4949" spans="2:2">
      <c r="B4949" s="47"/>
    </row>
    <row r="4950" spans="2:2">
      <c r="B4950" s="47"/>
    </row>
    <row r="4951" spans="2:2">
      <c r="B4951" s="47"/>
    </row>
    <row r="4952" spans="2:2">
      <c r="B4952" s="47"/>
    </row>
    <row r="4953" spans="2:2">
      <c r="B4953" s="47"/>
    </row>
    <row r="4954" spans="2:2">
      <c r="B4954" s="47"/>
    </row>
    <row r="4955" spans="2:2">
      <c r="B4955" s="47"/>
    </row>
    <row r="4956" spans="2:2">
      <c r="B4956" s="47"/>
    </row>
    <row r="4957" spans="2:2">
      <c r="B4957" s="47"/>
    </row>
    <row r="4958" spans="2:2">
      <c r="B4958" s="47"/>
    </row>
    <row r="4959" spans="2:2">
      <c r="B4959" s="47"/>
    </row>
    <row r="4960" spans="2:2">
      <c r="B4960" s="47"/>
    </row>
    <row r="4961" spans="2:2">
      <c r="B4961" s="47"/>
    </row>
    <row r="4962" spans="2:2">
      <c r="B4962" s="47"/>
    </row>
    <row r="4963" spans="2:2">
      <c r="B4963" s="47"/>
    </row>
    <row r="4964" spans="2:2">
      <c r="B4964" s="47"/>
    </row>
    <row r="4965" spans="2:2">
      <c r="B4965" s="47"/>
    </row>
    <row r="4966" spans="2:2">
      <c r="B4966" s="47"/>
    </row>
    <row r="4967" spans="2:2">
      <c r="B4967" s="47"/>
    </row>
    <row r="4968" spans="2:2">
      <c r="B4968" s="47"/>
    </row>
    <row r="4969" spans="2:2">
      <c r="B4969" s="47"/>
    </row>
    <row r="4970" spans="2:2">
      <c r="B4970" s="47"/>
    </row>
    <row r="4971" spans="2:2">
      <c r="B4971" s="47"/>
    </row>
    <row r="4972" spans="2:2">
      <c r="B4972" s="47"/>
    </row>
    <row r="4973" spans="2:2">
      <c r="B4973" s="47"/>
    </row>
    <row r="4974" spans="2:2">
      <c r="B4974" s="47"/>
    </row>
    <row r="4975" spans="2:2">
      <c r="B4975" s="47"/>
    </row>
    <row r="4976" spans="2:2">
      <c r="B4976" s="47"/>
    </row>
    <row r="4977" spans="2:2">
      <c r="B4977" s="47"/>
    </row>
    <row r="4978" spans="2:2">
      <c r="B4978" s="47"/>
    </row>
    <row r="4979" spans="2:2">
      <c r="B4979" s="47"/>
    </row>
    <row r="4980" spans="2:2">
      <c r="B4980" s="47"/>
    </row>
    <row r="4981" spans="2:2">
      <c r="B4981" s="47"/>
    </row>
    <row r="4982" spans="2:2">
      <c r="B4982" s="47"/>
    </row>
    <row r="4983" spans="2:2">
      <c r="B4983" s="47"/>
    </row>
    <row r="4984" spans="2:2">
      <c r="B4984" s="47"/>
    </row>
    <row r="4985" spans="2:2">
      <c r="B4985" s="47"/>
    </row>
    <row r="4986" spans="2:2">
      <c r="B4986" s="47"/>
    </row>
    <row r="4987" spans="2:2">
      <c r="B4987" s="47"/>
    </row>
    <row r="4988" spans="2:2">
      <c r="B4988" s="47"/>
    </row>
    <row r="4989" spans="2:2">
      <c r="B4989" s="47"/>
    </row>
    <row r="4990" spans="2:2">
      <c r="B4990" s="47"/>
    </row>
    <row r="4991" spans="2:2">
      <c r="B4991" s="47"/>
    </row>
    <row r="4992" spans="2:2">
      <c r="B4992" s="47"/>
    </row>
    <row r="4993" spans="2:2">
      <c r="B4993" s="47"/>
    </row>
    <row r="4994" spans="2:2">
      <c r="B4994" s="47"/>
    </row>
    <row r="4995" spans="2:2">
      <c r="B4995" s="47"/>
    </row>
    <row r="4996" spans="2:2">
      <c r="B4996" s="47"/>
    </row>
    <row r="4997" spans="2:2">
      <c r="B4997" s="47"/>
    </row>
    <row r="4998" spans="2:2">
      <c r="B4998" s="47"/>
    </row>
    <row r="4999" spans="2:2">
      <c r="B4999" s="47"/>
    </row>
    <row r="5000" spans="2:2">
      <c r="B5000" s="47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00"/>
  <sheetViews>
    <sheetView showGridLines="0" workbookViewId="0">
      <pane ySplit="1" topLeftCell="A2" activePane="bottomLeft" state="frozen"/>
      <selection pane="bottomLeft"/>
    </sheetView>
  </sheetViews>
  <sheetFormatPr defaultRowHeight="14"/>
  <cols>
    <col min="1" max="1" width="46" customWidth="1"/>
    <col min="2" max="2" width="48" customWidth="1"/>
    <col min="3" max="9" width="24" customWidth="1"/>
    <col min="11" max="11" width="48" customWidth="1"/>
    <col min="12" max="12" width="20" customWidth="1"/>
  </cols>
  <sheetData>
    <row r="1" spans="1:12" ht="32" customHeight="1">
      <c r="A1" s="3" t="s">
        <v>1807</v>
      </c>
      <c r="B1" s="29" t="s">
        <v>1808</v>
      </c>
      <c r="C1" s="29" t="s">
        <v>1809</v>
      </c>
      <c r="D1" s="29" t="s">
        <v>1810</v>
      </c>
      <c r="E1" s="29" t="s">
        <v>34</v>
      </c>
      <c r="F1" s="29" t="s">
        <v>1811</v>
      </c>
      <c r="G1" s="29" t="s">
        <v>1812</v>
      </c>
      <c r="H1" s="29" t="s">
        <v>1813</v>
      </c>
      <c r="I1" s="4" t="s">
        <v>1814</v>
      </c>
      <c r="K1" s="3" t="s">
        <v>1815</v>
      </c>
      <c r="L1" s="4" t="s">
        <v>1816</v>
      </c>
    </row>
    <row r="2" spans="1:12">
      <c r="A2" t="str">
        <f>IF(Productos!A2="","",Productos!A2&amp;" | "&amp;Productos!B2)</f>
        <v>P0001 | Body EW D Sennheiser</v>
      </c>
      <c r="B2" t="s">
        <v>226</v>
      </c>
      <c r="C2" t="s">
        <v>104</v>
      </c>
      <c r="D2" t="s">
        <v>33</v>
      </c>
      <c r="E2" t="s">
        <v>35</v>
      </c>
      <c r="F2" t="s">
        <v>38</v>
      </c>
      <c r="G2" t="s">
        <v>1817</v>
      </c>
      <c r="H2" t="str">
        <f>IF(Eventos!A2="","",Eventos!A2&amp;" | "&amp;Eventos!B2)</f>
        <v/>
      </c>
      <c r="I2" t="s">
        <v>1818</v>
      </c>
      <c r="K2" t="s">
        <v>169</v>
      </c>
      <c r="L2" t="s">
        <v>164</v>
      </c>
    </row>
    <row r="3" spans="1:12">
      <c r="A3" t="str">
        <f>IF(Productos!A3="","",Productos!A3&amp;" | "&amp;Productos!B3)</f>
        <v>P0002 | Mic de Mano EW D Sennheiser (Inalámbrico)</v>
      </c>
      <c r="B3" t="s">
        <v>507</v>
      </c>
      <c r="C3" t="s">
        <v>655</v>
      </c>
      <c r="D3" t="s">
        <v>656</v>
      </c>
      <c r="E3" t="s">
        <v>1819</v>
      </c>
      <c r="F3" t="s">
        <v>66</v>
      </c>
      <c r="G3" t="s">
        <v>1820</v>
      </c>
      <c r="H3" t="str">
        <f>IF(Eventos!A3="","",Eventos!A3&amp;" | "&amp;Eventos!B3)</f>
        <v/>
      </c>
      <c r="I3" t="s">
        <v>1821</v>
      </c>
      <c r="K3" t="s">
        <v>280</v>
      </c>
      <c r="L3" t="s">
        <v>276</v>
      </c>
    </row>
    <row r="4" spans="1:12">
      <c r="A4" t="str">
        <f>IF(Productos!A4="","",Productos!A4&amp;" | "&amp;Productos!B4)</f>
        <v>P0003 | Mic de Mano EW DX Sennheiser (Inalámbrico)</v>
      </c>
      <c r="B4" t="s">
        <v>976</v>
      </c>
      <c r="C4" t="s">
        <v>559</v>
      </c>
      <c r="D4" t="s">
        <v>1822</v>
      </c>
      <c r="F4" t="s">
        <v>1823</v>
      </c>
      <c r="G4" t="s">
        <v>1824</v>
      </c>
      <c r="H4" t="str">
        <f>IF(Eventos!A4="","",Eventos!A4&amp;" | "&amp;Eventos!B4)</f>
        <v/>
      </c>
      <c r="I4" t="s">
        <v>1825</v>
      </c>
      <c r="K4" t="s">
        <v>294</v>
      </c>
      <c r="L4" t="s">
        <v>290</v>
      </c>
    </row>
    <row r="5" spans="1:12">
      <c r="A5" t="str">
        <f>IF(Productos!A5="","",Productos!A5&amp;" | "&amp;Productos!B5)</f>
        <v>P0004 | AC ILUMINACION</v>
      </c>
      <c r="B5" t="s">
        <v>1374</v>
      </c>
      <c r="D5" t="s">
        <v>1826</v>
      </c>
      <c r="F5" t="s">
        <v>1827</v>
      </c>
      <c r="G5" t="s">
        <v>1828</v>
      </c>
      <c r="H5" t="str">
        <f>IF(Eventos!A5="","",Eventos!A5&amp;" | "&amp;Eventos!B5)</f>
        <v/>
      </c>
      <c r="I5" t="s">
        <v>1829</v>
      </c>
      <c r="K5" t="s">
        <v>287</v>
      </c>
      <c r="L5" t="s">
        <v>283</v>
      </c>
    </row>
    <row r="6" spans="1:12">
      <c r="A6" t="str">
        <f>IF(Productos!A6="","",Productos!A6&amp;" | "&amp;Productos!B6)</f>
        <v>P0005 | AC LASER</v>
      </c>
      <c r="B6" t="s">
        <v>1462</v>
      </c>
      <c r="D6" t="s">
        <v>1830</v>
      </c>
      <c r="G6" t="s">
        <v>1831</v>
      </c>
      <c r="H6" t="str">
        <f>IF(Eventos!A6="","",Eventos!A6&amp;" | "&amp;Eventos!B6)</f>
        <v/>
      </c>
      <c r="I6" t="s">
        <v>1832</v>
      </c>
      <c r="K6" t="s">
        <v>1351</v>
      </c>
      <c r="L6" t="s">
        <v>1347</v>
      </c>
    </row>
    <row r="7" spans="1:12">
      <c r="A7" t="str">
        <f>IF(Productos!A7="","",Productos!A7&amp;" | "&amp;Productos!B7)</f>
        <v>P0006 | AUDIX Mic Podium con base</v>
      </c>
      <c r="B7" t="s">
        <v>1501</v>
      </c>
      <c r="G7" t="s">
        <v>1833</v>
      </c>
      <c r="H7" t="str">
        <f>IF(Eventos!A7="","",Eventos!A7&amp;" | "&amp;Eventos!B7)</f>
        <v/>
      </c>
      <c r="I7" t="s">
        <v>1834</v>
      </c>
      <c r="K7" t="s">
        <v>231</v>
      </c>
      <c r="L7" t="s">
        <v>227</v>
      </c>
    </row>
    <row r="8" spans="1:12">
      <c r="A8" t="str">
        <f>IF(Productos!A8="","",Productos!A8&amp;" | "&amp;Productos!B8)</f>
        <v>P0007 | Altavoz ES 802</v>
      </c>
      <c r="B8" t="s">
        <v>654</v>
      </c>
      <c r="H8" t="str">
        <f>IF(Eventos!A8="","",Eventos!A8&amp;" | "&amp;Eventos!B8)</f>
        <v/>
      </c>
      <c r="I8" t="s">
        <v>1798</v>
      </c>
      <c r="K8" t="s">
        <v>236</v>
      </c>
      <c r="L8" t="s">
        <v>232</v>
      </c>
    </row>
    <row r="9" spans="1:12">
      <c r="A9" t="str">
        <f>IF(Productos!A9="","",Productos!A9&amp;" | "&amp;Productos!B9)</f>
        <v>P0008 | Altavoz Ig1</v>
      </c>
      <c r="B9" t="s">
        <v>168</v>
      </c>
      <c r="H9" t="str">
        <f>IF(Eventos!A9="","",Eventos!A9&amp;" | "&amp;Eventos!B9)</f>
        <v/>
      </c>
      <c r="I9" t="s">
        <v>1835</v>
      </c>
      <c r="K9" t="s">
        <v>534</v>
      </c>
      <c r="L9" t="s">
        <v>530</v>
      </c>
    </row>
    <row r="10" spans="1:12">
      <c r="A10" t="str">
        <f>IF(Productos!A10="","",Productos!A10&amp;" | "&amp;Productos!B10)</f>
        <v>P0009 | Altavoz Ig4</v>
      </c>
      <c r="B10" t="s">
        <v>468</v>
      </c>
      <c r="H10" t="str">
        <f>IF(Eventos!A10="","",Eventos!A10&amp;" | "&amp;Eventos!B10)</f>
        <v/>
      </c>
      <c r="I10" t="s">
        <v>1827</v>
      </c>
      <c r="K10" t="s">
        <v>1836</v>
      </c>
    </row>
    <row r="11" spans="1:12">
      <c r="A11" t="str">
        <f>IF(Productos!A11="","",Productos!A11&amp;" | "&amp;Productos!B11)</f>
        <v>P0010 | Altavoz VIO L208</v>
      </c>
      <c r="B11" t="s">
        <v>135</v>
      </c>
      <c r="H11" t="str">
        <f>IF(Eventos!A11="","",Eventos!A11&amp;" | "&amp;Eventos!B11)</f>
        <v/>
      </c>
      <c r="I11" t="s">
        <v>1837</v>
      </c>
      <c r="K11" t="s">
        <v>539</v>
      </c>
      <c r="L11" t="s">
        <v>535</v>
      </c>
    </row>
    <row r="12" spans="1:12">
      <c r="A12" t="str">
        <f>IF(Productos!A12="","",Productos!A12&amp;" | "&amp;Productos!B12)</f>
        <v>P0011 | Altavoz VIO L210</v>
      </c>
      <c r="B12" t="s">
        <v>544</v>
      </c>
      <c r="H12" t="str">
        <f>IF(Eventos!A12="","",Eventos!A12&amp;" | "&amp;Eventos!B12)</f>
        <v/>
      </c>
      <c r="K12" t="s">
        <v>545</v>
      </c>
      <c r="L12" t="s">
        <v>540</v>
      </c>
    </row>
    <row r="13" spans="1:12">
      <c r="A13" t="str">
        <f>IF(Productos!A13="","",Productos!A13&amp;" | "&amp;Productos!B13)</f>
        <v>P0012 | Art-Net EN6iP - obsidean</v>
      </c>
      <c r="B13" t="s">
        <v>103</v>
      </c>
      <c r="H13" t="str">
        <f>IF(Eventos!A13="","",Eventos!A13&amp;" | "&amp;Eventos!B13)</f>
        <v/>
      </c>
      <c r="K13" t="s">
        <v>1838</v>
      </c>
    </row>
    <row r="14" spans="1:12">
      <c r="A14" t="str">
        <f>IF(Productos!A14="","",Productos!A14&amp;" | "&amp;Productos!B14)</f>
        <v>P0013 | Asteras Leds</v>
      </c>
      <c r="B14" t="s">
        <v>409</v>
      </c>
      <c r="H14" t="str">
        <f>IF(Eventos!A14="","",Eventos!A14&amp;" | "&amp;Eventos!B14)</f>
        <v/>
      </c>
      <c r="K14" t="s">
        <v>1839</v>
      </c>
    </row>
    <row r="15" spans="1:12">
      <c r="A15" t="str">
        <f>IF(Productos!A15="","",Productos!A15&amp;" | "&amp;Productos!B15)</f>
        <v>P0014 | BATERIA RECARGABLE</v>
      </c>
      <c r="B15" t="s">
        <v>490</v>
      </c>
      <c r="H15" t="str">
        <f>IF(Eventos!A15="","",Eventos!A15&amp;" | "&amp;Eventos!B15)</f>
        <v/>
      </c>
      <c r="K15" t="s">
        <v>1840</v>
      </c>
    </row>
    <row r="16" spans="1:12">
      <c r="A16" t="str">
        <f>IF(Productos!A16="","",Productos!A16&amp;" | "&amp;Productos!B16)</f>
        <v>P0015 | Batería Portátil GreCell T-330</v>
      </c>
      <c r="B16" t="s">
        <v>110</v>
      </c>
      <c r="H16" t="str">
        <f>IF(Eventos!A16="","",Eventos!A16&amp;" | "&amp;Eventos!B16)</f>
        <v/>
      </c>
      <c r="K16" t="s">
        <v>1841</v>
      </c>
    </row>
    <row r="17" spans="1:12">
      <c r="A17" t="str">
        <f>IF(Productos!A17="","",Productos!A17&amp;" | "&amp;Productos!B17)</f>
        <v>P0016 | Batería Portátil GreCell T-500</v>
      </c>
      <c r="B17" t="s">
        <v>1070</v>
      </c>
      <c r="H17" t="str">
        <f>IF(Eventos!A17="","",Eventos!A17&amp;" | "&amp;Eventos!B17)</f>
        <v/>
      </c>
      <c r="K17" t="s">
        <v>1200</v>
      </c>
      <c r="L17" t="s">
        <v>1196</v>
      </c>
    </row>
    <row r="18" spans="1:12">
      <c r="A18" t="str">
        <f>IF(Productos!A18="","",Productos!A18&amp;" | "&amp;Productos!B18)</f>
        <v>P0017 | Beam 230W</v>
      </c>
      <c r="B18" t="s">
        <v>1274</v>
      </c>
      <c r="H18" t="str">
        <f>IF(Eventos!A18="","",Eventos!A18&amp;" | "&amp;Eventos!B18)</f>
        <v/>
      </c>
      <c r="K18" t="s">
        <v>1205</v>
      </c>
      <c r="L18" t="s">
        <v>1201</v>
      </c>
    </row>
    <row r="19" spans="1:12">
      <c r="A19" t="str">
        <f>IF(Productos!A19="","",Productos!A19&amp;" | "&amp;Productos!B19)</f>
        <v>P0018 | Beam 280W (3 en 1)</v>
      </c>
      <c r="B19" t="s">
        <v>1471</v>
      </c>
      <c r="H19" t="str">
        <f>IF(Eventos!A19="","",Eventos!A19&amp;" | "&amp;Eventos!B19)</f>
        <v/>
      </c>
      <c r="K19" t="s">
        <v>1210</v>
      </c>
      <c r="L19" t="s">
        <v>1206</v>
      </c>
    </row>
    <row r="20" spans="1:12">
      <c r="A20" t="str">
        <f>IF(Productos!A20="","",Productos!A20&amp;" | "&amp;Productos!B20)</f>
        <v>P0019 | Big Bee 19x15w K10</v>
      </c>
      <c r="B20" t="s">
        <v>737</v>
      </c>
      <c r="H20" t="str">
        <f>IF(Eventos!A20="","",Eventos!A20&amp;" | "&amp;Eventos!B20)</f>
        <v/>
      </c>
      <c r="K20" t="s">
        <v>1170</v>
      </c>
      <c r="L20" t="s">
        <v>1166</v>
      </c>
    </row>
    <row r="21" spans="1:12">
      <c r="A21" t="str">
        <f>IF(Productos!A21="","",Productos!A21&amp;" | "&amp;Productos!B21)</f>
        <v>P0020 | Bistro Led</v>
      </c>
      <c r="B21" t="s">
        <v>1215</v>
      </c>
      <c r="H21" t="str">
        <f>IF(Eventos!A21="","",Eventos!A21&amp;" | "&amp;Eventos!B21)</f>
        <v/>
      </c>
      <c r="K21" t="s">
        <v>1175</v>
      </c>
      <c r="L21" t="s">
        <v>1171</v>
      </c>
    </row>
    <row r="22" spans="1:12">
      <c r="A22" t="str">
        <f>IF(Productos!A22="","",Productos!A22&amp;" | "&amp;Productos!B22)</f>
        <v>P0021 | Body  GLXD4 Shure</v>
      </c>
      <c r="B22" t="s">
        <v>1241</v>
      </c>
      <c r="H22" t="str">
        <f>IF(Eventos!A22="","",Eventos!A22&amp;" | "&amp;Eventos!B22)</f>
        <v/>
      </c>
      <c r="K22" t="s">
        <v>1165</v>
      </c>
      <c r="L22" t="s">
        <v>1161</v>
      </c>
    </row>
    <row r="23" spans="1:12">
      <c r="A23" t="str">
        <f>IF(Productos!A23="","",Productos!A23&amp;" | "&amp;Productos!B23)</f>
        <v>P0022 | Body GLXD4 Shure</v>
      </c>
      <c r="B23" t="s">
        <v>174</v>
      </c>
      <c r="H23" t="str">
        <f>IF(Eventos!A23="","",Eventos!A23&amp;" | "&amp;Eventos!B23)</f>
        <v/>
      </c>
      <c r="K23" t="s">
        <v>1842</v>
      </c>
    </row>
    <row r="24" spans="1:12">
      <c r="A24" t="str">
        <f>IF(Productos!A24="","",Productos!A24&amp;" | "&amp;Productos!B24)</f>
        <v>P0023 | Body IEM EWD-X Sennheiser</v>
      </c>
      <c r="B24" t="s">
        <v>501</v>
      </c>
      <c r="H24" t="str">
        <f>IF(Eventos!A24="","",Eventos!A24&amp;" | "&amp;Eventos!B24)</f>
        <v/>
      </c>
      <c r="K24" t="s">
        <v>1843</v>
      </c>
    </row>
    <row r="25" spans="1:12">
      <c r="A25" t="str">
        <f>IF(Productos!A25="","",Productos!A25&amp;" | "&amp;Productos!B25)</f>
        <v>P0024 | Body IEM G4 (in ear) Sennheiser</v>
      </c>
      <c r="B25" t="s">
        <v>121</v>
      </c>
      <c r="H25" t="str">
        <f>IF(Eventos!A25="","",Eventos!A25&amp;" | "&amp;Eventos!B25)</f>
        <v/>
      </c>
      <c r="K25" t="s">
        <v>1844</v>
      </c>
    </row>
    <row r="26" spans="1:12">
      <c r="A26" t="str">
        <f>IF(Productos!A26="","",Productos!A26&amp;" | "&amp;Productos!B26)</f>
        <v>P0025 | Bola Disco</v>
      </c>
      <c r="B26" t="s">
        <v>304</v>
      </c>
      <c r="H26" t="str">
        <f>IF(Eventos!A26="","",Eventos!A26&amp;" | "&amp;Eventos!B26)</f>
        <v/>
      </c>
      <c r="K26" t="s">
        <v>1356</v>
      </c>
      <c r="L26" t="s">
        <v>1352</v>
      </c>
    </row>
    <row r="27" spans="1:12">
      <c r="A27" t="str">
        <f>IF(Productos!A27="","",Productos!A27&amp;" | "&amp;Productos!B27)</f>
        <v>P0026 | Bumper ABSEN 0.50</v>
      </c>
      <c r="B27" t="s">
        <v>599</v>
      </c>
      <c r="H27" t="str">
        <f>IF(Eventos!A27="","",Eventos!A27&amp;" | "&amp;Eventos!B27)</f>
        <v/>
      </c>
      <c r="K27" t="s">
        <v>1845</v>
      </c>
    </row>
    <row r="28" spans="1:12">
      <c r="A28" t="str">
        <f>IF(Productos!A28="","",Productos!A28&amp;" | "&amp;Productos!B28)</f>
        <v>P0027 | CHACLES</v>
      </c>
      <c r="B28" t="s">
        <v>363</v>
      </c>
      <c r="H28" t="str">
        <f>IF(Eventos!A28="","",Eventos!A28&amp;" | "&amp;Eventos!B28)</f>
        <v/>
      </c>
      <c r="K28" t="s">
        <v>1423</v>
      </c>
      <c r="L28" t="s">
        <v>1419</v>
      </c>
    </row>
    <row r="29" spans="1:12">
      <c r="A29" t="str">
        <f>IF(Productos!A29="","",Productos!A29&amp;" | "&amp;Productos!B29)</f>
        <v>P0028 | CLIP DE MIC</v>
      </c>
      <c r="B29" t="s">
        <v>478</v>
      </c>
      <c r="H29" t="str">
        <f>IF(Eventos!A29="","",Eventos!A29&amp;" | "&amp;Eventos!B29)</f>
        <v/>
      </c>
      <c r="K29" t="s">
        <v>122</v>
      </c>
      <c r="L29" t="s">
        <v>117</v>
      </c>
    </row>
    <row r="30" spans="1:12">
      <c r="A30" t="str">
        <f>IF(Productos!A30="","",Productos!A30&amp;" | "&amp;Productos!B30)</f>
        <v>P0029 | CPU 27TS SDIX4 Sin Tarjeta de Video</v>
      </c>
      <c r="B30" t="s">
        <v>484</v>
      </c>
      <c r="H30" t="str">
        <f>IF(Eventos!A30="","",Eventos!A30&amp;" | "&amp;Eventos!B30)</f>
        <v/>
      </c>
      <c r="K30" t="s">
        <v>1771</v>
      </c>
      <c r="L30" t="s">
        <v>1767</v>
      </c>
    </row>
    <row r="31" spans="1:12">
      <c r="A31" t="str">
        <f>IF(Productos!A31="","",Productos!A31&amp;" | "&amp;Productos!B31)</f>
        <v>P0030 | CVT4K-S</v>
      </c>
      <c r="B31" t="s">
        <v>1699</v>
      </c>
      <c r="H31" t="str">
        <f>IF(Eventos!A31="","",Eventos!A31&amp;" | "&amp;Eventos!B31)</f>
        <v/>
      </c>
      <c r="K31" t="s">
        <v>1776</v>
      </c>
      <c r="L31" t="s">
        <v>1772</v>
      </c>
    </row>
    <row r="32" spans="1:12">
      <c r="A32" t="str">
        <f>IF(Productos!A32="","",Productos!A32&amp;" | "&amp;Productos!B32)</f>
        <v>P0031 | Cable Cano</v>
      </c>
      <c r="B32" t="s">
        <v>1528</v>
      </c>
      <c r="H32" t="str">
        <f>IF(Eventos!A32="","",Eventos!A32&amp;" | "&amp;Eventos!B32)</f>
        <v/>
      </c>
      <c r="K32" t="s">
        <v>1781</v>
      </c>
      <c r="L32" t="s">
        <v>1777</v>
      </c>
    </row>
    <row r="33" spans="1:12">
      <c r="A33" t="str">
        <f>IF(Productos!A33="","",Productos!A33&amp;" | "&amp;Productos!B33)</f>
        <v>P0032 | Cable HDMI</v>
      </c>
      <c r="B33" t="s">
        <v>158</v>
      </c>
      <c r="H33" t="str">
        <f>IF(Eventos!A33="","",Eventos!A33&amp;" | "&amp;Eventos!B33)</f>
        <v/>
      </c>
      <c r="K33" t="s">
        <v>496</v>
      </c>
      <c r="L33" t="s">
        <v>491</v>
      </c>
    </row>
    <row r="34" spans="1:12">
      <c r="A34" t="str">
        <f>IF(Productos!A34="","",Productos!A34&amp;" | "&amp;Productos!B34)</f>
        <v>P0033 | Cable Ilda Splitter</v>
      </c>
      <c r="B34" t="s">
        <v>194</v>
      </c>
      <c r="H34" t="str">
        <f>IF(Eventos!A34="","",Eventos!A34&amp;" | "&amp;Eventos!B34)</f>
        <v/>
      </c>
      <c r="K34" t="s">
        <v>1846</v>
      </c>
    </row>
    <row r="35" spans="1:12">
      <c r="A35" t="str">
        <f>IF(Productos!A35="","",Productos!A35&amp;" | "&amp;Productos!B35)</f>
        <v>P0034 | Cable XLR - 3 pines</v>
      </c>
      <c r="B35" t="s">
        <v>1755</v>
      </c>
      <c r="H35" t="str">
        <f>IF(Eventos!A35="","",Eventos!A35&amp;" | "&amp;Eventos!B35)</f>
        <v/>
      </c>
      <c r="K35" t="s">
        <v>485</v>
      </c>
      <c r="L35" t="s">
        <v>480</v>
      </c>
    </row>
    <row r="36" spans="1:12">
      <c r="A36" t="str">
        <f>IF(Productos!A36="","",Productos!A36&amp;" | "&amp;Productos!B36)</f>
        <v>P0035 | Cable XLR - 5 pines</v>
      </c>
      <c r="B36" t="s">
        <v>423</v>
      </c>
      <c r="H36" t="str">
        <f>IF(Eventos!A36="","",Eventos!A36&amp;" | "&amp;Eventos!B36)</f>
        <v/>
      </c>
      <c r="K36" t="s">
        <v>529</v>
      </c>
      <c r="L36" t="s">
        <v>524</v>
      </c>
    </row>
    <row r="37" spans="1:12">
      <c r="A37" t="str">
        <f>IF(Productos!A37="","",Productos!A37&amp;" | "&amp;Productos!B37)</f>
        <v>P0036 | Cable de Red</v>
      </c>
      <c r="B37" t="s">
        <v>262</v>
      </c>
      <c r="H37" t="str">
        <f>IF(Eventos!A37="","",Eventos!A37&amp;" | "&amp;Eventos!B37)</f>
        <v/>
      </c>
      <c r="K37" t="s">
        <v>649</v>
      </c>
      <c r="L37" t="s">
        <v>645</v>
      </c>
    </row>
    <row r="38" spans="1:12">
      <c r="A38" t="str">
        <f>IF(Productos!A38="","",Productos!A38&amp;" | "&amp;Productos!B38)</f>
        <v>P0037 | Caja Activa</v>
      </c>
      <c r="B38" t="s">
        <v>677</v>
      </c>
      <c r="H38" t="str">
        <f>IF(Eventos!A38="","",Eventos!A38&amp;" | "&amp;Eventos!B38)</f>
        <v/>
      </c>
      <c r="K38" t="s">
        <v>713</v>
      </c>
      <c r="L38" t="s">
        <v>709</v>
      </c>
    </row>
    <row r="39" spans="1:12">
      <c r="A39" t="str">
        <f>IF(Productos!A39="","",Productos!A39&amp;" | "&amp;Productos!B39)</f>
        <v>P0038 | Caja Directa Direct100P Proel</v>
      </c>
      <c r="B39" t="s">
        <v>495</v>
      </c>
      <c r="H39" t="str">
        <f>IF(Eventos!A39="","",Eventos!A39&amp;" | "&amp;Eventos!B39)</f>
        <v/>
      </c>
      <c r="K39" t="s">
        <v>1444</v>
      </c>
      <c r="L39" t="s">
        <v>1440</v>
      </c>
    </row>
    <row r="40" spans="1:12">
      <c r="A40" t="str">
        <f>IF(Productos!A40="","",Productos!A40&amp;" | "&amp;Productos!B40)</f>
        <v>P0039 | Caja Directa Pasiva</v>
      </c>
      <c r="B40" t="s">
        <v>528</v>
      </c>
      <c r="H40" t="str">
        <f>IF(Eventos!A40="","",Eventos!A40&amp;" | "&amp;Eventos!B40)</f>
        <v/>
      </c>
      <c r="K40" t="s">
        <v>1756</v>
      </c>
      <c r="L40" t="s">
        <v>1751</v>
      </c>
    </row>
    <row r="41" spans="1:12">
      <c r="A41" t="str">
        <f>IF(Productos!A41="","",Productos!A41&amp;" | "&amp;Productos!B41)</f>
        <v>P0040 | Caja Directa Whirlwind EDB1</v>
      </c>
      <c r="B41" t="s">
        <v>163</v>
      </c>
      <c r="H41" t="str">
        <f>IF(Eventos!A41="","",Eventos!A41&amp;" | "&amp;Eventos!B41)</f>
        <v/>
      </c>
      <c r="K41" t="s">
        <v>1761</v>
      </c>
      <c r="L41" t="s">
        <v>1757</v>
      </c>
    </row>
    <row r="42" spans="1:12">
      <c r="A42" t="str">
        <f>IF(Productos!A42="","",Productos!A42&amp;" | "&amp;Productos!B42)</f>
        <v>P0041 | Caja de Prensa</v>
      </c>
      <c r="B42" t="s">
        <v>948</v>
      </c>
      <c r="H42" t="str">
        <f>IF(Eventos!A42="","",Eventos!A42&amp;" | "&amp;Eventos!B42)</f>
        <v/>
      </c>
      <c r="K42" t="s">
        <v>1766</v>
      </c>
      <c r="L42" t="s">
        <v>1762</v>
      </c>
    </row>
    <row r="43" spans="1:12">
      <c r="A43" t="str">
        <f>IF(Productos!A43="","",Productos!A43&amp;" | "&amp;Productos!B43)</f>
        <v>P0042 | Caja de Prensa0273899250232</v>
      </c>
      <c r="B43" t="s">
        <v>183</v>
      </c>
      <c r="H43" t="str">
        <f>IF(Eventos!A43="","",Eventos!A43&amp;" | "&amp;Eventos!B43)</f>
        <v/>
      </c>
      <c r="K43" t="s">
        <v>1847</v>
      </c>
    </row>
    <row r="44" spans="1:12">
      <c r="A44" t="str">
        <f>IF(Productos!A44="","",Productos!A44&amp;" | "&amp;Productos!B44)</f>
        <v>P0043 | Caja de Prensa02738992502320273299250276</v>
      </c>
      <c r="B44" t="s">
        <v>380</v>
      </c>
      <c r="H44" t="str">
        <f>IF(Eventos!A44="","",Eventos!A44&amp;" | "&amp;Eventos!B44)</f>
        <v/>
      </c>
      <c r="K44" t="s">
        <v>1848</v>
      </c>
    </row>
    <row r="45" spans="1:12">
      <c r="A45" t="str">
        <f>IF(Productos!A45="","",Productos!A45&amp;" | "&amp;Productos!B45)</f>
        <v>P0044 | Cajas electricas Chica</v>
      </c>
      <c r="B45" t="s">
        <v>554</v>
      </c>
      <c r="H45" t="str">
        <f>IF(Eventos!A45="","",Eventos!A45&amp;" | "&amp;Eventos!B45)</f>
        <v/>
      </c>
      <c r="K45" t="s">
        <v>1849</v>
      </c>
    </row>
    <row r="46" spans="1:12">
      <c r="A46" t="str">
        <f>IF(Productos!A46="","",Productos!A46&amp;" | "&amp;Productos!B46)</f>
        <v>P0045 | Cajas electricas grandes</v>
      </c>
      <c r="B46" t="s">
        <v>1319</v>
      </c>
      <c r="H46" t="str">
        <f>IF(Eventos!A46="","",Eventos!A46&amp;" | "&amp;Eventos!B46)</f>
        <v/>
      </c>
      <c r="K46" t="s">
        <v>1850</v>
      </c>
    </row>
    <row r="47" spans="1:12">
      <c r="A47" t="str">
        <f>IF(Productos!A47="","",Productos!A47&amp;" | "&amp;Productos!B47)</f>
        <v>P0046 | Cajas electricas mediana</v>
      </c>
      <c r="B47" t="s">
        <v>1578</v>
      </c>
      <c r="H47" t="str">
        <f>IF(Eventos!A47="","",Eventos!A47&amp;" | "&amp;Eventos!B47)</f>
        <v/>
      </c>
      <c r="K47" t="s">
        <v>1851</v>
      </c>
    </row>
    <row r="48" spans="1:12">
      <c r="A48" t="str">
        <f>IF(Productos!A48="","",Productos!A48&amp;" | "&amp;Productos!B48)</f>
        <v>P0047 | Camara PTZ 1080p USB</v>
      </c>
      <c r="B48" t="s">
        <v>1414</v>
      </c>
      <c r="H48" t="str">
        <f>IF(Eventos!A48="","",Eventos!A48&amp;" | "&amp;Eventos!B48)</f>
        <v/>
      </c>
      <c r="K48" t="s">
        <v>1852</v>
      </c>
    </row>
    <row r="49" spans="1:12">
      <c r="A49" t="str">
        <f>IF(Productos!A49="","",Productos!A49&amp;" | "&amp;Productos!B49)</f>
        <v>P0048 | Camara PTZ 4K NDI</v>
      </c>
      <c r="B49" t="s">
        <v>275</v>
      </c>
      <c r="H49" t="str">
        <f>IF(Eventos!A49="","",Eventos!A49&amp;" | "&amp;Eventos!B49)</f>
        <v/>
      </c>
      <c r="K49" t="s">
        <v>1853</v>
      </c>
    </row>
    <row r="50" spans="1:12">
      <c r="A50" t="str">
        <f>IF(Productos!A50="","",Productos!A50&amp;" | "&amp;Productos!B50)</f>
        <v>P0049 | Camara PTZ FHD</v>
      </c>
      <c r="B50" t="s">
        <v>317</v>
      </c>
      <c r="H50" t="str">
        <f>IF(Eventos!A50="","",Eventos!A50&amp;" | "&amp;Eventos!B50)</f>
        <v/>
      </c>
      <c r="K50" t="s">
        <v>1854</v>
      </c>
    </row>
    <row r="51" spans="1:12">
      <c r="A51" t="str">
        <f>IF(Productos!A51="","",Productos!A51&amp;" | "&amp;Productos!B51)</f>
        <v>P0050 | Camara PTZ NDI FHD</v>
      </c>
      <c r="B51" t="s">
        <v>241</v>
      </c>
      <c r="H51" t="str">
        <f>IF(Eventos!A51="","",Eventos!A51&amp;" | "&amp;Eventos!B51)</f>
        <v/>
      </c>
      <c r="K51" t="s">
        <v>1855</v>
      </c>
    </row>
    <row r="52" spans="1:12">
      <c r="A52" t="str">
        <f>IF(Productos!A52="","",Productos!A52&amp;" | "&amp;Productos!B52)</f>
        <v>P0051 | Camara PTZ SD</v>
      </c>
      <c r="B52" t="s">
        <v>687</v>
      </c>
      <c r="H52" t="str">
        <f>IF(Eventos!A52="","",Eventos!A52&amp;" | "&amp;Eventos!B52)</f>
        <v/>
      </c>
      <c r="K52" t="s">
        <v>148</v>
      </c>
      <c r="L52" t="s">
        <v>144</v>
      </c>
    </row>
    <row r="53" spans="1:12">
      <c r="A53" t="str">
        <f>IF(Productos!A53="","",Productos!A53&amp;" | "&amp;Productos!B53)</f>
        <v>P0052 | Camara Panasonic HC-X2000</v>
      </c>
      <c r="B53" t="s">
        <v>588</v>
      </c>
      <c r="H53" t="str">
        <f>IF(Eventos!A53="","",Eventos!A53&amp;" | "&amp;Eventos!B53)</f>
        <v/>
      </c>
      <c r="K53" t="s">
        <v>153</v>
      </c>
      <c r="L53" t="s">
        <v>149</v>
      </c>
    </row>
    <row r="54" spans="1:12">
      <c r="A54" t="str">
        <f>IF(Productos!A54="","",Productos!A54&amp;" | "&amp;Productos!B54)</f>
        <v>P0053 | Camara Sony A7III</v>
      </c>
      <c r="B54" t="s">
        <v>1061</v>
      </c>
      <c r="H54" t="str">
        <f>IF(Eventos!A54="","",Eventos!A54&amp;" | "&amp;Eventos!B54)</f>
        <v/>
      </c>
      <c r="K54" t="s">
        <v>1856</v>
      </c>
    </row>
    <row r="55" spans="1:12">
      <c r="A55" t="str">
        <f>IF(Productos!A55="","",Productos!A55&amp;" | "&amp;Productos!B55)</f>
        <v>P0054 | Camara Sony HXR-NX100</v>
      </c>
      <c r="B55" t="s">
        <v>1361</v>
      </c>
      <c r="H55" t="str">
        <f>IF(Eventos!A55="","",Eventos!A55&amp;" | "&amp;Eventos!B55)</f>
        <v/>
      </c>
      <c r="K55" t="s">
        <v>1857</v>
      </c>
    </row>
    <row r="56" spans="1:12">
      <c r="A56" t="str">
        <f>IF(Productos!A56="","",Productos!A56&amp;" | "&amp;Productos!B56)</f>
        <v>P0055 | Carrito VIO DTT-L208</v>
      </c>
      <c r="B56" t="s">
        <v>1404</v>
      </c>
      <c r="H56" t="str">
        <f>IF(Eventos!A56="","",Eventos!A56&amp;" | "&amp;Eventos!B56)</f>
        <v/>
      </c>
      <c r="K56" t="s">
        <v>1858</v>
      </c>
    </row>
    <row r="57" spans="1:12">
      <c r="A57" t="str">
        <f>IF(Productos!A57="","",Productos!A57&amp;" | "&amp;Productos!B57)</f>
        <v>P0056 | Carrito VIO DTT-L210</v>
      </c>
      <c r="B57" t="s">
        <v>1180</v>
      </c>
      <c r="H57" t="str">
        <f>IF(Eventos!A57="","",Eventos!A57&amp;" | "&amp;Eventos!B57)</f>
        <v/>
      </c>
      <c r="K57" t="s">
        <v>105</v>
      </c>
      <c r="L57" t="s">
        <v>98</v>
      </c>
    </row>
    <row r="58" spans="1:12">
      <c r="A58" t="str">
        <f>IF(Productos!A58="","",Productos!A58&amp;" | "&amp;Productos!B58)</f>
        <v>P0057 | Cercas Gris  7x8 pies</v>
      </c>
      <c r="B58" t="s">
        <v>223</v>
      </c>
      <c r="H58" t="str">
        <f>IF(Eventos!A58="","",Eventos!A58&amp;" | "&amp;Eventos!B58)</f>
        <v/>
      </c>
      <c r="K58" t="s">
        <v>213</v>
      </c>
      <c r="L58" t="s">
        <v>209</v>
      </c>
    </row>
    <row r="59" spans="1:12">
      <c r="A59" t="str">
        <f>IF(Productos!A59="","",Productos!A59&amp;" | "&amp;Productos!B59)</f>
        <v>P0058 | Cercas Negras 7x8 pies</v>
      </c>
      <c r="B59" t="s">
        <v>1712</v>
      </c>
      <c r="H59" t="str">
        <f>IF(Eventos!A59="","",Eventos!A59&amp;" | "&amp;Eventos!B59)</f>
        <v/>
      </c>
      <c r="K59" t="s">
        <v>208</v>
      </c>
      <c r="L59" t="s">
        <v>204</v>
      </c>
    </row>
    <row r="60" spans="1:12">
      <c r="A60" t="str">
        <f>IF(Productos!A60="","",Productos!A60&amp;" | "&amp;Productos!B60)</f>
        <v>P0059 | Cercas Verdes 7x8 pies</v>
      </c>
      <c r="B60" t="s">
        <v>594</v>
      </c>
      <c r="H60" t="str">
        <f>IF(Eventos!A60="","",Eventos!A60&amp;" | "&amp;Eventos!B60)</f>
        <v/>
      </c>
      <c r="K60" t="s">
        <v>1859</v>
      </c>
    </row>
    <row r="61" spans="1:12">
      <c r="A61" t="str">
        <f>IF(Productos!A61="","",Productos!A61&amp;" | "&amp;Productos!B61)</f>
        <v>P0060 | Cerebro Pixel</v>
      </c>
      <c r="B61" t="s">
        <v>753</v>
      </c>
      <c r="H61" t="str">
        <f>IF(Eventos!A61="","",Eventos!A61&amp;" | "&amp;Eventos!B61)</f>
        <v/>
      </c>
      <c r="K61" t="s">
        <v>1860</v>
      </c>
    </row>
    <row r="62" spans="1:12">
      <c r="A62" t="str">
        <f>IF(Productos!A62="","",Productos!A62&amp;" | "&amp;Productos!B62)</f>
        <v>P0061 | Chauvet Freedom Tri 6 (negras)</v>
      </c>
      <c r="B62" t="s">
        <v>246</v>
      </c>
      <c r="H62" t="str">
        <f>IF(Eventos!A62="","",Eventos!A62&amp;" | "&amp;Eventos!B62)</f>
        <v/>
      </c>
      <c r="K62" t="s">
        <v>390</v>
      </c>
      <c r="L62" t="s">
        <v>386</v>
      </c>
    </row>
    <row r="63" spans="1:12">
      <c r="A63" t="str">
        <f>IF(Productos!A63="","",Productos!A63&amp;" | "&amp;Productos!B63)</f>
        <v>P0062 | Combinador de Antena</v>
      </c>
      <c r="B63" t="s">
        <v>1187</v>
      </c>
      <c r="H63" t="str">
        <f>IF(Eventos!A63="","",Eventos!A63&amp;" | "&amp;Eventos!B63)</f>
        <v/>
      </c>
      <c r="K63" t="s">
        <v>395</v>
      </c>
      <c r="L63" t="s">
        <v>391</v>
      </c>
    </row>
    <row r="64" spans="1:12">
      <c r="A64" t="str">
        <f>IF(Productos!A64="","",Productos!A64&amp;" | "&amp;Productos!B64)</f>
        <v>P0063 | Consola 1204</v>
      </c>
      <c r="B64" t="s">
        <v>1123</v>
      </c>
      <c r="H64" t="str">
        <f>IF(Eventos!A64="","",Eventos!A64&amp;" | "&amp;Eventos!B64)</f>
        <v/>
      </c>
      <c r="K64" t="s">
        <v>400</v>
      </c>
      <c r="L64" t="s">
        <v>396</v>
      </c>
    </row>
    <row r="65" spans="1:12">
      <c r="A65" t="str">
        <f>IF(Productos!A65="","",Productos!A65&amp;" | "&amp;Productos!B65)</f>
        <v>P0064 | Consola AG03</v>
      </c>
      <c r="B65" t="s">
        <v>1264</v>
      </c>
      <c r="H65" t="str">
        <f>IF(Eventos!A65="","",Eventos!A65&amp;" | "&amp;Eventos!B65)</f>
        <v/>
      </c>
      <c r="K65" t="s">
        <v>418</v>
      </c>
      <c r="L65" t="s">
        <v>414</v>
      </c>
    </row>
    <row r="66" spans="1:12">
      <c r="A66" t="str">
        <f>IF(Productos!A66="","",Productos!A66&amp;" | "&amp;Productos!B66)</f>
        <v>P0065 | Consola AG06</v>
      </c>
      <c r="B66" t="s">
        <v>558</v>
      </c>
      <c r="H66" t="str">
        <f>IF(Eventos!A66="","",Eventos!A66&amp;" | "&amp;Eventos!B66)</f>
        <v/>
      </c>
      <c r="K66" t="s">
        <v>1861</v>
      </c>
    </row>
    <row r="67" spans="1:12">
      <c r="A67" t="str">
        <f>IF(Productos!A67="","",Productos!A67&amp;" | "&amp;Productos!B67)</f>
        <v>P0066 | Consola Análoga</v>
      </c>
      <c r="H67" t="str">
        <f>IF(Eventos!A67="","",Eventos!A67&amp;" | "&amp;Eventos!B67)</f>
        <v/>
      </c>
      <c r="K67" t="s">
        <v>454</v>
      </c>
      <c r="L67" t="s">
        <v>450</v>
      </c>
    </row>
    <row r="68" spans="1:12">
      <c r="A68" t="str">
        <f>IF(Productos!A68="","",Productos!A68&amp;" | "&amp;Productos!B68)</f>
        <v>P0067 | Consola Behringer Xenyx 2442FX</v>
      </c>
      <c r="H68" t="str">
        <f>IF(Eventos!A68="","",Eventos!A68&amp;" | "&amp;Eventos!B68)</f>
        <v/>
      </c>
      <c r="K68" t="s">
        <v>1862</v>
      </c>
    </row>
    <row r="69" spans="1:12">
      <c r="A69" t="str">
        <f>IF(Productos!A69="","",Productos!A69&amp;" | "&amp;Productos!B69)</f>
        <v>P0068 | Consola China</v>
      </c>
      <c r="H69" t="str">
        <f>IF(Eventos!A69="","",Eventos!A69&amp;" | "&amp;Eventos!B69)</f>
        <v/>
      </c>
      <c r="K69" t="s">
        <v>432</v>
      </c>
      <c r="L69" t="s">
        <v>428</v>
      </c>
    </row>
    <row r="70" spans="1:12">
      <c r="A70" t="str">
        <f>IF(Productos!A70="","",Productos!A70&amp;" | "&amp;Productos!B70)</f>
        <v>P0069 | Consola DM3 YAMAHA</v>
      </c>
      <c r="H70" t="str">
        <f>IF(Eventos!A70="","",Eventos!A70&amp;" | "&amp;Eventos!B70)</f>
        <v/>
      </c>
      <c r="K70" t="s">
        <v>473</v>
      </c>
      <c r="L70" t="s">
        <v>469</v>
      </c>
    </row>
    <row r="71" spans="1:12">
      <c r="A71" t="str">
        <f>IF(Productos!A71="","",Productos!A71&amp;" | "&amp;Productos!B71)</f>
        <v>P0070 | Consola DMX 512</v>
      </c>
      <c r="H71" t="str">
        <f>IF(Eventos!A71="","",Eventos!A71&amp;" | "&amp;Eventos!B71)</f>
        <v/>
      </c>
      <c r="K71" t="s">
        <v>1863</v>
      </c>
    </row>
    <row r="72" spans="1:12">
      <c r="A72" t="str">
        <f>IF(Productos!A72="","",Productos!A72&amp;" | "&amp;Productos!B72)</f>
        <v>P0071 | Consola DMX RM</v>
      </c>
      <c r="H72" t="str">
        <f>IF(Eventos!A72="","",Eventos!A72&amp;" | "&amp;Eventos!B72)</f>
        <v/>
      </c>
      <c r="K72" t="s">
        <v>441</v>
      </c>
      <c r="L72" t="s">
        <v>437</v>
      </c>
    </row>
    <row r="73" spans="1:12">
      <c r="A73" t="str">
        <f>IF(Productos!A73="","",Productos!A73&amp;" | "&amp;Productos!B73)</f>
        <v>P0072 | Consola Fader Win</v>
      </c>
      <c r="H73" t="str">
        <f>IF(Eventos!A73="","",Eventos!A73&amp;" | "&amp;Eventos!B73)</f>
        <v/>
      </c>
      <c r="K73" t="s">
        <v>1864</v>
      </c>
    </row>
    <row r="74" spans="1:12">
      <c r="A74" t="str">
        <f>IF(Productos!A74="","",Productos!A74&amp;" | "&amp;Productos!B74)</f>
        <v>P0073 | Consola MG10XU</v>
      </c>
      <c r="H74" t="str">
        <f>IF(Eventos!A74="","",Eventos!A74&amp;" | "&amp;Eventos!B74)</f>
        <v/>
      </c>
      <c r="K74" t="s">
        <v>1865</v>
      </c>
    </row>
    <row r="75" spans="1:12">
      <c r="A75" t="str">
        <f>IF(Productos!A75="","",Productos!A75&amp;" | "&amp;Productos!B75)</f>
        <v>P0074 | Consola MIDAS M32</v>
      </c>
      <c r="H75" t="str">
        <f>IF(Eventos!A75="","",Eventos!A75&amp;" | "&amp;Eventos!B75)</f>
        <v/>
      </c>
      <c r="K75" t="s">
        <v>1866</v>
      </c>
    </row>
    <row r="76" spans="1:12">
      <c r="A76" t="str">
        <f>IF(Productos!A76="","",Productos!A76&amp;" | "&amp;Productos!B76)</f>
        <v>P0075 | Consola MQ 10FX</v>
      </c>
      <c r="H76" t="str">
        <f>IF(Eventos!A76="","",Eventos!A76&amp;" | "&amp;Eventos!B76)</f>
        <v/>
      </c>
      <c r="K76" t="s">
        <v>463</v>
      </c>
      <c r="L76" t="s">
        <v>459</v>
      </c>
    </row>
    <row r="77" spans="1:12">
      <c r="A77" t="str">
        <f>IF(Productos!A77="","",Productos!A77&amp;" | "&amp;Productos!B77)</f>
        <v>P0076 | Consola MQ 16USB</v>
      </c>
      <c r="H77" t="str">
        <f>IF(Eventos!A77="","",Eventos!A77&amp;" | "&amp;Eventos!B77)</f>
        <v/>
      </c>
      <c r="K77" t="s">
        <v>1867</v>
      </c>
    </row>
    <row r="78" spans="1:12">
      <c r="A78" t="str">
        <f>IF(Productos!A78="","",Productos!A78&amp;" | "&amp;Productos!B78)</f>
        <v>P0077 | Consola My DMX 3.0</v>
      </c>
      <c r="H78" t="str">
        <f>IF(Eventos!A78="","",Eventos!A78&amp;" | "&amp;Eventos!B78)</f>
        <v/>
      </c>
      <c r="K78" t="s">
        <v>1786</v>
      </c>
      <c r="L78" t="s">
        <v>1782</v>
      </c>
    </row>
    <row r="79" spans="1:12">
      <c r="A79" t="str">
        <f>IF(Productos!A79="","",Productos!A79&amp;" | "&amp;Productos!B79)</f>
        <v>P0078 | Consola NX DMX</v>
      </c>
      <c r="H79" t="str">
        <f>IF(Eventos!A79="","",Eventos!A79&amp;" | "&amp;Eventos!B79)</f>
        <v/>
      </c>
      <c r="K79" t="s">
        <v>657</v>
      </c>
      <c r="L79" t="s">
        <v>650</v>
      </c>
    </row>
    <row r="80" spans="1:12">
      <c r="A80" t="str">
        <f>IF(Productos!A80="","",Productos!A80&amp;" | "&amp;Productos!B80)</f>
        <v>P0079 | Consola TF1</v>
      </c>
      <c r="H80" t="str">
        <f>IF(Eventos!A80="","",Eventos!A80&amp;" | "&amp;Eventos!B80)</f>
        <v/>
      </c>
      <c r="K80" t="s">
        <v>662</v>
      </c>
      <c r="L80" t="s">
        <v>658</v>
      </c>
    </row>
    <row r="81" spans="1:12">
      <c r="A81" t="str">
        <f>IF(Productos!A81="","",Productos!A81&amp;" | "&amp;Productos!B81)</f>
        <v>P0080 | Consola X1622USB</v>
      </c>
      <c r="H81" t="str">
        <f>IF(Eventos!A81="","",Eventos!A81&amp;" | "&amp;Eventos!B81)</f>
        <v/>
      </c>
      <c r="K81" t="s">
        <v>667</v>
      </c>
      <c r="L81" t="s">
        <v>663</v>
      </c>
    </row>
    <row r="82" spans="1:12">
      <c r="A82" t="str">
        <f>IF(Productos!A82="","",Productos!A82&amp;" | "&amp;Productos!B82)</f>
        <v>P0081 | Consola de Luces Grand MA2</v>
      </c>
      <c r="H82" t="str">
        <f>IF(Eventos!A82="","",Eventos!A82&amp;" | "&amp;Eventos!B82)</f>
        <v/>
      </c>
      <c r="K82" t="s">
        <v>672</v>
      </c>
      <c r="L82" t="s">
        <v>668</v>
      </c>
    </row>
    <row r="83" spans="1:12">
      <c r="A83" t="str">
        <f>IF(Productos!A83="","",Productos!A83&amp;" | "&amp;Productos!B83)</f>
        <v>P0082 | Contrapeso plástico</v>
      </c>
      <c r="H83" t="str">
        <f>IF(Eventos!A83="","",Eventos!A83&amp;" | "&amp;Eventos!B83)</f>
        <v/>
      </c>
      <c r="K83" t="s">
        <v>1868</v>
      </c>
    </row>
    <row r="84" spans="1:12">
      <c r="A84" t="str">
        <f>IF(Productos!A84="","",Productos!A84&amp;" | "&amp;Productos!B84)</f>
        <v>P0083 | Control motor cable</v>
      </c>
      <c r="H84" t="str">
        <f>IF(Eventos!A84="","",Eventos!A84&amp;" | "&amp;Eventos!B84)</f>
        <v/>
      </c>
      <c r="K84" t="s">
        <v>1869</v>
      </c>
    </row>
    <row r="85" spans="1:12">
      <c r="A85" t="str">
        <f>IF(Productos!A85="","",Productos!A85&amp;" | "&amp;Productos!B85)</f>
        <v>P0084 | Controlador  AC 26N Db technologies</v>
      </c>
      <c r="H85" t="str">
        <f>IF(Eventos!A85="","",Eventos!A85&amp;" | "&amp;Eventos!B85)</f>
        <v/>
      </c>
      <c r="K85" t="s">
        <v>1870</v>
      </c>
    </row>
    <row r="86" spans="1:12">
      <c r="A86" t="str">
        <f>IF(Productos!A86="","",Productos!A86&amp;" | "&amp;Productos!B86)</f>
        <v>P0085 | Controlador laser FB3-QS</v>
      </c>
      <c r="H86" t="str">
        <f>IF(Eventos!A86="","",Eventos!A86&amp;" | "&amp;Eventos!B86)</f>
        <v/>
      </c>
      <c r="K86" t="s">
        <v>1871</v>
      </c>
    </row>
    <row r="87" spans="1:12">
      <c r="A87" t="str">
        <f>IF(Productos!A87="","",Productos!A87&amp;" | "&amp;Productos!B87)</f>
        <v>P0086 | Convertidor 220-110</v>
      </c>
      <c r="H87" t="str">
        <f>IF(Eventos!A87="","",Eventos!A87&amp;" | "&amp;Eventos!B87)</f>
        <v/>
      </c>
      <c r="K87" t="s">
        <v>1872</v>
      </c>
    </row>
    <row r="88" spans="1:12">
      <c r="A88" t="str">
        <f>IF(Productos!A88="","",Productos!A88&amp;" | "&amp;Productos!B88)</f>
        <v>P0087 | Counter Blanco Alto</v>
      </c>
      <c r="H88" t="str">
        <f>IF(Eventos!A88="","",Eventos!A88&amp;" | "&amp;Eventos!B88)</f>
        <v/>
      </c>
      <c r="K88" t="s">
        <v>1873</v>
      </c>
    </row>
    <row r="89" spans="1:12">
      <c r="A89" t="str">
        <f>IF(Productos!A89="","",Productos!A89&amp;" | "&amp;Productos!B89)</f>
        <v>P0088 | Counter Blanco Bajo</v>
      </c>
      <c r="H89" t="str">
        <f>IF(Eventos!A89="","",Eventos!A89&amp;" | "&amp;Eventos!B89)</f>
        <v/>
      </c>
      <c r="K89" t="s">
        <v>1874</v>
      </c>
    </row>
    <row r="90" spans="1:12">
      <c r="A90" t="str">
        <f>IF(Productos!A90="","",Productos!A90&amp;" | "&amp;Productos!B90)</f>
        <v>P0089 | Cubo Led LedArte</v>
      </c>
      <c r="H90" t="str">
        <f>IF(Eventos!A90="","",Eventos!A90&amp;" | "&amp;Eventos!B90)</f>
        <v/>
      </c>
      <c r="K90" t="s">
        <v>738</v>
      </c>
      <c r="L90" t="s">
        <v>733</v>
      </c>
    </row>
    <row r="91" spans="1:12">
      <c r="A91" t="str">
        <f>IF(Productos!A91="","",Productos!A91&amp;" | "&amp;Productos!B91)</f>
        <v>P0090 | Cubo de truss</v>
      </c>
      <c r="H91" t="str">
        <f>IF(Eventos!A91="","",Eventos!A91&amp;" | "&amp;Eventos!B91)</f>
        <v/>
      </c>
      <c r="K91" t="s">
        <v>1875</v>
      </c>
    </row>
    <row r="92" spans="1:12">
      <c r="A92" t="str">
        <f>IF(Productos!A92="","",Productos!A92&amp;" | "&amp;Productos!B92)</f>
        <v>P0091 | DB TECHNOLOGIES CONTROL 8</v>
      </c>
      <c r="H92" t="str">
        <f>IF(Eventos!A92="","",Eventos!A92&amp;" | "&amp;Eventos!B92)</f>
        <v/>
      </c>
      <c r="K92" t="s">
        <v>1216</v>
      </c>
      <c r="L92" t="s">
        <v>1211</v>
      </c>
    </row>
    <row r="93" spans="1:12">
      <c r="A93" t="str">
        <f>IF(Productos!A93="","",Productos!A93&amp;" | "&amp;Productos!B93)</f>
        <v>P0092 | DB25-PIN LASER</v>
      </c>
      <c r="H93" t="str">
        <f>IF(Eventos!A93="","",Eventos!A93&amp;" | "&amp;Eventos!B93)</f>
        <v/>
      </c>
      <c r="K93" t="s">
        <v>1876</v>
      </c>
    </row>
    <row r="94" spans="1:12">
      <c r="A94" t="str">
        <f>IF(Productos!A94="","",Productos!A94&amp;" | "&amp;Productos!B94)</f>
        <v>P0093 | DOLLY L208</v>
      </c>
      <c r="H94" t="str">
        <f>IF(Eventos!A94="","",Eventos!A94&amp;" | "&amp;Eventos!B94)</f>
        <v/>
      </c>
      <c r="K94" t="s">
        <v>1242</v>
      </c>
      <c r="L94" t="s">
        <v>1237</v>
      </c>
    </row>
    <row r="95" spans="1:12">
      <c r="A95" t="str">
        <f>IF(Productos!A95="","",Productos!A95&amp;" | "&amp;Productos!B95)</f>
        <v>P0094 | DOLLY S318</v>
      </c>
      <c r="H95" t="str">
        <f>IF(Eventos!A95="","",Eventos!A95&amp;" | "&amp;Eventos!B95)</f>
        <v/>
      </c>
      <c r="K95" t="s">
        <v>252</v>
      </c>
      <c r="L95" t="s">
        <v>248</v>
      </c>
    </row>
    <row r="96" spans="1:12">
      <c r="A96" t="str">
        <f>IF(Productos!A96="","",Productos!A96&amp;" | "&amp;Productos!B96)</f>
        <v>P0095 | DSA VIO L208</v>
      </c>
      <c r="H96" t="str">
        <f>IF(Eventos!A96="","",Eventos!A96&amp;" | "&amp;Eventos!B96)</f>
        <v/>
      </c>
      <c r="K96" t="s">
        <v>257</v>
      </c>
      <c r="L96" t="s">
        <v>253</v>
      </c>
    </row>
    <row r="97" spans="1:12">
      <c r="A97" t="str">
        <f>IF(Productos!A97="","",Productos!A97&amp;" | "&amp;Productos!B97)</f>
        <v>P0096 | Dj Booth</v>
      </c>
      <c r="H97" t="str">
        <f>IF(Eventos!A97="","",Eventos!A97&amp;" | "&amp;Eventos!B97)</f>
        <v/>
      </c>
      <c r="K97" t="s">
        <v>502</v>
      </c>
      <c r="L97" t="s">
        <v>497</v>
      </c>
    </row>
    <row r="98" spans="1:12">
      <c r="A98" t="str">
        <f>IF(Productos!A98="","",Productos!A98&amp;" | "&amp;Productos!B98)</f>
        <v>P0097 | Dracast</v>
      </c>
      <c r="H98" t="str">
        <f>IF(Eventos!A98="","",Eventos!A98&amp;" | "&amp;Eventos!B98)</f>
        <v/>
      </c>
      <c r="K98" t="s">
        <v>604</v>
      </c>
      <c r="L98" t="s">
        <v>600</v>
      </c>
    </row>
    <row r="99" spans="1:12">
      <c r="A99" t="str">
        <f>IF(Productos!A99="","",Productos!A99&amp;" | "&amp;Productos!B99)</f>
        <v>P0098 | Driver IC REPUESTO</v>
      </c>
      <c r="H99" t="str">
        <f>IF(Eventos!A99="","",Eventos!A99&amp;" | "&amp;Eventos!B99)</f>
        <v/>
      </c>
      <c r="K99" t="s">
        <v>1877</v>
      </c>
    </row>
    <row r="100" spans="1:12">
      <c r="A100" t="str">
        <f>IF(Productos!A100="","",Productos!A100&amp;" | "&amp;Productos!B100)</f>
        <v>P0099 | EXTENDER XLR (IN-OUT)</v>
      </c>
      <c r="H100" t="str">
        <f>IF(Eventos!A100="","",Eventos!A100&amp;" | "&amp;Eventos!B100)</f>
        <v/>
      </c>
      <c r="K100" t="s">
        <v>1305</v>
      </c>
      <c r="L100" t="s">
        <v>1301</v>
      </c>
    </row>
    <row r="101" spans="1:12">
      <c r="A101" t="str">
        <f>IF(Productos!A101="","",Productos!A101&amp;" | "&amp;Productos!B101)</f>
        <v>P0100 | Escalador LVP 100</v>
      </c>
      <c r="H101" t="str">
        <f>IF(Eventos!A101="","",Eventos!A101&amp;" | "&amp;Eventos!B101)</f>
        <v/>
      </c>
      <c r="K101" t="s">
        <v>1717</v>
      </c>
      <c r="L101" t="s">
        <v>1713</v>
      </c>
    </row>
    <row r="102" spans="1:12">
      <c r="A102" t="str">
        <f>IF(Productos!A102="","",Productos!A102&amp;" | "&amp;Productos!B102)</f>
        <v>P0101 | Escalador Piso Interactivo Novastar 4K</v>
      </c>
      <c r="H102" t="str">
        <f>IF(Eventos!A102="","",Eventos!A102&amp;" | "&amp;Eventos!B102)</f>
        <v/>
      </c>
      <c r="K102" t="s">
        <v>1735</v>
      </c>
      <c r="L102" t="s">
        <v>1731</v>
      </c>
    </row>
    <row r="103" spans="1:12">
      <c r="A103" t="str">
        <f>IF(Productos!A103="","",Productos!A103&amp;" | "&amp;Productos!B103)</f>
        <v>P0102 | Esfera Led Grande LedArte</v>
      </c>
      <c r="H103" t="str">
        <f>IF(Eventos!A103="","",Eventos!A103&amp;" | "&amp;Eventos!B103)</f>
        <v/>
      </c>
      <c r="K103" t="s">
        <v>1742</v>
      </c>
      <c r="L103" t="s">
        <v>1738</v>
      </c>
    </row>
    <row r="104" spans="1:12">
      <c r="A104" t="str">
        <f>IF(Productos!A104="","",Productos!A104&amp;" | "&amp;Productos!B104)</f>
        <v>P0103 | Esfera Led Mediana LedArte</v>
      </c>
      <c r="H104" t="str">
        <f>IF(Eventos!A104="","",Eventos!A104&amp;" | "&amp;Eventos!B104)</f>
        <v/>
      </c>
      <c r="K104" t="s">
        <v>1726</v>
      </c>
      <c r="L104" t="s">
        <v>1722</v>
      </c>
    </row>
    <row r="105" spans="1:12">
      <c r="A105" t="str">
        <f>IF(Productos!A105="","",Productos!A105&amp;" | "&amp;Productos!B105)</f>
        <v>P0104 | Esfera Led Pequeña LedArte</v>
      </c>
      <c r="H105" t="str">
        <f>IF(Eventos!A105="","",Eventos!A105&amp;" | "&amp;Eventos!B105)</f>
        <v/>
      </c>
      <c r="K105" t="s">
        <v>1878</v>
      </c>
    </row>
    <row r="106" spans="1:12">
      <c r="A106" t="str">
        <f>IF(Productos!A106="","",Productos!A106&amp;" | "&amp;Productos!B106)</f>
        <v>P0105 | Estabilizador DJI Ronin</v>
      </c>
      <c r="H106" t="str">
        <f>IF(Eventos!A106="","",Eventos!A106&amp;" | "&amp;Eventos!B106)</f>
        <v/>
      </c>
      <c r="K106" t="s">
        <v>1879</v>
      </c>
    </row>
    <row r="107" spans="1:12">
      <c r="A107" t="str">
        <f>IF(Productos!A107="","",Productos!A107&amp;" | "&amp;Productos!B107)</f>
        <v>P0106 | Extender Orei EXB400</v>
      </c>
      <c r="H107" t="str">
        <f>IF(Eventos!A107="","",Eventos!A107&amp;" | "&amp;Eventos!B107)</f>
        <v/>
      </c>
      <c r="K107" t="s">
        <v>1880</v>
      </c>
    </row>
    <row r="108" spans="1:12">
      <c r="A108" t="str">
        <f>IF(Productos!A108="","",Productos!A108&amp;" | "&amp;Productos!B108)</f>
        <v>P0107 | Extensiones Chinas</v>
      </c>
      <c r="H108" t="str">
        <f>IF(Eventos!A108="","",Eventos!A108&amp;" | "&amp;Eventos!B108)</f>
        <v/>
      </c>
      <c r="K108" t="s">
        <v>1881</v>
      </c>
    </row>
    <row r="109" spans="1:12">
      <c r="A109" t="str">
        <f>IF(Productos!A109="","",Productos!A109&amp;" | "&amp;Productos!B109)</f>
        <v>P0108 | Extensiones Toma 4</v>
      </c>
      <c r="H109" t="str">
        <f>IF(Eventos!A109="","",Eventos!A109&amp;" | "&amp;Eventos!B109)</f>
        <v/>
      </c>
      <c r="K109" t="s">
        <v>199</v>
      </c>
      <c r="L109" t="s">
        <v>195</v>
      </c>
    </row>
    <row r="110" spans="1:12">
      <c r="A110" t="str">
        <f>IF(Productos!A110="","",Productos!A110&amp;" | "&amp;Productos!B110)</f>
        <v>P0109 | Extensor Fibra Óptica Hereta 4k</v>
      </c>
      <c r="H110" t="str">
        <f>IF(Eventos!A110="","",Eventos!A110&amp;" | "&amp;Eventos!B110)</f>
        <v/>
      </c>
      <c r="K110" t="s">
        <v>1882</v>
      </c>
    </row>
    <row r="111" spans="1:12">
      <c r="A111" t="str">
        <f>IF(Productos!A111="","",Productos!A111&amp;" | "&amp;Productos!B111)</f>
        <v>P0110 | Extensor Fibra Óptica KTVM 4K</v>
      </c>
      <c r="H111" t="str">
        <f>IF(Eventos!A111="","",Eventos!A111&amp;" | "&amp;Eventos!B111)</f>
        <v/>
      </c>
      <c r="K111" t="s">
        <v>1883</v>
      </c>
    </row>
    <row r="112" spans="1:12">
      <c r="A112" t="str">
        <f>IF(Productos!A112="","",Productos!A112&amp;" | "&amp;Productos!B112)</f>
        <v>P0111 | Extensor Fibra Óptica Novastar CVT4K-S</v>
      </c>
      <c r="H112" t="str">
        <f>IF(Eventos!A112="","",Eventos!A112&amp;" | "&amp;Eventos!B112)</f>
        <v/>
      </c>
      <c r="K112" t="s">
        <v>787</v>
      </c>
      <c r="L112" t="s">
        <v>783</v>
      </c>
    </row>
    <row r="113" spans="1:12">
      <c r="A113" t="str">
        <f>IF(Productos!A113="","",Productos!A113&amp;" | "&amp;Productos!B113)</f>
        <v>P0112 | FLY BAR VIO L208</v>
      </c>
      <c r="H113" t="str">
        <f>IF(Eventos!A113="","",Eventos!A113&amp;" | "&amp;Eventos!B113)</f>
        <v/>
      </c>
      <c r="K113" t="s">
        <v>678</v>
      </c>
      <c r="L113" t="s">
        <v>673</v>
      </c>
    </row>
    <row r="114" spans="1:12">
      <c r="A114" t="str">
        <f>IF(Productos!A114="","",Productos!A114&amp;" | "&amp;Productos!B114)</f>
        <v>P0113 | FLY BAR VIO L210</v>
      </c>
      <c r="H114" t="str">
        <f>IF(Eventos!A114="","",Eventos!A114&amp;" | "&amp;Eventos!B114)</f>
        <v/>
      </c>
      <c r="K114" t="s">
        <v>1884</v>
      </c>
    </row>
    <row r="115" spans="1:12">
      <c r="A115" t="str">
        <f>IF(Productos!A115="","",Productos!A115&amp;" | "&amp;Productos!B115)</f>
        <v>P0114 | FMX12 MONITOR DE PISO DB TECHNOLOGIES</v>
      </c>
      <c r="H115" t="str">
        <f>IF(Eventos!A115="","",Eventos!A115&amp;" | "&amp;Eventos!B115)</f>
        <v/>
      </c>
      <c r="K115" t="s">
        <v>1885</v>
      </c>
    </row>
    <row r="116" spans="1:12">
      <c r="A116" t="str">
        <f>IF(Productos!A116="","",Productos!A116&amp;" | "&amp;Productos!B116)</f>
        <v>P0115 | Fiber Converter CVT4K-S</v>
      </c>
      <c r="H116" t="str">
        <f>IF(Eventos!A116="","",Eventos!A116&amp;" | "&amp;Eventos!B116)</f>
        <v/>
      </c>
      <c r="K116" t="s">
        <v>971</v>
      </c>
      <c r="L116" t="s">
        <v>967</v>
      </c>
    </row>
    <row r="117" spans="1:12">
      <c r="A117" t="str">
        <f>IF(Productos!A117="","",Productos!A117&amp;" | "&amp;Productos!B117)</f>
        <v>P0116 | Flight Case 8 in 1 ABSEN REPUESTO</v>
      </c>
      <c r="H117" t="str">
        <f>IF(Eventos!A117="","",Eventos!A117&amp;" | "&amp;Eventos!B117)</f>
        <v/>
      </c>
      <c r="K117" t="s">
        <v>1886</v>
      </c>
    </row>
    <row r="118" spans="1:12">
      <c r="A118" t="str">
        <f>IF(Productos!A118="","",Productos!A118&amp;" | "&amp;Productos!B118)</f>
        <v>P0117 | Flight Case p/Bumper 16 in 1 ABSEN REPUESTO</v>
      </c>
      <c r="H118" t="str">
        <f>IF(Eventos!A118="","",Eventos!A118&amp;" | "&amp;Eventos!B118)</f>
        <v/>
      </c>
      <c r="K118" t="s">
        <v>1247</v>
      </c>
      <c r="L118" t="s">
        <v>1243</v>
      </c>
    </row>
    <row r="119" spans="1:12">
      <c r="A119" t="str">
        <f>IF(Productos!A119="","",Productos!A119&amp;" | "&amp;Productos!B119)</f>
        <v>P0118 | Frame Bumper PL-DW ABSEN REPUESTO</v>
      </c>
      <c r="H119" t="str">
        <f>IF(Eventos!A119="","",Eventos!A119&amp;" | "&amp;Eventos!B119)</f>
        <v/>
      </c>
      <c r="K119" t="s">
        <v>792</v>
      </c>
      <c r="L119" t="s">
        <v>788</v>
      </c>
    </row>
    <row r="120" spans="1:12">
      <c r="A120" t="str">
        <f>IF(Productos!A120="","",Productos!A120&amp;" | "&amp;Productos!B120)</f>
        <v>P0119 | Fresnel Grande incandecente</v>
      </c>
      <c r="H120" t="str">
        <f>IF(Eventos!A120="","",Eventos!A120&amp;" | "&amp;Eventos!B120)</f>
        <v/>
      </c>
      <c r="K120" t="s">
        <v>1310</v>
      </c>
      <c r="L120" t="s">
        <v>1306</v>
      </c>
    </row>
    <row r="121" spans="1:12">
      <c r="A121" t="str">
        <f>IF(Productos!A121="","",Productos!A121&amp;" | "&amp;Productos!B121)</f>
        <v>P0120 | Fuente de Alimentación REPUESTO</v>
      </c>
      <c r="H121" t="str">
        <f>IF(Eventos!A121="","",Eventos!A121&amp;" | "&amp;Eventos!B121)</f>
        <v/>
      </c>
      <c r="K121" t="s">
        <v>770</v>
      </c>
      <c r="L121" t="s">
        <v>766</v>
      </c>
    </row>
    <row r="122" spans="1:12">
      <c r="A122" t="str">
        <f>IF(Productos!A122="","",Productos!A122&amp;" | "&amp;Productos!B122)</f>
        <v>P0121 | Fuente de Alimentación REPUESTO</v>
      </c>
      <c r="H122" t="str">
        <f>IF(Eventos!A122="","",Eventos!A122&amp;" | "&amp;Eventos!B122)</f>
        <v/>
      </c>
      <c r="K122" t="s">
        <v>949</v>
      </c>
      <c r="L122" t="s">
        <v>944</v>
      </c>
    </row>
    <row r="123" spans="1:12">
      <c r="A123" t="str">
        <f>IF(Productos!A123="","",Productos!A123&amp;" | "&amp;Productos!B123)</f>
        <v>P0122 | Fuente de poder 3d floor dance</v>
      </c>
      <c r="H123" t="str">
        <f>IF(Eventos!A123="","",Eventos!A123&amp;" | "&amp;Eventos!B123)</f>
        <v/>
      </c>
      <c r="K123" t="s">
        <v>1887</v>
      </c>
    </row>
    <row r="124" spans="1:12">
      <c r="A124" t="str">
        <f>IF(Productos!A124="","",Productos!A124&amp;" | "&amp;Productos!B124)</f>
        <v>P0123 | Galon de Cumulus hp</v>
      </c>
      <c r="H124" t="str">
        <f>IF(Eventos!A124="","",Eventos!A124&amp;" | "&amp;Eventos!B124)</f>
        <v/>
      </c>
      <c r="K124" t="s">
        <v>1888</v>
      </c>
    </row>
    <row r="125" spans="1:12">
      <c r="A125" t="str">
        <f>IF(Productos!A125="","",Productos!A125&amp;" | "&amp;Productos!B125)</f>
        <v>P0124 | Galon de Entour Venue</v>
      </c>
      <c r="H125" t="str">
        <f>IF(Eventos!A125="","",Eventos!A125&amp;" | "&amp;Eventos!B125)</f>
        <v/>
      </c>
      <c r="K125" t="s">
        <v>1015</v>
      </c>
      <c r="L125" t="s">
        <v>1011</v>
      </c>
    </row>
    <row r="126" spans="1:12">
      <c r="A126" t="str">
        <f>IF(Productos!A126="","",Productos!A126&amp;" | "&amp;Productos!B126)</f>
        <v>P0125 | Galon de Jett fury</v>
      </c>
      <c r="H126" t="str">
        <f>IF(Eventos!A126="","",Eventos!A126&amp;" | "&amp;Eventos!B126)</f>
        <v/>
      </c>
      <c r="K126" t="s">
        <v>1020</v>
      </c>
      <c r="L126" t="s">
        <v>1016</v>
      </c>
    </row>
    <row r="127" spans="1:12">
      <c r="A127" t="str">
        <f>IF(Productos!A127="","",Productos!A127&amp;" | "&amp;Productos!B127)</f>
        <v>P0126 | Galon de Martin</v>
      </c>
      <c r="H127" t="str">
        <f>IF(Eventos!A127="","",Eventos!A127&amp;" | "&amp;Eventos!B127)</f>
        <v/>
      </c>
      <c r="K127" t="s">
        <v>111</v>
      </c>
      <c r="L127" t="s">
        <v>106</v>
      </c>
    </row>
    <row r="128" spans="1:12">
      <c r="A128" t="str">
        <f>IF(Productos!A128="","",Productos!A128&amp;" | "&amp;Productos!B128)</f>
        <v>P0127 | Gobos Led</v>
      </c>
      <c r="H128" t="str">
        <f>IF(Eventos!A128="","",Eventos!A128&amp;" | "&amp;Eventos!B128)</f>
        <v/>
      </c>
      <c r="K128" t="s">
        <v>116</v>
      </c>
      <c r="L128" t="s">
        <v>112</v>
      </c>
    </row>
    <row r="129" spans="1:12">
      <c r="A129" t="str">
        <f>IF(Productos!A129="","",Productos!A129&amp;" | "&amp;Productos!B129)</f>
        <v>P0128 | Grabador SD Blackmagic</v>
      </c>
      <c r="H129" t="str">
        <f>IF(Eventos!A129="","",Eventos!A129&amp;" | "&amp;Eventos!B129)</f>
        <v/>
      </c>
      <c r="K129" t="s">
        <v>1029</v>
      </c>
      <c r="L129" t="s">
        <v>1025</v>
      </c>
    </row>
    <row r="130" spans="1:12">
      <c r="A130" t="str">
        <f>IF(Productos!A130="","",Productos!A130&amp;" | "&amp;Productos!B130)</f>
        <v>P0129 | Green set ChromaKey</v>
      </c>
      <c r="H130" t="str">
        <f>IF(Eventos!A130="","",Eventos!A130&amp;" | "&amp;Eventos!B130)</f>
        <v/>
      </c>
      <c r="K130" t="s">
        <v>1001</v>
      </c>
      <c r="L130" t="s">
        <v>997</v>
      </c>
    </row>
    <row r="131" spans="1:12">
      <c r="A131" t="str">
        <f>IF(Productos!A131="","",Productos!A131&amp;" | "&amp;Productos!B131)</f>
        <v>P0130 | H2</v>
      </c>
      <c r="H131" t="str">
        <f>IF(Eventos!A131="","",Eventos!A131&amp;" | "&amp;Eventos!B131)</f>
        <v/>
      </c>
      <c r="K131" t="s">
        <v>956</v>
      </c>
      <c r="L131" t="s">
        <v>952</v>
      </c>
    </row>
    <row r="132" spans="1:12">
      <c r="A132" t="str">
        <f>IF(Productos!A132="","",Productos!A132&amp;" | "&amp;Productos!B132)</f>
        <v>P0131 | H5</v>
      </c>
      <c r="H132" t="str">
        <f>IF(Eventos!A132="","",Eventos!A132&amp;" | "&amp;Eventos!B132)</f>
        <v/>
      </c>
      <c r="K132" t="s">
        <v>1889</v>
      </c>
    </row>
    <row r="133" spans="1:12">
      <c r="A133" t="str">
        <f>IF(Productos!A133="","",Productos!A133&amp;" | "&amp;Productos!B133)</f>
        <v>P0132 | H5 Gabinete REPUESTO</v>
      </c>
      <c r="H133" t="str">
        <f>IF(Eventos!A133="","",Eventos!A133&amp;" | "&amp;Eventos!B133)</f>
        <v/>
      </c>
      <c r="K133" t="s">
        <v>1006</v>
      </c>
      <c r="L133" t="s">
        <v>1002</v>
      </c>
    </row>
    <row r="134" spans="1:12">
      <c r="A134" t="str">
        <f>IF(Productos!A134="","",Productos!A134&amp;" | "&amp;Productos!B134)</f>
        <v>P0133 | HDMI Extender RX</v>
      </c>
      <c r="H134" t="str">
        <f>IF(Eventos!A134="","",Eventos!A134&amp;" | "&amp;Eventos!B134)</f>
        <v/>
      </c>
      <c r="K134" t="s">
        <v>1333</v>
      </c>
      <c r="L134" t="s">
        <v>1329</v>
      </c>
    </row>
    <row r="135" spans="1:12">
      <c r="A135" t="str">
        <f>IF(Productos!A135="","",Productos!A135&amp;" | "&amp;Productos!B135)</f>
        <v>P0134 | Headset EW G4</v>
      </c>
      <c r="H135" t="str">
        <f>IF(Eventos!A135="","",Eventos!A135&amp;" | "&amp;Eventos!B135)</f>
        <v/>
      </c>
      <c r="K135" t="s">
        <v>1300</v>
      </c>
      <c r="L135" t="s">
        <v>1296</v>
      </c>
    </row>
    <row r="136" spans="1:12">
      <c r="A136" t="str">
        <f>IF(Productos!A136="","",Productos!A136&amp;" | "&amp;Productos!B136)</f>
        <v>P0135 | Ilda Control Box DB25</v>
      </c>
      <c r="H136" t="str">
        <f>IF(Eventos!A136="","",Eventos!A136&amp;" | "&amp;Eventos!B136)</f>
        <v/>
      </c>
      <c r="K136" t="s">
        <v>1346</v>
      </c>
      <c r="L136" t="s">
        <v>1342</v>
      </c>
    </row>
    <row r="137" spans="1:12">
      <c r="A137" t="str">
        <f>IF(Productos!A137="","",Productos!A137&amp;" | "&amp;Productos!B137)</f>
        <v>P0136 | Input Card HDMI2.0 REPUESTO</v>
      </c>
      <c r="H137" t="str">
        <f>IF(Eventos!A137="","",Eventos!A137&amp;" | "&amp;Eventos!B137)</f>
        <v/>
      </c>
      <c r="K137" t="s">
        <v>1890</v>
      </c>
    </row>
    <row r="138" spans="1:12">
      <c r="A138" t="str">
        <f>IF(Productos!A138="","",Productos!A138&amp;" | "&amp;Productos!B138)</f>
        <v>P0137 | Interface MyDmx 3.0</v>
      </c>
      <c r="H138" t="str">
        <f>IF(Eventos!A138="","",Eventos!A138&amp;" | "&amp;Eventos!B138)</f>
        <v/>
      </c>
      <c r="K138" t="s">
        <v>966</v>
      </c>
      <c r="L138" t="s">
        <v>962</v>
      </c>
    </row>
    <row r="139" spans="1:12">
      <c r="A139" t="str">
        <f>IF(Productos!A139="","",Productos!A139&amp;" | "&amp;Productos!B139)</f>
        <v>P0138 | Interface MyDmx RM</v>
      </c>
      <c r="H139" t="str">
        <f>IF(Eventos!A139="","",Eventos!A139&amp;" | "&amp;Eventos!B139)</f>
        <v/>
      </c>
      <c r="K139" t="s">
        <v>961</v>
      </c>
      <c r="L139" t="s">
        <v>957</v>
      </c>
    </row>
    <row r="140" spans="1:12">
      <c r="A140" t="str">
        <f>IF(Productos!A140="","",Productos!A140&amp;" | "&amp;Productos!B140)</f>
        <v>P0139 | Interface Onyx mx</v>
      </c>
      <c r="H140" t="str">
        <f>IF(Eventos!A140="","",Eventos!A140&amp;" | "&amp;Eventos!B140)</f>
        <v/>
      </c>
      <c r="K140" t="s">
        <v>1891</v>
      </c>
    </row>
    <row r="141" spans="1:12">
      <c r="A141" t="str">
        <f>IF(Productos!A141="","",Productos!A141&amp;" | "&amp;Productos!B141)</f>
        <v>P0140 | Intidimator Beam 140SR</v>
      </c>
      <c r="H141" t="str">
        <f>IF(Eventos!A141="","",Eventos!A141&amp;" | "&amp;Eventos!B141)</f>
        <v/>
      </c>
      <c r="K141" t="s">
        <v>1892</v>
      </c>
    </row>
    <row r="142" spans="1:12">
      <c r="A142" t="str">
        <f>IF(Productos!A142="","",Productos!A142&amp;" | "&amp;Productos!B142)</f>
        <v>P0141 | Jem compact Hazer</v>
      </c>
      <c r="H142" t="str">
        <f>IF(Eventos!A142="","",Eventos!A142&amp;" | "&amp;Eventos!B142)</f>
        <v/>
      </c>
      <c r="K142" t="s">
        <v>1893</v>
      </c>
    </row>
    <row r="143" spans="1:12">
      <c r="A143" t="str">
        <f>IF(Productos!A143="","",Productos!A143&amp;" | "&amp;Productos!B143)</f>
        <v>P0142 | Kit Fusionadora de Fibra Óptica</v>
      </c>
      <c r="H143" t="str">
        <f>IF(Eventos!A143="","",Eventos!A143&amp;" | "&amp;Eventos!B143)</f>
        <v/>
      </c>
      <c r="K143" t="s">
        <v>1894</v>
      </c>
    </row>
    <row r="144" spans="1:12">
      <c r="A144" t="str">
        <f>IF(Productos!A144="","",Productos!A144&amp;" | "&amp;Productos!B144)</f>
        <v>P0143 | LASER D1 20W</v>
      </c>
      <c r="H144" t="str">
        <f>IF(Eventos!A144="","",Eventos!A144&amp;" | "&amp;Eventos!B144)</f>
        <v/>
      </c>
      <c r="K144" t="s">
        <v>1895</v>
      </c>
    </row>
    <row r="145" spans="1:12">
      <c r="A145" t="str">
        <f>IF(Productos!A145="","",Productos!A145&amp;" | "&amp;Productos!B145)</f>
        <v>P0144 | LED Software Nova REPUESTO</v>
      </c>
      <c r="H145" t="str">
        <f>IF(Eventos!A145="","",Eventos!A145&amp;" | "&amp;Eventos!B145)</f>
        <v/>
      </c>
      <c r="K145" t="s">
        <v>1896</v>
      </c>
    </row>
    <row r="146" spans="1:12">
      <c r="A146" t="str">
        <f>IF(Productos!A146="","",Productos!A146&amp;" | "&amp;Productos!B146)</f>
        <v>P0145 | Laptop blanca</v>
      </c>
      <c r="H146" t="str">
        <f>IF(Eventos!A146="","",Eventos!A146&amp;" | "&amp;Eventos!B146)</f>
        <v/>
      </c>
      <c r="K146" t="s">
        <v>1897</v>
      </c>
    </row>
    <row r="147" spans="1:12">
      <c r="A147" t="str">
        <f>IF(Productos!A147="","",Productos!A147&amp;" | "&amp;Productos!B147)</f>
        <v>P0146 | Laser 20W</v>
      </c>
      <c r="H147" t="str">
        <f>IF(Eventos!A147="","",Eventos!A147&amp;" | "&amp;Eventos!B147)</f>
        <v/>
      </c>
      <c r="K147" t="s">
        <v>184</v>
      </c>
      <c r="L147" t="s">
        <v>179</v>
      </c>
    </row>
    <row r="148" spans="1:12">
      <c r="A148" t="str">
        <f>IF(Productos!A148="","",Productos!A148&amp;" | "&amp;Productos!B148)</f>
        <v>P0147 | Laser M10-10W</v>
      </c>
      <c r="H148" t="str">
        <f>IF(Eventos!A148="","",Eventos!A148&amp;" | "&amp;Eventos!B148)</f>
        <v/>
      </c>
      <c r="K148" t="s">
        <v>189</v>
      </c>
      <c r="L148" t="s">
        <v>185</v>
      </c>
    </row>
    <row r="149" spans="1:12">
      <c r="A149" t="str">
        <f>IF(Productos!A149="","",Productos!A149&amp;" | "&amp;Productos!B149)</f>
        <v>P0148 | Laser RGB moving head 10W</v>
      </c>
      <c r="H149" t="str">
        <f>IF(Eventos!A149="","",Eventos!A149&amp;" | "&amp;Eventos!B149)</f>
        <v/>
      </c>
      <c r="K149" t="s">
        <v>732</v>
      </c>
      <c r="L149" t="s">
        <v>728</v>
      </c>
    </row>
    <row r="150" spans="1:12">
      <c r="A150" t="str">
        <f>IF(Productos!A150="","",Productos!A150&amp;" | "&amp;Productos!B150)</f>
        <v>P0149 | Laser Sixscan laser bar 18W</v>
      </c>
      <c r="H150" t="str">
        <f>IF(Eventos!A150="","",Eventos!A150&amp;" | "&amp;Eventos!B150)</f>
        <v/>
      </c>
      <c r="K150" t="s">
        <v>1052</v>
      </c>
      <c r="L150" t="s">
        <v>1048</v>
      </c>
    </row>
    <row r="151" spans="1:12">
      <c r="A151" t="str">
        <f>IF(Productos!A151="","",Productos!A151&amp;" | "&amp;Productos!B151)</f>
        <v>P0150 | Lata Grande LedArte</v>
      </c>
      <c r="H151" t="str">
        <f>IF(Eventos!A151="","",Eventos!A151&amp;" | "&amp;Eventos!B151)</f>
        <v/>
      </c>
      <c r="K151" t="s">
        <v>1898</v>
      </c>
    </row>
    <row r="152" spans="1:12">
      <c r="A152" t="str">
        <f>IF(Productos!A152="","",Productos!A152&amp;" | "&amp;Productos!B152)</f>
        <v>P0151 | Lata Pequeña LedArte</v>
      </c>
      <c r="H152" t="str">
        <f>IF(Eventos!A152="","",Eventos!A152&amp;" | "&amp;Eventos!B152)</f>
        <v/>
      </c>
      <c r="K152" t="s">
        <v>1899</v>
      </c>
    </row>
    <row r="153" spans="1:12">
      <c r="A153" t="str">
        <f>IF(Productos!A153="","",Productos!A153&amp;" | "&amp;Productos!B153)</f>
        <v>P0152 | Led 36x3W (grandes)</v>
      </c>
      <c r="H153" t="str">
        <f>IF(Eventos!A153="","",Eventos!A153&amp;" | "&amp;Eventos!B153)</f>
        <v/>
      </c>
      <c r="K153" t="s">
        <v>1900</v>
      </c>
    </row>
    <row r="154" spans="1:12">
      <c r="A154" t="str">
        <f>IF(Productos!A154="","",Productos!A154&amp;" | "&amp;Productos!B154)</f>
        <v>P0153 | Led LED FLAT 18x10 (chicas)</v>
      </c>
      <c r="H154" t="str">
        <f>IF(Eventos!A154="","",Eventos!A154&amp;" | "&amp;Eventos!B154)</f>
        <v/>
      </c>
      <c r="K154" t="s">
        <v>1901</v>
      </c>
    </row>
    <row r="155" spans="1:12">
      <c r="A155" t="str">
        <f>IF(Productos!A155="","",Productos!A155&amp;" | "&amp;Productos!B155)</f>
        <v>P0154 | Led Pixel Infinite FAN de Colores</v>
      </c>
      <c r="H155" t="str">
        <f>IF(Eventos!A155="","",Eventos!A155&amp;" | "&amp;Eventos!B155)</f>
        <v/>
      </c>
      <c r="K155" t="s">
        <v>1902</v>
      </c>
    </row>
    <row r="156" spans="1:12">
      <c r="A156" t="str">
        <f>IF(Productos!A156="","",Productos!A156&amp;" | "&amp;Productos!B156)</f>
        <v>P0155 | Leko Led</v>
      </c>
      <c r="H156" t="str">
        <f>IF(Eventos!A156="","",Eventos!A156&amp;" | "&amp;Eventos!B156)</f>
        <v/>
      </c>
      <c r="K156" t="s">
        <v>1903</v>
      </c>
    </row>
    <row r="157" spans="1:12">
      <c r="A157" t="str">
        <f>IF(Productos!A157="","",Productos!A157&amp;" | "&amp;Productos!B157)</f>
        <v>P0156 | LetraLed "0" LedArte</v>
      </c>
      <c r="H157" t="str">
        <f>IF(Eventos!A157="","",Eventos!A157&amp;" | "&amp;Eventos!B157)</f>
        <v/>
      </c>
      <c r="K157" t="s">
        <v>1904</v>
      </c>
    </row>
    <row r="158" spans="1:12">
      <c r="A158" t="str">
        <f>IF(Productos!A158="","",Productos!A158&amp;" | "&amp;Productos!B158)</f>
        <v>P0157 | LetraLed "1" LedArte</v>
      </c>
      <c r="H158" t="str">
        <f>IF(Eventos!A158="","",Eventos!A158&amp;" | "&amp;Eventos!B158)</f>
        <v/>
      </c>
      <c r="K158" t="s">
        <v>1905</v>
      </c>
    </row>
    <row r="159" spans="1:12">
      <c r="A159" t="str">
        <f>IF(Productos!A159="","",Productos!A159&amp;" | "&amp;Productos!B159)</f>
        <v>P0158 | LetraLed "2" LedArte</v>
      </c>
      <c r="H159" t="str">
        <f>IF(Eventos!A159="","",Eventos!A159&amp;" | "&amp;Eventos!B159)</f>
        <v/>
      </c>
      <c r="K159" t="s">
        <v>1906</v>
      </c>
    </row>
    <row r="160" spans="1:12">
      <c r="A160" t="str">
        <f>IF(Productos!A160="","",Productos!A160&amp;" | "&amp;Productos!B160)</f>
        <v>P0159 | LetraLed "3" LedArte</v>
      </c>
      <c r="H160" t="str">
        <f>IF(Eventos!A160="","",Eventos!A160&amp;" | "&amp;Eventos!B160)</f>
        <v/>
      </c>
      <c r="K160" t="s">
        <v>1124</v>
      </c>
      <c r="L160" t="s">
        <v>1119</v>
      </c>
    </row>
    <row r="161" spans="1:12">
      <c r="A161" t="str">
        <f>IF(Productos!A161="","",Productos!A161&amp;" | "&amp;Productos!B161)</f>
        <v>P0160 | LetraLed "4" LedArte</v>
      </c>
      <c r="H161" t="str">
        <f>IF(Eventos!A161="","",Eventos!A161&amp;" | "&amp;Eventos!B161)</f>
        <v/>
      </c>
      <c r="K161" t="s">
        <v>385</v>
      </c>
      <c r="L161" t="s">
        <v>381</v>
      </c>
    </row>
    <row r="162" spans="1:12">
      <c r="A162" t="str">
        <f>IF(Productos!A162="","",Productos!A162&amp;" | "&amp;Productos!B162)</f>
        <v>P0161 | LetraLed "5" LedArte</v>
      </c>
      <c r="H162" t="str">
        <f>IF(Eventos!A162="","",Eventos!A162&amp;" | "&amp;Eventos!B162)</f>
        <v/>
      </c>
      <c r="K162" t="s">
        <v>1907</v>
      </c>
    </row>
    <row r="163" spans="1:12">
      <c r="A163" t="str">
        <f>IF(Productos!A163="","",Productos!A163&amp;" | "&amp;Productos!B163)</f>
        <v>P0162 | LetraLed "6" LedArte</v>
      </c>
      <c r="H163" t="str">
        <f>IF(Eventos!A163="","",Eventos!A163&amp;" | "&amp;Eventos!B163)</f>
        <v/>
      </c>
      <c r="K163" t="s">
        <v>1279</v>
      </c>
      <c r="L163" t="s">
        <v>1275</v>
      </c>
    </row>
    <row r="164" spans="1:12">
      <c r="A164" t="str">
        <f>IF(Productos!A164="","",Productos!A164&amp;" | "&amp;Productos!B164)</f>
        <v>P0163 | LetraLed "7" LedArte</v>
      </c>
      <c r="H164" t="str">
        <f>IF(Eventos!A164="","",Eventos!A164&amp;" | "&amp;Eventos!B164)</f>
        <v/>
      </c>
      <c r="K164" t="s">
        <v>1284</v>
      </c>
      <c r="L164" t="s">
        <v>1280</v>
      </c>
    </row>
    <row r="165" spans="1:12">
      <c r="A165" t="str">
        <f>IF(Productos!A165="","",Productos!A165&amp;" | "&amp;Productos!B165)</f>
        <v>P0164 | LetraLed "8" LedArte</v>
      </c>
      <c r="H165" t="str">
        <f>IF(Eventos!A165="","",Eventos!A165&amp;" | "&amp;Eventos!B165)</f>
        <v/>
      </c>
      <c r="K165" t="s">
        <v>1289</v>
      </c>
      <c r="L165" t="s">
        <v>1285</v>
      </c>
    </row>
    <row r="166" spans="1:12">
      <c r="A166" t="str">
        <f>IF(Productos!A166="","",Productos!A166&amp;" | "&amp;Productos!B166)</f>
        <v>P0165 | LetraLed "9" LedArte</v>
      </c>
      <c r="H166" t="str">
        <f>IF(Eventos!A166="","",Eventos!A166&amp;" | "&amp;Eventos!B166)</f>
        <v/>
      </c>
      <c r="K166" t="s">
        <v>1295</v>
      </c>
      <c r="L166" t="s">
        <v>1290</v>
      </c>
    </row>
    <row r="167" spans="1:12">
      <c r="A167" t="str">
        <f>IF(Productos!A167="","",Productos!A167&amp;" | "&amp;Productos!B167)</f>
        <v>P0166 | LetraLed "A" LedArte</v>
      </c>
      <c r="H167" t="str">
        <f>IF(Eventos!A167="","",Eventos!A167&amp;" | "&amp;Eventos!B167)</f>
        <v/>
      </c>
      <c r="K167" t="s">
        <v>218</v>
      </c>
      <c r="L167" t="s">
        <v>214</v>
      </c>
    </row>
    <row r="168" spans="1:12">
      <c r="A168" t="str">
        <f>IF(Productos!A168="","",Productos!A168&amp;" | "&amp;Productos!B168)</f>
        <v>P0167 | LetraLed "B" LedArte</v>
      </c>
      <c r="H168" t="str">
        <f>IF(Eventos!A168="","",Eventos!A168&amp;" | "&amp;Eventos!B168)</f>
        <v/>
      </c>
      <c r="K168" t="s">
        <v>555</v>
      </c>
      <c r="L168" t="s">
        <v>550</v>
      </c>
    </row>
    <row r="169" spans="1:12">
      <c r="A169" t="str">
        <f>IF(Productos!A169="","",Productos!A169&amp;" | "&amp;Productos!B169)</f>
        <v>P0168 | LetraLed "C" LedArte</v>
      </c>
      <c r="H169" t="str">
        <f>IF(Eventos!A169="","",Eventos!A169&amp;" | "&amp;Eventos!B169)</f>
        <v/>
      </c>
      <c r="K169" t="s">
        <v>797</v>
      </c>
      <c r="L169" t="s">
        <v>793</v>
      </c>
    </row>
    <row r="170" spans="1:12">
      <c r="A170" t="str">
        <f>IF(Productos!A170="","",Productos!A170&amp;" | "&amp;Productos!B170)</f>
        <v>P0169 | LetraLed "D" LedArte</v>
      </c>
      <c r="H170" t="str">
        <f>IF(Eventos!A170="","",Eventos!A170&amp;" | "&amp;Eventos!B170)</f>
        <v/>
      </c>
      <c r="K170" t="s">
        <v>641</v>
      </c>
      <c r="L170" t="s">
        <v>637</v>
      </c>
    </row>
    <row r="171" spans="1:12">
      <c r="A171" t="str">
        <f>IF(Productos!A171="","",Productos!A171&amp;" | "&amp;Productos!B171)</f>
        <v>P0170 | LetraLed "E" LedArte</v>
      </c>
      <c r="H171" t="str">
        <f>IF(Eventos!A171="","",Eventos!A171&amp;" | "&amp;Eventos!B171)</f>
        <v/>
      </c>
      <c r="K171" t="s">
        <v>1908</v>
      </c>
    </row>
    <row r="172" spans="1:12">
      <c r="A172" t="str">
        <f>IF(Productos!A172="","",Productos!A172&amp;" | "&amp;Productos!B172)</f>
        <v>P0171 | LetraLed "F" LedArte</v>
      </c>
      <c r="H172" t="str">
        <f>IF(Eventos!A172="","",Eventos!A172&amp;" | "&amp;Eventos!B172)</f>
        <v/>
      </c>
      <c r="K172" t="s">
        <v>1391</v>
      </c>
      <c r="L172" t="s">
        <v>1387</v>
      </c>
    </row>
    <row r="173" spans="1:12">
      <c r="A173" t="str">
        <f>IF(Productos!A173="","",Productos!A173&amp;" | "&amp;Productos!B173)</f>
        <v>P0172 | LetraLed "G" LedArte</v>
      </c>
      <c r="H173" t="str">
        <f>IF(Eventos!A173="","",Eventos!A173&amp;" | "&amp;Eventos!B173)</f>
        <v/>
      </c>
      <c r="K173" t="s">
        <v>1909</v>
      </c>
    </row>
    <row r="174" spans="1:12">
      <c r="A174" t="str">
        <f>IF(Productos!A174="","",Productos!A174&amp;" | "&amp;Productos!B174)</f>
        <v>P0173 | LetraLed "H" LedArte</v>
      </c>
      <c r="H174" t="str">
        <f>IF(Eventos!A174="","",Eventos!A174&amp;" | "&amp;Eventos!B174)</f>
        <v/>
      </c>
      <c r="K174" t="s">
        <v>1910</v>
      </c>
    </row>
    <row r="175" spans="1:12">
      <c r="A175" t="str">
        <f>IF(Productos!A175="","",Productos!A175&amp;" | "&amp;Productos!B175)</f>
        <v>P0174 | LetraLed "I" LedArte</v>
      </c>
      <c r="H175" t="str">
        <f>IF(Eventos!A175="","",Eventos!A175&amp;" | "&amp;Eventos!B175)</f>
        <v/>
      </c>
      <c r="K175" t="s">
        <v>1911</v>
      </c>
    </row>
    <row r="176" spans="1:12">
      <c r="A176" t="str">
        <f>IF(Productos!A176="","",Productos!A176&amp;" | "&amp;Productos!B176)</f>
        <v>P0175 | LetraLed "J" LedArte</v>
      </c>
      <c r="H176" t="str">
        <f>IF(Eventos!A176="","",Eventos!A176&amp;" | "&amp;Eventos!B176)</f>
        <v/>
      </c>
      <c r="K176" t="s">
        <v>1912</v>
      </c>
    </row>
    <row r="177" spans="1:12">
      <c r="A177" t="str">
        <f>IF(Productos!A177="","",Productos!A177&amp;" | "&amp;Productos!B177)</f>
        <v>P0176 | LetraLed "K" LedArte</v>
      </c>
      <c r="H177" t="str">
        <f>IF(Eventos!A177="","",Eventos!A177&amp;" | "&amp;Eventos!B177)</f>
        <v/>
      </c>
      <c r="K177" t="s">
        <v>1913</v>
      </c>
    </row>
    <row r="178" spans="1:12">
      <c r="A178" t="str">
        <f>IF(Productos!A178="","",Productos!A178&amp;" | "&amp;Productos!B178)</f>
        <v>P0177 | LetraLed "L" LedArte</v>
      </c>
      <c r="H178" t="str">
        <f>IF(Eventos!A178="","",Eventos!A178&amp;" | "&amp;Eventos!B178)</f>
        <v/>
      </c>
      <c r="K178" t="s">
        <v>340</v>
      </c>
      <c r="L178" t="s">
        <v>336</v>
      </c>
    </row>
    <row r="179" spans="1:12">
      <c r="A179" t="str">
        <f>IF(Productos!A179="","",Productos!A179&amp;" | "&amp;Productos!B179)</f>
        <v>P0178 | LetraLed "M" LedArte</v>
      </c>
      <c r="H179" t="str">
        <f>IF(Eventos!A179="","",Eventos!A179&amp;" | "&amp;Eventos!B179)</f>
        <v/>
      </c>
      <c r="K179" t="s">
        <v>323</v>
      </c>
      <c r="L179" t="s">
        <v>319</v>
      </c>
    </row>
    <row r="180" spans="1:12">
      <c r="A180" t="str">
        <f>IF(Productos!A180="","",Productos!A180&amp;" | "&amp;Productos!B180)</f>
        <v>P0179 | LetraLed "N" LedArte</v>
      </c>
      <c r="H180" t="str">
        <f>IF(Eventos!A180="","",Eventos!A180&amp;" | "&amp;Eventos!B180)</f>
        <v/>
      </c>
      <c r="K180" t="s">
        <v>318</v>
      </c>
      <c r="L180" t="s">
        <v>313</v>
      </c>
    </row>
    <row r="181" spans="1:12">
      <c r="A181" t="str">
        <f>IF(Productos!A181="","",Productos!A181&amp;" | "&amp;Productos!B181)</f>
        <v>P0180 | LetraLed "O" LedArte</v>
      </c>
      <c r="H181" t="str">
        <f>IF(Eventos!A181="","",Eventos!A181&amp;" | "&amp;Eventos!B181)</f>
        <v/>
      </c>
      <c r="K181" t="s">
        <v>345</v>
      </c>
      <c r="L181" t="s">
        <v>341</v>
      </c>
    </row>
    <row r="182" spans="1:12">
      <c r="A182" t="str">
        <f>IF(Productos!A182="","",Productos!A182&amp;" | "&amp;Productos!B182)</f>
        <v>P0181 | LetraLed "P" LedArte</v>
      </c>
      <c r="H182" t="str">
        <f>IF(Eventos!A182="","",Eventos!A182&amp;" | "&amp;Eventos!B182)</f>
        <v/>
      </c>
      <c r="K182" t="s">
        <v>350</v>
      </c>
      <c r="L182" t="s">
        <v>346</v>
      </c>
    </row>
    <row r="183" spans="1:12">
      <c r="A183" t="str">
        <f>IF(Productos!A183="","",Productos!A183&amp;" | "&amp;Productos!B183)</f>
        <v>P0182 | LetraLed "Q" LedArte</v>
      </c>
      <c r="H183" t="str">
        <f>IF(Eventos!A183="","",Eventos!A183&amp;" | "&amp;Eventos!B183)</f>
        <v/>
      </c>
      <c r="K183" t="s">
        <v>247</v>
      </c>
      <c r="L183" t="s">
        <v>242</v>
      </c>
    </row>
    <row r="184" spans="1:12">
      <c r="A184" t="str">
        <f>IF(Productos!A184="","",Productos!A184&amp;" | "&amp;Productos!B184)</f>
        <v>P0183 | LetraLed "R" LedArte</v>
      </c>
      <c r="H184" t="str">
        <f>IF(Eventos!A184="","",Eventos!A184&amp;" | "&amp;Eventos!B184)</f>
        <v/>
      </c>
      <c r="K184" t="s">
        <v>589</v>
      </c>
      <c r="L184" t="s">
        <v>584</v>
      </c>
    </row>
    <row r="185" spans="1:12">
      <c r="A185" t="str">
        <f>IF(Productos!A185="","",Productos!A185&amp;" | "&amp;Productos!B185)</f>
        <v>P0184 | LetraLed "S" LedArte</v>
      </c>
      <c r="H185" t="str">
        <f>IF(Eventos!A185="","",Eventos!A185&amp;" | "&amp;Eventos!B185)</f>
        <v/>
      </c>
      <c r="K185" t="s">
        <v>688</v>
      </c>
      <c r="L185" t="s">
        <v>683</v>
      </c>
    </row>
    <row r="186" spans="1:12">
      <c r="A186" t="str">
        <f>IF(Productos!A186="","",Productos!A186&amp;" | "&amp;Productos!B186)</f>
        <v>P0185 | LetraLed "T" LedArte</v>
      </c>
      <c r="H186" t="str">
        <f>IF(Eventos!A186="","",Eventos!A186&amp;" | "&amp;Eventos!B186)</f>
        <v/>
      </c>
      <c r="K186" t="s">
        <v>693</v>
      </c>
      <c r="L186" t="s">
        <v>689</v>
      </c>
    </row>
    <row r="187" spans="1:12">
      <c r="A187" t="str">
        <f>IF(Productos!A187="","",Productos!A187&amp;" | "&amp;Productos!B187)</f>
        <v>P0186 | LetraLed "U" LedArte</v>
      </c>
      <c r="H187" t="str">
        <f>IF(Eventos!A187="","",Eventos!A187&amp;" | "&amp;Eventos!B187)</f>
        <v/>
      </c>
      <c r="K187" t="s">
        <v>698</v>
      </c>
      <c r="L187" t="s">
        <v>694</v>
      </c>
    </row>
    <row r="188" spans="1:12">
      <c r="A188" t="str">
        <f>IF(Productos!A188="","",Productos!A188&amp;" | "&amp;Productos!B188)</f>
        <v>P0187 | LetraLed "V" LedArte</v>
      </c>
      <c r="H188" t="str">
        <f>IF(Eventos!A188="","",Eventos!A188&amp;" | "&amp;Eventos!B188)</f>
        <v/>
      </c>
      <c r="K188" t="s">
        <v>1269</v>
      </c>
      <c r="L188" t="s">
        <v>1265</v>
      </c>
    </row>
    <row r="189" spans="1:12">
      <c r="A189" t="str">
        <f>IF(Productos!A189="","",Productos!A189&amp;" | "&amp;Productos!B189)</f>
        <v>P0188 | LetraLed "W" LedArte</v>
      </c>
      <c r="H189" t="str">
        <f>IF(Eventos!A189="","",Eventos!A189&amp;" | "&amp;Eventos!B189)</f>
        <v/>
      </c>
      <c r="K189" t="s">
        <v>1405</v>
      </c>
      <c r="L189" t="s">
        <v>1400</v>
      </c>
    </row>
    <row r="190" spans="1:12">
      <c r="A190" t="str">
        <f>IF(Productos!A190="","",Productos!A190&amp;" | "&amp;Productos!B190)</f>
        <v>P0189 | LetraLed "X" LedArte</v>
      </c>
      <c r="H190" t="str">
        <f>IF(Eventos!A190="","",Eventos!A190&amp;" | "&amp;Eventos!B190)</f>
        <v/>
      </c>
      <c r="K190" t="s">
        <v>1453</v>
      </c>
      <c r="L190" t="s">
        <v>1449</v>
      </c>
    </row>
    <row r="191" spans="1:12">
      <c r="A191" t="str">
        <f>IF(Productos!A191="","",Productos!A191&amp;" | "&amp;Productos!B191)</f>
        <v>P0190 | LetraLed "Y" LedArte</v>
      </c>
      <c r="H191" t="str">
        <f>IF(Eventos!A191="","",Eventos!A191&amp;" | "&amp;Eventos!B191)</f>
        <v/>
      </c>
      <c r="K191" t="s">
        <v>1488</v>
      </c>
      <c r="L191" t="s">
        <v>1484</v>
      </c>
    </row>
    <row r="192" spans="1:12">
      <c r="A192" t="str">
        <f>IF(Productos!A192="","",Productos!A192&amp;" | "&amp;Productos!B192)</f>
        <v>P0191 | LetraLed "Z" LedArte</v>
      </c>
      <c r="H192" t="str">
        <f>IF(Eventos!A192="","",Eventos!A192&amp;" | "&amp;Eventos!B192)</f>
        <v/>
      </c>
      <c r="K192" t="s">
        <v>1677</v>
      </c>
      <c r="L192" t="s">
        <v>1673</v>
      </c>
    </row>
    <row r="193" spans="1:12">
      <c r="A193" t="str">
        <f>IF(Productos!A193="","",Productos!A193&amp;" | "&amp;Productos!B193)</f>
        <v>P0192 | Lona Protectora Azul 12'x18'</v>
      </c>
      <c r="H193" t="str">
        <f>IF(Eventos!A193="","",Eventos!A193&amp;" | "&amp;Eventos!B193)</f>
        <v/>
      </c>
      <c r="K193" t="s">
        <v>1324</v>
      </c>
      <c r="L193" t="s">
        <v>1320</v>
      </c>
    </row>
    <row r="194" spans="1:12">
      <c r="A194" t="str">
        <f>IF(Productos!A194="","",Productos!A194&amp;" | "&amp;Productos!B194)</f>
        <v>P0193 | Luces inalámbricas (blancas)</v>
      </c>
      <c r="H194" t="str">
        <f>IF(Eventos!A194="","",Eventos!A194&amp;" | "&amp;Eventos!B194)</f>
        <v/>
      </c>
      <c r="K194" t="s">
        <v>1648</v>
      </c>
      <c r="L194" t="s">
        <v>1644</v>
      </c>
    </row>
    <row r="195" spans="1:12">
      <c r="A195" t="str">
        <f>IF(Productos!A195="","",Productos!A195&amp;" | "&amp;Productos!B195)</f>
        <v>P0194 | Lámpara LED SMD 1921 REPUESTO</v>
      </c>
      <c r="H195" t="str">
        <f>IF(Eventos!A195="","",Eventos!A195&amp;" | "&amp;Eventos!B195)</f>
        <v/>
      </c>
      <c r="K195" t="s">
        <v>1914</v>
      </c>
    </row>
    <row r="196" spans="1:12">
      <c r="A196" t="str">
        <f>IF(Productos!A196="","",Productos!A196&amp;" | "&amp;Productos!B196)</f>
        <v>P0195 | MIC SHURE PGA98H (CLIP CABLE)</v>
      </c>
      <c r="H196" t="str">
        <f>IF(Eventos!A196="","",Eventos!A196&amp;" | "&amp;Eventos!B196)</f>
        <v/>
      </c>
      <c r="K196" t="s">
        <v>1915</v>
      </c>
    </row>
    <row r="197" spans="1:12">
      <c r="A197" t="str">
        <f>IF(Productos!A197="","",Productos!A197&amp;" | "&amp;Productos!B197)</f>
        <v>P0196 | MIC VINCHA (Shure)</v>
      </c>
      <c r="H197" t="str">
        <f>IF(Eventos!A197="","",Eventos!A197&amp;" | "&amp;Eventos!B197)</f>
        <v/>
      </c>
      <c r="K197" t="s">
        <v>1916</v>
      </c>
    </row>
    <row r="198" spans="1:12">
      <c r="A198" t="str">
        <f>IF(Productos!A198="","",Productos!A198&amp;" | "&amp;Productos!B198)</f>
        <v>P0197 | MIC VINCHA Sennheiser</v>
      </c>
      <c r="H198" t="str">
        <f>IF(Eventos!A198="","",Eventos!A198&amp;" | "&amp;Eventos!B198)</f>
        <v/>
      </c>
      <c r="K198" t="s">
        <v>479</v>
      </c>
      <c r="L198" t="s">
        <v>474</v>
      </c>
    </row>
    <row r="199" spans="1:12">
      <c r="A199" t="str">
        <f>IF(Productos!A199="","",Productos!A199&amp;" | "&amp;Productos!B199)</f>
        <v>P0198 | Martin Exterior Wash 310</v>
      </c>
      <c r="H199" t="str">
        <f>IF(Eventos!A199="","",Eventos!A199&amp;" | "&amp;Eventos!B199)</f>
        <v/>
      </c>
      <c r="K199" t="s">
        <v>1917</v>
      </c>
    </row>
    <row r="200" spans="1:12">
      <c r="A200" t="str">
        <f>IF(Productos!A200="","",Productos!A200&amp;" | "&amp;Productos!B200)</f>
        <v>P0199 | Mesa  Coctelera - negra</v>
      </c>
      <c r="H200" t="str">
        <f>IF(Eventos!A200="","",Eventos!A200&amp;" | "&amp;Eventos!B200)</f>
        <v/>
      </c>
      <c r="K200" t="s">
        <v>1918</v>
      </c>
    </row>
    <row r="201" spans="1:12">
      <c r="A201" t="str">
        <f>IF(Productos!A201="","",Productos!A201&amp;" | "&amp;Productos!B201)</f>
        <v>P0200 | Mesa Alta Plástica Cuadrada Blanca</v>
      </c>
      <c r="H201" t="str">
        <f>IF(Eventos!A201="","",Eventos!A201&amp;" | "&amp;Eventos!B201)</f>
        <v/>
      </c>
      <c r="K201" t="s">
        <v>1919</v>
      </c>
    </row>
    <row r="202" spans="1:12">
      <c r="A202" t="str">
        <f>IF(Productos!A202="","",Productos!A202&amp;" | "&amp;Productos!B202)</f>
        <v>P0201 | Mesa Blanca Redonda Baja</v>
      </c>
      <c r="H202" t="str">
        <f>IF(Eventos!A202="","",Eventos!A202&amp;" | "&amp;Eventos!B202)</f>
        <v/>
      </c>
      <c r="K202" t="s">
        <v>1920</v>
      </c>
    </row>
    <row r="203" spans="1:12">
      <c r="A203" t="str">
        <f>IF(Productos!A203="","",Productos!A203&amp;" | "&amp;Productos!B203)</f>
        <v>P0202 | Mesa Regular</v>
      </c>
      <c r="H203" t="str">
        <f>IF(Eventos!A203="","",Eventos!A203&amp;" | "&amp;Eventos!B203)</f>
        <v/>
      </c>
      <c r="K203" t="s">
        <v>1607</v>
      </c>
      <c r="L203" t="s">
        <v>1603</v>
      </c>
    </row>
    <row r="204" spans="1:12">
      <c r="A204" t="str">
        <f>IF(Productos!A204="","",Productos!A204&amp;" | "&amp;Productos!B204)</f>
        <v>P0203 | Mesa Tipo Plegable</v>
      </c>
      <c r="H204" t="str">
        <f>IF(Eventos!A204="","",Eventos!A204&amp;" | "&amp;Eventos!B204)</f>
        <v/>
      </c>
      <c r="K204" t="s">
        <v>1921</v>
      </c>
    </row>
    <row r="205" spans="1:12">
      <c r="A205" t="str">
        <f>IF(Productos!A205="","",Productos!A205&amp;" | "&amp;Productos!B205)</f>
        <v>P0204 | Mic Cuello de Ganzo (Inalámbrico)</v>
      </c>
      <c r="H205" t="str">
        <f>IF(Eventos!A205="","",Eventos!A205&amp;" | "&amp;Eventos!B205)</f>
        <v/>
      </c>
      <c r="K205" t="s">
        <v>1922</v>
      </c>
    </row>
    <row r="206" spans="1:12">
      <c r="A206" t="str">
        <f>IF(Productos!A206="","",Productos!A206&amp;" | "&amp;Productos!B206)</f>
        <v>P0205 | Mic Inalámbrico GLXD4 Shure</v>
      </c>
      <c r="H206" t="str">
        <f>IF(Eventos!A206="","",Eventos!A206&amp;" | "&amp;Eventos!B206)</f>
        <v/>
      </c>
      <c r="K206" t="s">
        <v>1682</v>
      </c>
      <c r="L206" t="s">
        <v>1678</v>
      </c>
    </row>
    <row r="207" spans="1:12">
      <c r="A207" t="str">
        <f>IF(Productos!A207="","",Productos!A207&amp;" | "&amp;Productos!B207)</f>
        <v>P0206 | Mic Podium empotrable Shure</v>
      </c>
      <c r="H207" t="str">
        <f>IF(Eventos!A207="","",Eventos!A207&amp;" | "&amp;Eventos!B207)</f>
        <v/>
      </c>
      <c r="K207" t="s">
        <v>1923</v>
      </c>
    </row>
    <row r="208" spans="1:12">
      <c r="A208" t="str">
        <f>IF(Productos!A208="","",Productos!A208&amp;" | "&amp;Productos!B208)</f>
        <v>P0207 | Mic de Body EW 100G3</v>
      </c>
      <c r="H208" t="str">
        <f>IF(Eventos!A208="","",Eventos!A208&amp;" | "&amp;Eventos!B208)</f>
        <v/>
      </c>
      <c r="K208" t="s">
        <v>1924</v>
      </c>
    </row>
    <row r="209" spans="1:8">
      <c r="A209" t="str">
        <f>IF(Productos!A209="","",Productos!A209&amp;" | "&amp;Productos!B209)</f>
        <v>P0208 | Mic de Cable E614 8</v>
      </c>
      <c r="H209" t="str">
        <f>IF(Eventos!A209="","",Eventos!A209&amp;" | "&amp;Eventos!B209)</f>
        <v/>
      </c>
    </row>
    <row r="210" spans="1:8">
      <c r="A210" t="str">
        <f>IF(Productos!A210="","",Productos!A210&amp;" | "&amp;Productos!B210)</f>
        <v>P0209 | Mic de Cable E835</v>
      </c>
      <c r="H210" t="str">
        <f>IF(Eventos!A210="","",Eventos!A210&amp;" | "&amp;Eventos!B210)</f>
        <v/>
      </c>
    </row>
    <row r="211" spans="1:8">
      <c r="A211" t="str">
        <f>IF(Productos!A211="","",Productos!A211&amp;" | "&amp;Productos!B211)</f>
        <v>P0210 | Mic de Mano EW G3 Sennheiser (Inalámbrico)</v>
      </c>
      <c r="H211" t="str">
        <f>IF(Eventos!A211="","",Eventos!A211&amp;" | "&amp;Eventos!B211)</f>
        <v/>
      </c>
    </row>
    <row r="212" spans="1:8">
      <c r="A212" t="str">
        <f>IF(Productos!A212="","",Productos!A212&amp;" | "&amp;Productos!B212)</f>
        <v>P0211 | Mic de Mano EW G4 Sennheiser (Inalámbrico)</v>
      </c>
      <c r="H212" t="str">
        <f>IF(Eventos!A212="","",Eventos!A212&amp;" | "&amp;Eventos!B212)</f>
        <v/>
      </c>
    </row>
    <row r="213" spans="1:8">
      <c r="A213" t="str">
        <f>IF(Productos!A213="","",Productos!A213&amp;" | "&amp;Productos!B213)</f>
        <v>P0212 | Microfono FDUCE</v>
      </c>
      <c r="H213" t="str">
        <f>IF(Eventos!A213="","",Eventos!A213&amp;" | "&amp;Eventos!B213)</f>
        <v/>
      </c>
    </row>
    <row r="214" spans="1:8">
      <c r="A214" t="str">
        <f>IF(Productos!A214="","",Productos!A214&amp;" | "&amp;Productos!B214)</f>
        <v>P0213 | Microfono Phenyx pro</v>
      </c>
      <c r="H214" t="str">
        <f>IF(Eventos!A214="","",Eventos!A214&amp;" | "&amp;Eventos!B214)</f>
        <v/>
      </c>
    </row>
    <row r="215" spans="1:8">
      <c r="A215" t="str">
        <f>IF(Productos!A215="","",Productos!A215&amp;" | "&amp;Productos!B215)</f>
        <v>P0214 | Micrófono Recargable Gemini</v>
      </c>
      <c r="H215" t="str">
        <f>IF(Eventos!A215="","",Eventos!A215&amp;" | "&amp;Eventos!B215)</f>
        <v/>
      </c>
    </row>
    <row r="216" spans="1:8">
      <c r="A216" t="str">
        <f>IF(Productos!A216="","",Productos!A216&amp;" | "&amp;Productos!B216)</f>
        <v>P0215 | Micrófono e908B-ew Sennheiser</v>
      </c>
      <c r="H216" t="str">
        <f>IF(Eventos!A216="","",Eventos!A216&amp;" | "&amp;Eventos!B216)</f>
        <v/>
      </c>
    </row>
    <row r="217" spans="1:8">
      <c r="A217" t="str">
        <f>IF(Productos!A217="","",Productos!A217&amp;" | "&amp;Productos!B217)</f>
        <v>P0216 | Mini Bee Eye</v>
      </c>
      <c r="H217" t="str">
        <f>IF(Eventos!A217="","",Eventos!A217&amp;" | "&amp;Eventos!B217)</f>
        <v/>
      </c>
    </row>
    <row r="218" spans="1:8">
      <c r="A218" t="str">
        <f>IF(Productos!A218="","",Productos!A218&amp;" | "&amp;Productos!B218)</f>
        <v>P0217 | Mini Led spot</v>
      </c>
      <c r="H218" t="str">
        <f>IF(Eventos!A218="","",Eventos!A218&amp;" | "&amp;Eventos!B218)</f>
        <v/>
      </c>
    </row>
    <row r="219" spans="1:8">
      <c r="A219" t="str">
        <f>IF(Productos!A219="","",Productos!A219&amp;" | "&amp;Productos!B219)</f>
        <v>P0218 | Mixer Roland Pro A/V - V-02HD</v>
      </c>
      <c r="H219" t="str">
        <f>IF(Eventos!A219="","",Eventos!A219&amp;" | "&amp;Eventos!B219)</f>
        <v/>
      </c>
    </row>
    <row r="220" spans="1:8">
      <c r="A220" t="str">
        <f>IF(Productos!A220="","",Productos!A220&amp;" | "&amp;Productos!B220)</f>
        <v>P0219 | Modem Hotspot HWAEI B311-521</v>
      </c>
      <c r="H220" t="str">
        <f>IF(Eventos!A220="","",Eventos!A220&amp;" | "&amp;Eventos!B220)</f>
        <v/>
      </c>
    </row>
    <row r="221" spans="1:8">
      <c r="A221" t="str">
        <f>IF(Productos!A221="","",Productos!A221&amp;" | "&amp;Productos!B221)</f>
        <v>P0220 | Monitor Hollyland Mars M1</v>
      </c>
      <c r="H221" t="str">
        <f>IF(Eventos!A221="","",Eventos!A221&amp;" | "&amp;Eventos!B221)</f>
        <v/>
      </c>
    </row>
    <row r="222" spans="1:8">
      <c r="A222" t="str">
        <f>IF(Productos!A222="","",Productos!A222&amp;" | "&amp;Productos!B222)</f>
        <v>P0221 | Monitor KL10</v>
      </c>
      <c r="H222" t="str">
        <f>IF(Eventos!A222="","",Eventos!A222&amp;" | "&amp;Eventos!B222)</f>
        <v/>
      </c>
    </row>
    <row r="223" spans="1:8">
      <c r="A223" t="str">
        <f>IF(Productos!A223="","",Productos!A223&amp;" | "&amp;Productos!B223)</f>
        <v>P0222 | Monitor KL12</v>
      </c>
      <c r="H223" t="str">
        <f>IF(Eventos!A223="","",Eventos!A223&amp;" | "&amp;Eventos!B223)</f>
        <v/>
      </c>
    </row>
    <row r="224" spans="1:8">
      <c r="A224" t="str">
        <f>IF(Productos!A224="","",Productos!A224&amp;" | "&amp;Productos!B224)</f>
        <v>P0223 | Monitor LG 20MK400H</v>
      </c>
      <c r="H224" t="str">
        <f>IF(Eventos!A224="","",Eventos!A224&amp;" | "&amp;Eventos!B224)</f>
        <v/>
      </c>
    </row>
    <row r="225" spans="1:8">
      <c r="A225" t="str">
        <f>IF(Productos!A225="","",Productos!A225&amp;" | "&amp;Productos!B225)</f>
        <v>P0224 | Monitor LG 27MP59G</v>
      </c>
      <c r="H225" t="str">
        <f>IF(Eventos!A225="","",Eventos!A225&amp;" | "&amp;Eventos!B225)</f>
        <v/>
      </c>
    </row>
    <row r="226" spans="1:8">
      <c r="A226" t="str">
        <f>IF(Productos!A226="","",Productos!A226&amp;" | "&amp;Productos!B226)</f>
        <v>P0225 | Monitor LG 32MN600P</v>
      </c>
      <c r="H226" t="str">
        <f>IF(Eventos!A226="","",Eventos!A226&amp;" | "&amp;Eventos!B226)</f>
        <v/>
      </c>
    </row>
    <row r="227" spans="1:8">
      <c r="A227" t="str">
        <f>IF(Productos!A227="","",Productos!A227&amp;" | "&amp;Productos!B227)</f>
        <v>P0226 | Monitor LG Ultrawide 34WK650</v>
      </c>
      <c r="H227" t="str">
        <f>IF(Eventos!A227="","",Eventos!A227&amp;" | "&amp;Eventos!B227)</f>
        <v/>
      </c>
    </row>
    <row r="228" spans="1:8">
      <c r="A228" t="str">
        <f>IF(Productos!A228="","",Productos!A228&amp;" | "&amp;Productos!B228)</f>
        <v>P0227 | Motor Cable JDP</v>
      </c>
      <c r="H228" t="str">
        <f>IF(Eventos!A228="","",Eventos!A228&amp;" | "&amp;Eventos!B228)</f>
        <v/>
      </c>
    </row>
    <row r="229" spans="1:8">
      <c r="A229" t="str">
        <f>IF(Productos!A229="","",Productos!A229&amp;" | "&amp;Productos!B229)</f>
        <v>P0228 | Motor Cable Mode</v>
      </c>
      <c r="H229" t="str">
        <f>IF(Eventos!A229="","",Eventos!A229&amp;" | "&amp;Eventos!B229)</f>
        <v/>
      </c>
    </row>
    <row r="230" spans="1:8">
      <c r="A230" t="str">
        <f>IF(Productos!A230="","",Productos!A230&amp;" | "&amp;Productos!B230)</f>
        <v>P0229 | Motor Freehoist 1T</v>
      </c>
      <c r="H230" t="str">
        <f>IF(Eventos!A230="","",Eventos!A230&amp;" | "&amp;Eventos!B230)</f>
        <v/>
      </c>
    </row>
    <row r="231" spans="1:8">
      <c r="A231" t="str">
        <f>IF(Productos!A231="","",Productos!A231&amp;" | "&amp;Productos!B231)</f>
        <v>P0230 | Motor bateria</v>
      </c>
      <c r="H231" t="str">
        <f>IF(Eventos!A231="","",Eventos!A231&amp;" | "&amp;Eventos!B231)</f>
        <v/>
      </c>
    </row>
    <row r="232" spans="1:8">
      <c r="A232" t="str">
        <f>IF(Productos!A232="","",Productos!A232&amp;" | "&amp;Productos!B232)</f>
        <v>P0231 | Mouse USB</v>
      </c>
      <c r="H232" t="str">
        <f>IF(Eventos!A232="","",Eventos!A232&amp;" | "&amp;Eventos!B232)</f>
        <v/>
      </c>
    </row>
    <row r="233" spans="1:8">
      <c r="A233" t="str">
        <f>IF(Productos!A233="","",Productos!A233&amp;" | "&amp;Productos!B233)</f>
        <v>P0232 | Máscara REPUESTO</v>
      </c>
      <c r="H233" t="str">
        <f>IF(Eventos!A233="","",Eventos!A233&amp;" | "&amp;Eventos!B233)</f>
        <v/>
      </c>
    </row>
    <row r="234" spans="1:8">
      <c r="A234" t="str">
        <f>IF(Productos!A234="","",Productos!A234&amp;" | "&amp;Productos!B234)</f>
        <v>P0233 | Módulo (gratuito) REPUESTO</v>
      </c>
      <c r="H234" t="str">
        <f>IF(Eventos!A234="","",Eventos!A234&amp;" | "&amp;Eventos!B234)</f>
        <v/>
      </c>
    </row>
    <row r="235" spans="1:8">
      <c r="A235" t="str">
        <f>IF(Productos!A235="","",Productos!A235&amp;" | "&amp;Productos!B235)</f>
        <v>P0234 | Módulo REPUESTO</v>
      </c>
      <c r="H235" t="str">
        <f>IF(Eventos!A235="","",Eventos!A235&amp;" | "&amp;Eventos!B235)</f>
        <v/>
      </c>
    </row>
    <row r="236" spans="1:8">
      <c r="A236" t="str">
        <f>IF(Productos!A236="","",Productos!A236&amp;" | "&amp;Productos!B236)</f>
        <v>P0235 | Módulo Óptico 10G SFP Module-S REPUESTO</v>
      </c>
      <c r="H236" t="str">
        <f>IF(Eventos!A236="","",Eventos!A236&amp;" | "&amp;Eventos!B236)</f>
        <v/>
      </c>
    </row>
    <row r="237" spans="1:8">
      <c r="A237" t="str">
        <f>IF(Productos!A237="","",Productos!A237&amp;" | "&amp;Productos!B237)</f>
        <v>P0236 | NT 3.9 outdoor       500 x 1000</v>
      </c>
      <c r="H237" t="str">
        <f>IF(Eventos!A237="","",Eventos!A237&amp;" | "&amp;Eventos!B237)</f>
        <v/>
      </c>
    </row>
    <row r="238" spans="1:8">
      <c r="A238" t="str">
        <f>IF(Productos!A238="","",Productos!A238&amp;" | "&amp;Productos!B238)</f>
        <v>P0237 | Orei Audio extracor</v>
      </c>
      <c r="H238" t="str">
        <f>IF(Eventos!A238="","",Eventos!A238&amp;" | "&amp;Eventos!B238)</f>
        <v/>
      </c>
    </row>
    <row r="239" spans="1:8">
      <c r="A239" t="str">
        <f>IF(Productos!A239="","",Productos!A239&amp;" | "&amp;Productos!B239)</f>
        <v>P0238 | Outdoor Metal 100W</v>
      </c>
      <c r="H239" t="str">
        <f>IF(Eventos!A239="","",Eventos!A239&amp;" | "&amp;Eventos!B239)</f>
        <v/>
      </c>
    </row>
    <row r="240" spans="1:8">
      <c r="A240" t="str">
        <f>IF(Productos!A240="","",Productos!A240&amp;" | "&amp;Productos!B240)</f>
        <v>P0239 | Output Card 16xRJ45+2x REPUESTO</v>
      </c>
      <c r="H240" t="str">
        <f>IF(Eventos!A240="","",Eventos!A240&amp;" | "&amp;Eventos!B240)</f>
        <v/>
      </c>
    </row>
    <row r="241" spans="1:8">
      <c r="A241" t="str">
        <f>IF(Productos!A241="","",Productos!A241&amp;" | "&amp;Productos!B241)</f>
        <v>P0240 | PANTALLA LED Flexible FL 2.9 ABSEN</v>
      </c>
      <c r="H241" t="str">
        <f>IF(Eventos!A241="","",Eventos!A241&amp;" | "&amp;Eventos!B241)</f>
        <v/>
      </c>
    </row>
    <row r="242" spans="1:8">
      <c r="A242" t="str">
        <f>IF(Productos!A242="","",Productos!A242&amp;" | "&amp;Productos!B242)</f>
        <v>P0241 | PANTALLA LED NT 2.6          500 X 500 ABSEN</v>
      </c>
      <c r="H242" t="str">
        <f>IF(Eventos!A242="","",Eventos!A242&amp;" | "&amp;Eventos!B242)</f>
        <v/>
      </c>
    </row>
    <row r="243" spans="1:8">
      <c r="A243" t="str">
        <f>IF(Productos!A243="","",Productos!A243&amp;" | "&amp;Productos!B243)</f>
        <v>P0242 | PANTALLA LED NT 2.6 Esquina         500 X 500 ABSEN</v>
      </c>
      <c r="H243" t="str">
        <f>IF(Eventos!A243="","",Eventos!A243&amp;" | "&amp;Eventos!B243)</f>
        <v/>
      </c>
    </row>
    <row r="244" spans="1:8">
      <c r="A244" t="str">
        <f>IF(Productos!A244="","",Productos!A244&amp;" | "&amp;Productos!B244)</f>
        <v>P0243 | PANTALLA LED NT 2.9        500 x 1000 ABSEN</v>
      </c>
      <c r="H244" t="str">
        <f>IF(Eventos!A244="","",Eventos!A244&amp;" | "&amp;Eventos!B244)</f>
        <v/>
      </c>
    </row>
    <row r="245" spans="1:8">
      <c r="A245" t="str">
        <f>IF(Productos!A245="","",Productos!A245&amp;" | "&amp;Productos!B245)</f>
        <v>P0244 | PANTALLA LED NT 2.9        500 x 500 ABSEN</v>
      </c>
      <c r="H245" t="str">
        <f>IF(Eventos!A245="","",Eventos!A245&amp;" | "&amp;Eventos!B245)</f>
        <v/>
      </c>
    </row>
    <row r="246" spans="1:8">
      <c r="A246" t="str">
        <f>IF(Productos!A246="","",Productos!A246&amp;" | "&amp;Productos!B246)</f>
        <v>P0245 | PANTALLA LED NT 2.9 Esquina       500 x 500 ABSEN</v>
      </c>
      <c r="H246" t="str">
        <f>IF(Eventos!A246="","",Eventos!A246&amp;" | "&amp;Eventos!B246)</f>
        <v/>
      </c>
    </row>
    <row r="247" spans="1:8">
      <c r="A247" t="str">
        <f>IF(Productos!A247="","",Productos!A247&amp;" | "&amp;Productos!B247)</f>
        <v>P0246 | PANTALLA LED PL 2.9        500 x 500 ABSEN</v>
      </c>
      <c r="H247" t="str">
        <f>IF(Eventos!A247="","",Eventos!A247&amp;" | "&amp;Eventos!B247)</f>
        <v/>
      </c>
    </row>
    <row r="248" spans="1:8">
      <c r="A248" t="str">
        <f>IF(Productos!A248="","",Productos!A248&amp;" | "&amp;Productos!B248)</f>
        <v>P0247 | PANTALLA LED PL 3.9 500x1000 ABSEN</v>
      </c>
      <c r="H248" t="str">
        <f>IF(Eventos!A248="","",Eventos!A248&amp;" | "&amp;Eventos!B248)</f>
        <v/>
      </c>
    </row>
    <row r="249" spans="1:8">
      <c r="A249" t="str">
        <f>IF(Productos!A249="","",Productos!A249&amp;" | "&amp;Productos!B249)</f>
        <v>P0248 | PANTALLA LED PL 3.9 ABSEN</v>
      </c>
      <c r="H249" t="str">
        <f>IF(Eventos!A249="","",Eventos!A249&amp;" | "&amp;Eventos!B249)</f>
        <v/>
      </c>
    </row>
    <row r="250" spans="1:8">
      <c r="A250" t="str">
        <f>IF(Productos!A250="","",Productos!A250&amp;" | "&amp;Productos!B250)</f>
        <v>P0249 | PEDESTAL DE MONITOR JBL</v>
      </c>
      <c r="H250" t="str">
        <f>IF(Eventos!A250="","",Eventos!A250&amp;" | "&amp;Eventos!B250)</f>
        <v/>
      </c>
    </row>
    <row r="251" spans="1:8">
      <c r="A251" t="str">
        <f>IF(Productos!A251="","",Productos!A251&amp;" | "&amp;Productos!B251)</f>
        <v>P0250 | PEDESTAL DE MONITOR PROEL</v>
      </c>
      <c r="H251" t="str">
        <f>IF(Eventos!A251="","",Eventos!A251&amp;" | "&amp;Eventos!B251)</f>
        <v/>
      </c>
    </row>
    <row r="252" spans="1:8">
      <c r="A252" t="str">
        <f>IF(Productos!A252="","",Productos!A252&amp;" | "&amp;Productos!B252)</f>
        <v>P0251 | PEDESTAL DE MONITOR X</v>
      </c>
      <c r="H252" t="str">
        <f>IF(Eventos!A252="","",Eventos!A252&amp;" | "&amp;Eventos!B252)</f>
        <v/>
      </c>
    </row>
    <row r="253" spans="1:8">
      <c r="A253" t="str">
        <f>IF(Productos!A253="","",Productos!A253&amp;" | "&amp;Productos!B253)</f>
        <v>P0252 | Panel de control PTZ</v>
      </c>
      <c r="H253" t="str">
        <f>IF(Eventos!A253="","",Eventos!A253&amp;" | "&amp;Eventos!B253)</f>
        <v/>
      </c>
    </row>
    <row r="254" spans="1:8">
      <c r="A254" t="str">
        <f>IF(Productos!A254="","",Productos!A254&amp;" | "&amp;Productos!B254)</f>
        <v>P0253 | Panta</v>
      </c>
      <c r="H254" t="str">
        <f>IF(Eventos!A254="","",Eventos!A254&amp;" | "&amp;Eventos!B254)</f>
        <v/>
      </c>
    </row>
    <row r="255" spans="1:8">
      <c r="A255" t="str">
        <f>IF(Productos!A255="","",Productos!A255&amp;" | "&amp;Productos!B255)</f>
        <v>P0254 | Pantalla De Proyección</v>
      </c>
      <c r="H255" t="str">
        <f>IF(Eventos!A255="","",Eventos!A255&amp;" | "&amp;Eventos!B255)</f>
        <v/>
      </c>
    </row>
    <row r="256" spans="1:8">
      <c r="A256" t="str">
        <f>IF(Productos!A256="","",Productos!A256&amp;" | "&amp;Productos!B256)</f>
        <v>P0255 | Pantalla Inflable 7x3</v>
      </c>
      <c r="H256" t="str">
        <f>IF(Eventos!A256="","",Eventos!A256&amp;" | "&amp;Eventos!B256)</f>
        <v/>
      </c>
    </row>
    <row r="257" spans="1:8">
      <c r="A257" t="str">
        <f>IF(Productos!A257="","",Productos!A257&amp;" | "&amp;Productos!B257)</f>
        <v>P0256 | Pantalla Led 2.6 ABSEN REPUESTO</v>
      </c>
      <c r="H257" t="str">
        <f>IF(Eventos!A257="","",Eventos!A257&amp;" | "&amp;Eventos!B257)</f>
        <v/>
      </c>
    </row>
    <row r="258" spans="1:8">
      <c r="A258" t="str">
        <f>IF(Productos!A258="","",Productos!A258&amp;" | "&amp;Productos!B258)</f>
        <v>P0257 | Pc piso Interactivo</v>
      </c>
      <c r="H258" t="str">
        <f>IF(Eventos!A258="","",Eventos!A258&amp;" | "&amp;Eventos!B258)</f>
        <v/>
      </c>
    </row>
    <row r="259" spans="1:8">
      <c r="A259" t="str">
        <f>IF(Productos!A259="","",Productos!A259&amp;" | "&amp;Productos!B259)</f>
        <v>P0258 | Pedestal Bombo</v>
      </c>
      <c r="H259" t="str">
        <f>IF(Eventos!A259="","",Eventos!A259&amp;" | "&amp;Eventos!B259)</f>
        <v/>
      </c>
    </row>
    <row r="260" spans="1:8">
      <c r="A260" t="str">
        <f>IF(Productos!A260="","",Productos!A260&amp;" | "&amp;Productos!B260)</f>
        <v>P0259 | Pedestal Micrófono Proel</v>
      </c>
      <c r="H260" t="str">
        <f>IF(Eventos!A260="","",Eventos!A260&amp;" | "&amp;Eventos!B260)</f>
        <v/>
      </c>
    </row>
    <row r="261" spans="1:8">
      <c r="A261" t="str">
        <f>IF(Productos!A261="","",Productos!A261&amp;" | "&amp;Productos!B261)</f>
        <v>P0260 | Pedestal Micrófono X</v>
      </c>
      <c r="H261" t="str">
        <f>IF(Eventos!A261="","",Eventos!A261&amp;" | "&amp;Eventos!B261)</f>
        <v/>
      </c>
    </row>
    <row r="262" spans="1:8">
      <c r="A262" t="str">
        <f>IF(Productos!A262="","",Productos!A262&amp;" | "&amp;Productos!B262)</f>
        <v>P0261 | Photo booth 360</v>
      </c>
      <c r="H262" t="str">
        <f>IF(Eventos!A262="","",Eventos!A262&amp;" | "&amp;Eventos!B262)</f>
        <v/>
      </c>
    </row>
    <row r="263" spans="1:8">
      <c r="A263" t="str">
        <f>IF(Productos!A263="","",Productos!A263&amp;" | "&amp;Productos!B263)</f>
        <v>P0262 | Piso Led Infinito 3D</v>
      </c>
      <c r="H263" t="str">
        <f>IF(Eventos!A263="","",Eventos!A263&amp;" | "&amp;Eventos!B263)</f>
        <v/>
      </c>
    </row>
    <row r="264" spans="1:8">
      <c r="A264" t="str">
        <f>IF(Productos!A264="","",Productos!A264&amp;" | "&amp;Productos!B264)</f>
        <v>P0263 | Piso Led Infinito 3D EDGE</v>
      </c>
      <c r="H264" t="str">
        <f>IF(Eventos!A264="","",Eventos!A264&amp;" | "&amp;Eventos!B264)</f>
        <v/>
      </c>
    </row>
    <row r="265" spans="1:8">
      <c r="A265" t="str">
        <f>IF(Productos!A265="","",Productos!A265&amp;" | "&amp;Productos!B265)</f>
        <v>P0264 | Piso Led Infinito 3D EDGE AC</v>
      </c>
      <c r="H265" t="str">
        <f>IF(Eventos!A265="","",Eventos!A265&amp;" | "&amp;Eventos!B265)</f>
        <v/>
      </c>
    </row>
    <row r="266" spans="1:8">
      <c r="A266" t="str">
        <f>IF(Productos!A266="","",Productos!A266&amp;" | "&amp;Productos!B266)</f>
        <v>P0265 | Piso Led Infinito 3D esquinas</v>
      </c>
      <c r="H266" t="str">
        <f>IF(Eventos!A266="","",Eventos!A266&amp;" | "&amp;Eventos!B266)</f>
        <v/>
      </c>
    </row>
    <row r="267" spans="1:8">
      <c r="A267" t="str">
        <f>IF(Productos!A267="","",Productos!A267&amp;" | "&amp;Productos!B267)</f>
        <v>P0266 | Piso Led Interactivo 2.9  500x1000mm</v>
      </c>
      <c r="H267" t="str">
        <f>IF(Eventos!A267="","",Eventos!A267&amp;" | "&amp;Eventos!B267)</f>
        <v/>
      </c>
    </row>
    <row r="268" spans="1:8">
      <c r="A268" t="str">
        <f>IF(Productos!A268="","",Productos!A268&amp;" | "&amp;Productos!B268)</f>
        <v>P0267 | Pistola CO2</v>
      </c>
      <c r="H268" t="str">
        <f>IF(Eventos!A268="","",Eventos!A268&amp;" | "&amp;Eventos!B268)</f>
        <v/>
      </c>
    </row>
    <row r="269" spans="1:8">
      <c r="A269" t="str">
        <f>IF(Productos!A269="","",Productos!A269&amp;" | "&amp;Productos!B269)</f>
        <v>P0268 | Pixeles bar (1 metro)</v>
      </c>
      <c r="H269" t="str">
        <f>IF(Eventos!A269="","",Eventos!A269&amp;" | "&amp;Eventos!B269)</f>
        <v/>
      </c>
    </row>
    <row r="270" spans="1:8">
      <c r="A270" t="str">
        <f>IF(Productos!A270="","",Productos!A270&amp;" | "&amp;Productos!B270)</f>
        <v>P0269 | Poste Chico</v>
      </c>
      <c r="H270" t="str">
        <f>IF(Eventos!A270="","",Eventos!A270&amp;" | "&amp;Eventos!B270)</f>
        <v/>
      </c>
    </row>
    <row r="271" spans="1:8">
      <c r="A271" t="str">
        <f>IF(Productos!A271="","",Productos!A271&amp;" | "&amp;Productos!B271)</f>
        <v>P0270 | Poste Grande</v>
      </c>
      <c r="H271" t="str">
        <f>IF(Eventos!A271="","",Eventos!A271&amp;" | "&amp;Eventos!B271)</f>
        <v/>
      </c>
    </row>
    <row r="272" spans="1:8">
      <c r="A272" t="str">
        <f>IF(Productos!A272="","",Productos!A272&amp;" | "&amp;Productos!B272)</f>
        <v>P0271 | Poste Separador</v>
      </c>
      <c r="H272" t="str">
        <f>IF(Eventos!A272="","",Eventos!A272&amp;" | "&amp;Eventos!B272)</f>
        <v/>
      </c>
    </row>
    <row r="273" spans="1:8">
      <c r="A273" t="str">
        <f>IF(Productos!A273="","",Productos!A273&amp;" | "&amp;Productos!B273)</f>
        <v>P0272 | Proyector</v>
      </c>
      <c r="H273" t="str">
        <f>IF(Eventos!A273="","",Eventos!A273&amp;" | "&amp;Eventos!B273)</f>
        <v/>
      </c>
    </row>
    <row r="274" spans="1:8">
      <c r="A274" t="str">
        <f>IF(Productos!A274="","",Productos!A274&amp;" | "&amp;Productos!B274)</f>
        <v>P0273 | RGB Link PTZ Camera Controller</v>
      </c>
      <c r="H274" t="str">
        <f>IF(Eventos!A274="","",Eventos!A274&amp;" | "&amp;Eventos!B274)</f>
        <v/>
      </c>
    </row>
    <row r="275" spans="1:8">
      <c r="A275" t="str">
        <f>IF(Productos!A275="","",Productos!A275&amp;" | "&amp;Productos!B275)</f>
        <v>P0274 | Receptor EW D Sennheiser</v>
      </c>
      <c r="H275" t="str">
        <f>IF(Eventos!A275="","",Eventos!A275&amp;" | "&amp;Eventos!B275)</f>
        <v/>
      </c>
    </row>
    <row r="276" spans="1:8">
      <c r="A276" t="str">
        <f>IF(Productos!A276="","",Productos!A276&amp;" | "&amp;Productos!B276)</f>
        <v>P0275 | Receptor EW DX Sennheiser</v>
      </c>
      <c r="H276" t="str">
        <f>IF(Eventos!A276="","",Eventos!A276&amp;" | "&amp;Eventos!B276)</f>
        <v/>
      </c>
    </row>
    <row r="277" spans="1:8">
      <c r="A277" t="str">
        <f>IF(Productos!A277="","",Productos!A277&amp;" | "&amp;Productos!B277)</f>
        <v>P0276 | Receptor EW G3</v>
      </c>
      <c r="H277" t="str">
        <f>IF(Eventos!A277="","",Eventos!A277&amp;" | "&amp;Eventos!B277)</f>
        <v/>
      </c>
    </row>
    <row r="278" spans="1:8">
      <c r="A278" t="str">
        <f>IF(Productos!A278="","",Productos!A278&amp;" | "&amp;Productos!B278)</f>
        <v>P0277 | Receptor EW G4</v>
      </c>
      <c r="H278" t="str">
        <f>IF(Eventos!A278="","",Eventos!A278&amp;" | "&amp;Eventos!B278)</f>
        <v/>
      </c>
    </row>
    <row r="279" spans="1:8">
      <c r="A279" t="str">
        <f>IF(Productos!A279="","",Productos!A279&amp;" | "&amp;Productos!B279)</f>
        <v>P0278 | Receptor GLXD4 Shure</v>
      </c>
      <c r="H279" t="str">
        <f>IF(Eventos!A279="","",Eventos!A279&amp;" | "&amp;Eventos!B279)</f>
        <v/>
      </c>
    </row>
    <row r="280" spans="1:8">
      <c r="A280" t="str">
        <f>IF(Productos!A280="","",Productos!A280&amp;" | "&amp;Productos!B280)</f>
        <v>P0279 | Receptor shure SM58 GLDX4</v>
      </c>
      <c r="H280" t="str">
        <f>IF(Eventos!A280="","",Eventos!A280&amp;" | "&amp;Eventos!B280)</f>
        <v/>
      </c>
    </row>
    <row r="281" spans="1:8">
      <c r="A281" t="str">
        <f>IF(Productos!A281="","",Productos!A281&amp;" | "&amp;Productos!B281)</f>
        <v>P0280 | Regleta</v>
      </c>
      <c r="H281" t="str">
        <f>IF(Eventos!A281="","",Eventos!A281&amp;" | "&amp;Eventos!B281)</f>
        <v/>
      </c>
    </row>
    <row r="282" spans="1:8">
      <c r="A282" t="str">
        <f>IF(Productos!A282="","",Productos!A282&amp;" | "&amp;Productos!B282)</f>
        <v>P0281 | Retro Blinder</v>
      </c>
      <c r="H282" t="str">
        <f>IF(Eventos!A282="","",Eventos!A282&amp;" | "&amp;Eventos!B282)</f>
        <v/>
      </c>
    </row>
    <row r="283" spans="1:8">
      <c r="A283" t="str">
        <f>IF(Productos!A283="","",Productos!A283&amp;" | "&amp;Productos!B283)</f>
        <v>P0282 | Rockville / Mapara de Controles</v>
      </c>
      <c r="H283" t="str">
        <f>IF(Eventos!A283="","",Eventos!A283&amp;" | "&amp;Eventos!B283)</f>
        <v/>
      </c>
    </row>
    <row r="284" spans="1:8">
      <c r="A284" t="str">
        <f>IF(Productos!A284="","",Productos!A284&amp;" | "&amp;Productos!B284)</f>
        <v>P0283 | Rotafolio</v>
      </c>
      <c r="H284" t="str">
        <f>IF(Eventos!A284="","",Eventos!A284&amp;" | "&amp;Eventos!B284)</f>
        <v/>
      </c>
    </row>
    <row r="285" spans="1:8">
      <c r="A285" t="str">
        <f>IF(Productos!A285="","",Productos!A285&amp;" | "&amp;Productos!B285)</f>
        <v>P0284 | Router Cudy WR1300</v>
      </c>
      <c r="H285" t="str">
        <f>IF(Eventos!A285="","",Eventos!A285&amp;" | "&amp;Eventos!B285)</f>
        <v/>
      </c>
    </row>
    <row r="286" spans="1:8">
      <c r="A286" t="str">
        <f>IF(Productos!A286="","",Productos!A286&amp;" | "&amp;Productos!B286)</f>
        <v>P0285 | SCARLETT 2I2</v>
      </c>
      <c r="H286" t="str">
        <f>IF(Eventos!A286="","",Eventos!A286&amp;" | "&amp;Eventos!B286)</f>
        <v/>
      </c>
    </row>
    <row r="287" spans="1:8">
      <c r="A287" t="str">
        <f>IF(Productos!A287="","",Productos!A287&amp;" | "&amp;Productos!B287)</f>
        <v>P0286 | SE 8</v>
      </c>
      <c r="H287" t="str">
        <f>IF(Eventos!A287="","",Eventos!A287&amp;" | "&amp;Eventos!B287)</f>
        <v/>
      </c>
    </row>
    <row r="288" spans="1:8">
      <c r="A288" t="str">
        <f>IF(Productos!A288="","",Productos!A288&amp;" | "&amp;Productos!B288)</f>
        <v>P0287 | SE BV BEAT</v>
      </c>
      <c r="H288" t="str">
        <f>IF(Eventos!A288="","",Eventos!A288&amp;" | "&amp;Eventos!B288)</f>
        <v/>
      </c>
    </row>
    <row r="289" spans="1:8">
      <c r="A289" t="str">
        <f>IF(Productos!A289="","",Productos!A289&amp;" | "&amp;Productos!B289)</f>
        <v>P0288 | SE V KICK</v>
      </c>
      <c r="H289" t="str">
        <f>IF(Eventos!A289="","",Eventos!A289&amp;" | "&amp;Eventos!B289)</f>
        <v/>
      </c>
    </row>
    <row r="290" spans="1:8">
      <c r="A290" t="str">
        <f>IF(Productos!A290="","",Productos!A290&amp;" | "&amp;Productos!B290)</f>
        <v>P0289 | SE V7 X</v>
      </c>
      <c r="H290" t="str">
        <f>IF(Eventos!A290="","",Eventos!A290&amp;" | "&amp;Eventos!B290)</f>
        <v/>
      </c>
    </row>
    <row r="291" spans="1:8">
      <c r="A291" t="str">
        <f>IF(Productos!A291="","",Productos!A291&amp;" | "&amp;Productos!B291)</f>
        <v>P0290 | SENNHEISER CARGADOR/ ADAPTADOR</v>
      </c>
      <c r="H291" t="str">
        <f>IF(Eventos!A291="","",Eventos!A291&amp;" | "&amp;Eventos!B291)</f>
        <v/>
      </c>
    </row>
    <row r="292" spans="1:8">
      <c r="A292" t="str">
        <f>IF(Productos!A292="","",Productos!A292&amp;" | "&amp;Productos!B292)</f>
        <v>P0291 | SNAKE 24-4</v>
      </c>
      <c r="H292" t="str">
        <f>IF(Eventos!A292="","",Eventos!A292&amp;" | "&amp;Eventos!B292)</f>
        <v/>
      </c>
    </row>
    <row r="293" spans="1:8">
      <c r="A293" t="str">
        <f>IF(Productos!A293="","",Productos!A293&amp;" | "&amp;Productos!B293)</f>
        <v>P0292 | Servidor 27TS SDIX4</v>
      </c>
      <c r="H293" t="str">
        <f>IF(Eventos!A293="","",Eventos!A293&amp;" | "&amp;Eventos!B293)</f>
        <v/>
      </c>
    </row>
    <row r="294" spans="1:8">
      <c r="A294" t="str">
        <f>IF(Productos!A294="","",Productos!A294&amp;" | "&amp;Productos!B294)</f>
        <v>P0293 | Servidor 27TS-3070 SDIX4</v>
      </c>
      <c r="H294" t="str">
        <f>IF(Eventos!A294="","",Eventos!A294&amp;" | "&amp;Eventos!B294)</f>
        <v/>
      </c>
    </row>
    <row r="295" spans="1:8">
      <c r="A295" t="str">
        <f>IF(Productos!A295="","",Productos!A295&amp;" | "&amp;Productos!B295)</f>
        <v>P0294 | Servidor 27TS-5060 HDMIX4</v>
      </c>
      <c r="H295" t="str">
        <f>IF(Eventos!A295="","",Eventos!A295&amp;" | "&amp;Eventos!B295)</f>
        <v/>
      </c>
    </row>
    <row r="296" spans="1:8">
      <c r="A296" t="str">
        <f>IF(Productos!A296="","",Productos!A296&amp;" | "&amp;Productos!B296)</f>
        <v>P0295 | Silla Blanca Ruedas</v>
      </c>
      <c r="H296" t="str">
        <f>IF(Eventos!A296="","",Eventos!A296&amp;" | "&amp;Eventos!B296)</f>
        <v/>
      </c>
    </row>
    <row r="297" spans="1:8">
      <c r="A297" t="str">
        <f>IF(Productos!A297="","",Productos!A297&amp;" | "&amp;Productos!B297)</f>
        <v>P0296 | Silla Coctelera blanca</v>
      </c>
      <c r="H297" t="str">
        <f>IF(Eventos!A297="","",Eventos!A297&amp;" | "&amp;Eventos!B297)</f>
        <v/>
      </c>
    </row>
    <row r="298" spans="1:8">
      <c r="A298" t="str">
        <f>IF(Productos!A298="","",Productos!A298&amp;" | "&amp;Productos!B298)</f>
        <v>P0297 | Silla Coctelera blanca con patas de madera</v>
      </c>
      <c r="H298" t="str">
        <f>IF(Eventos!A298="","",Eventos!A298&amp;" | "&amp;Eventos!B298)</f>
        <v/>
      </c>
    </row>
    <row r="299" spans="1:8">
      <c r="A299" t="str">
        <f>IF(Productos!A299="","",Productos!A299&amp;" | "&amp;Productos!B299)</f>
        <v>P0298 | Silla Colchon Baja</v>
      </c>
      <c r="H299" t="str">
        <f>IF(Eventos!A299="","",Eventos!A299&amp;" | "&amp;Eventos!B299)</f>
        <v/>
      </c>
    </row>
    <row r="300" spans="1:8">
      <c r="A300" t="str">
        <f>IF(Productos!A300="","",Productos!A300&amp;" | "&amp;Productos!B300)</f>
        <v>P0299 | Silla Plegable</v>
      </c>
      <c r="H300" t="str">
        <f>IF(Eventos!A300="","",Eventos!A300&amp;" | "&amp;Eventos!B300)</f>
        <v/>
      </c>
    </row>
    <row r="301" spans="1:8">
      <c r="A301" t="str">
        <f>IF(Productos!A301="","",Productos!A301&amp;" | "&amp;Productos!B301)</f>
        <v>P0300 | Silla Plástica Blanca Alta</v>
      </c>
      <c r="H301" t="str">
        <f>IF(Eventos!A301="","",Eventos!A301&amp;" | "&amp;Eventos!B301)</f>
        <v/>
      </c>
    </row>
    <row r="302" spans="1:8">
      <c r="A302" t="str">
        <f>IF(Productos!A302="","",Productos!A302&amp;" | "&amp;Productos!B302)</f>
        <v>P0301 | Silla coctelera - negra con colchón</v>
      </c>
      <c r="H302" t="str">
        <f>IF(Eventos!A302="","",Eventos!A302&amp;" | "&amp;Eventos!B302)</f>
        <v/>
      </c>
    </row>
    <row r="303" spans="1:8">
      <c r="A303" t="str">
        <f>IF(Productos!A303="","",Productos!A303&amp;" | "&amp;Productos!B303)</f>
        <v>P0302 | Sistema Hollyland Cosmo C1</v>
      </c>
      <c r="H303" t="str">
        <f>IF(Eventos!A303="","",Eventos!A303&amp;" | "&amp;Eventos!B303)</f>
        <v/>
      </c>
    </row>
    <row r="304" spans="1:8">
      <c r="A304" t="str">
        <f>IF(Productos!A304="","",Productos!A304&amp;" | "&amp;Productos!B304)</f>
        <v>P0303 | Sistema Hollyland MARS 400S PRO</v>
      </c>
      <c r="H304" t="str">
        <f>IF(Eventos!A304="","",Eventos!A304&amp;" | "&amp;Eventos!B304)</f>
        <v/>
      </c>
    </row>
    <row r="305" spans="1:8">
      <c r="A305" t="str">
        <f>IF(Productos!A305="","",Productos!A305&amp;" | "&amp;Productos!B305)</f>
        <v>P0304 | Sistema Micrófono Inl Lavalier Solapa AVX-ME2</v>
      </c>
      <c r="H305" t="str">
        <f>IF(Eventos!A305="","",Eventos!A305&amp;" | "&amp;Eventos!B305)</f>
        <v/>
      </c>
    </row>
    <row r="306" spans="1:8">
      <c r="A306" t="str">
        <f>IF(Productos!A306="","",Productos!A306&amp;" | "&amp;Productos!B306)</f>
        <v>P0305 | Sistema Micrófono Mano AVX-835</v>
      </c>
      <c r="H306" t="str">
        <f>IF(Eventos!A306="","",Eventos!A306&amp;" | "&amp;Eventos!B306)</f>
        <v/>
      </c>
    </row>
    <row r="307" spans="1:8">
      <c r="A307" t="str">
        <f>IF(Productos!A307="","",Productos!A307&amp;" | "&amp;Productos!B307)</f>
        <v>P0306 | Slinga XPANCER</v>
      </c>
      <c r="H307" t="str">
        <f>IF(Eventos!A307="","",Eventos!A307&amp;" | "&amp;Eventos!B307)</f>
        <v/>
      </c>
    </row>
    <row r="308" spans="1:8">
      <c r="A308" t="str">
        <f>IF(Productos!A308="","",Productos!A308&amp;" | "&amp;Productos!B308)</f>
        <v>P0307 | Soporte Monitor On-Stage</v>
      </c>
      <c r="H308" t="str">
        <f>IF(Eventos!A308="","",Eventos!A308&amp;" | "&amp;Eventos!B308)</f>
        <v/>
      </c>
    </row>
    <row r="309" spans="1:8">
      <c r="A309" t="str">
        <f>IF(Productos!A309="","",Productos!A309&amp;" | "&amp;Productos!B309)</f>
        <v>P0308 | Soporte Monitor Proel</v>
      </c>
      <c r="H309" t="str">
        <f>IF(Eventos!A309="","",Eventos!A309&amp;" | "&amp;Eventos!B309)</f>
        <v/>
      </c>
    </row>
    <row r="310" spans="1:8">
      <c r="A310" t="str">
        <f>IF(Productos!A310="","",Productos!A310&amp;" | "&amp;Productos!B310)</f>
        <v>P0309 | Soporte Tv</v>
      </c>
      <c r="H310" t="str">
        <f>IF(Eventos!A310="","",Eventos!A310&amp;" | "&amp;Eventos!B310)</f>
        <v/>
      </c>
    </row>
    <row r="311" spans="1:8">
      <c r="A311" t="str">
        <f>IF(Productos!A311="","",Productos!A311&amp;" | "&amp;Productos!B311)</f>
        <v>P0310 | Soporte Tv de piso</v>
      </c>
      <c r="H311" t="str">
        <f>IF(Eventos!A311="","",Eventos!A311&amp;" | "&amp;Eventos!B311)</f>
        <v/>
      </c>
    </row>
    <row r="312" spans="1:8">
      <c r="A312" t="str">
        <f>IF(Productos!A312="","",Productos!A312&amp;" | "&amp;Productos!B312)</f>
        <v>P0311 | Splitter Dj Chauvet</v>
      </c>
      <c r="H312" t="str">
        <f>IF(Eventos!A312="","",Eventos!A312&amp;" | "&amp;Eventos!B312)</f>
        <v/>
      </c>
    </row>
    <row r="313" spans="1:8">
      <c r="A313" t="str">
        <f>IF(Productos!A313="","",Productos!A313&amp;" | "&amp;Productos!B313)</f>
        <v>P0312 | Splitter Iluminación</v>
      </c>
      <c r="H313" t="str">
        <f>IF(Eventos!A313="","",Eventos!A313&amp;" | "&amp;Eventos!B313)</f>
        <v/>
      </c>
    </row>
    <row r="314" spans="1:8">
      <c r="A314" t="str">
        <f>IF(Productos!A314="","",Productos!A314&amp;" | "&amp;Productos!B314)</f>
        <v>P0313 | Splitter y Extensor HDMI 2X</v>
      </c>
      <c r="H314" t="str">
        <f>IF(Eventos!A314="","",Eventos!A314&amp;" | "&amp;Eventos!B314)</f>
        <v/>
      </c>
    </row>
    <row r="315" spans="1:8">
      <c r="A315" t="str">
        <f>IF(Productos!A315="","",Productos!A315&amp;" | "&amp;Productos!B315)</f>
        <v>P0314 | Spots Waterproof 350w</v>
      </c>
      <c r="H315" t="str">
        <f>IF(Eventos!A315="","",Eventos!A315&amp;" | "&amp;Eventos!B315)</f>
        <v/>
      </c>
    </row>
    <row r="316" spans="1:8">
      <c r="A316" t="str">
        <f>IF(Productos!A316="","",Productos!A316&amp;" | "&amp;Productos!B316)</f>
        <v>P0315 | Stand By Me Android</v>
      </c>
      <c r="H316" t="str">
        <f>IF(Eventos!A316="","",Eventos!A316&amp;" | "&amp;Eventos!B316)</f>
        <v/>
      </c>
    </row>
    <row r="317" spans="1:8">
      <c r="A317" t="str">
        <f>IF(Productos!A317="","",Productos!A317&amp;" | "&amp;Productos!B317)</f>
        <v>P0316 | Stand By Me LG</v>
      </c>
      <c r="H317" t="str">
        <f>IF(Eventos!A317="","",Eventos!A317&amp;" | "&amp;Eventos!B317)</f>
        <v/>
      </c>
    </row>
    <row r="318" spans="1:8">
      <c r="A318" t="str">
        <f>IF(Productos!A318="","",Productos!A318&amp;" | "&amp;Productos!B318)</f>
        <v>P0317 | Subwoofe SUB915</v>
      </c>
      <c r="H318" t="str">
        <f>IF(Eventos!A318="","",Eventos!A318&amp;" | "&amp;Eventos!B318)</f>
        <v/>
      </c>
    </row>
    <row r="319" spans="1:8">
      <c r="A319" t="str">
        <f>IF(Productos!A319="","",Productos!A319&amp;" | "&amp;Productos!B319)</f>
        <v>P0318 | Subwoofer SUB218</v>
      </c>
      <c r="H319" t="str">
        <f>IF(Eventos!A319="","",Eventos!A319&amp;" | "&amp;Eventos!B319)</f>
        <v/>
      </c>
    </row>
    <row r="320" spans="1:8">
      <c r="A320" t="str">
        <f>IF(Productos!A320="","",Productos!A320&amp;" | "&amp;Productos!B320)</f>
        <v>P0319 | Subwoofer SUB918</v>
      </c>
      <c r="H320" t="str">
        <f>IF(Eventos!A320="","",Eventos!A320&amp;" | "&amp;Eventos!B320)</f>
        <v/>
      </c>
    </row>
    <row r="321" spans="1:8">
      <c r="A321" t="str">
        <f>IF(Productos!A321="","",Productos!A321&amp;" | "&amp;Productos!B321)</f>
        <v>P0320 | Subwoofer VIO S318</v>
      </c>
      <c r="H321" t="str">
        <f>IF(Eventos!A321="","",Eventos!A321&amp;" | "&amp;Eventos!B321)</f>
        <v/>
      </c>
    </row>
    <row r="322" spans="1:8">
      <c r="A322" t="str">
        <f>IF(Productos!A322="","",Productos!A322&amp;" | "&amp;Productos!B322)</f>
        <v>P0321 | Switcher Blackmagic Atem mini</v>
      </c>
      <c r="H322" t="str">
        <f>IF(Eventos!A322="","",Eventos!A322&amp;" | "&amp;Eventos!B322)</f>
        <v/>
      </c>
    </row>
    <row r="323" spans="1:8">
      <c r="A323" t="str">
        <f>IF(Productos!A323="","",Productos!A323&amp;" | "&amp;Productos!B323)</f>
        <v>P0322 | Switcher Blackmagic Atem mini EXTREME ISO</v>
      </c>
      <c r="H323" t="str">
        <f>IF(Eventos!A323="","",Eventos!A323&amp;" | "&amp;Eventos!B323)</f>
        <v/>
      </c>
    </row>
    <row r="324" spans="1:8">
      <c r="A324" t="str">
        <f>IF(Productos!A324="","",Productos!A324&amp;" | "&amp;Productos!B324)</f>
        <v>P0323 | Switcher Blackmagic Atem mini HDMIX4</v>
      </c>
      <c r="H324" t="str">
        <f>IF(Eventos!A324="","",Eventos!A324&amp;" | "&amp;Eventos!B324)</f>
        <v/>
      </c>
    </row>
    <row r="325" spans="1:8">
      <c r="A325" t="str">
        <f>IF(Productos!A325="","",Productos!A325&amp;" | "&amp;Productos!B325)</f>
        <v>P0324 | TV 32 Pulgadas</v>
      </c>
      <c r="H325" t="str">
        <f>IF(Eventos!A325="","",Eventos!A325&amp;" | "&amp;Eventos!B325)</f>
        <v/>
      </c>
    </row>
    <row r="326" spans="1:8">
      <c r="A326" t="str">
        <f>IF(Productos!A326="","",Productos!A326&amp;" | "&amp;Productos!B326)</f>
        <v>P0325 | TV 55 Pulgadas</v>
      </c>
      <c r="H326" t="str">
        <f>IF(Eventos!A326="","",Eventos!A326&amp;" | "&amp;Eventos!B326)</f>
        <v/>
      </c>
    </row>
    <row r="327" spans="1:8">
      <c r="A327" t="str">
        <f>IF(Productos!A327="","",Productos!A327&amp;" | "&amp;Productos!B327)</f>
        <v>P0326 | TV 65 Pulgadas</v>
      </c>
      <c r="H327" t="str">
        <f>IF(Eventos!A327="","",Eventos!A327&amp;" | "&amp;Eventos!B327)</f>
        <v/>
      </c>
    </row>
    <row r="328" spans="1:8">
      <c r="A328" t="str">
        <f>IF(Productos!A328="","",Productos!A328&amp;" | "&amp;Productos!B328)</f>
        <v>P0327 | TV 70 Pulgadas</v>
      </c>
      <c r="H328" t="str">
        <f>IF(Eventos!A328="","",Eventos!A328&amp;" | "&amp;Eventos!B328)</f>
        <v/>
      </c>
    </row>
    <row r="329" spans="1:8">
      <c r="A329" t="str">
        <f>IF(Productos!A329="","",Productos!A329&amp;" | "&amp;Productos!B329)</f>
        <v>P0328 | TV 75 Pulgadas</v>
      </c>
      <c r="H329" t="str">
        <f>IF(Eventos!A329="","",Eventos!A329&amp;" | "&amp;Eventos!B329)</f>
        <v/>
      </c>
    </row>
    <row r="330" spans="1:8">
      <c r="A330" t="str">
        <f>IF(Productos!A330="","",Productos!A330&amp;" | "&amp;Productos!B330)</f>
        <v>P0329 | Taburete Blanco</v>
      </c>
      <c r="H330" t="str">
        <f>IF(Eventos!A330="","",Eventos!A330&amp;" | "&amp;Eventos!B330)</f>
        <v/>
      </c>
    </row>
    <row r="331" spans="1:8">
      <c r="A331" t="str">
        <f>IF(Productos!A331="","",Productos!A331&amp;" | "&amp;Productos!B331)</f>
        <v>P0330 | Taburete Blanco Alto</v>
      </c>
      <c r="H331" t="str">
        <f>IF(Eventos!A331="","",Eventos!A331&amp;" | "&amp;Eventos!B331)</f>
        <v/>
      </c>
    </row>
    <row r="332" spans="1:8">
      <c r="A332" t="str">
        <f>IF(Productos!A332="","",Productos!A332&amp;" | "&amp;Productos!B332)</f>
        <v>P0331 | Tarima Cajas de Niveles</v>
      </c>
      <c r="H332" t="str">
        <f>IF(Eventos!A332="","",Eventos!A332&amp;" | "&amp;Eventos!B332)</f>
        <v/>
      </c>
    </row>
    <row r="333" spans="1:8">
      <c r="A333" t="str">
        <f>IF(Productos!A333="","",Productos!A333&amp;" | "&amp;Productos!B333)</f>
        <v>P0332 | Tarima Cruceta de 4</v>
      </c>
      <c r="H333" t="str">
        <f>IF(Eventos!A333="","",Eventos!A333&amp;" | "&amp;Eventos!B333)</f>
        <v/>
      </c>
    </row>
    <row r="334" spans="1:8">
      <c r="A334" t="str">
        <f>IF(Productos!A334="","",Productos!A334&amp;" | "&amp;Productos!B334)</f>
        <v>P0333 | Tarima Escalera</v>
      </c>
      <c r="H334" t="str">
        <f>IF(Eventos!A334="","",Eventos!A334&amp;" | "&amp;Eventos!B334)</f>
        <v/>
      </c>
    </row>
    <row r="335" spans="1:8">
      <c r="A335" t="str">
        <f>IF(Productos!A335="","",Productos!A335&amp;" | "&amp;Productos!B335)</f>
        <v>P0334 | Tarima Módulo 1x1m</v>
      </c>
      <c r="H335" t="str">
        <f>IF(Eventos!A335="","",Eventos!A335&amp;" | "&amp;Eventos!B335)</f>
        <v/>
      </c>
    </row>
    <row r="336" spans="1:8">
      <c r="A336" t="str">
        <f>IF(Productos!A336="","",Productos!A336&amp;" | "&amp;Productos!B336)</f>
        <v>P0335 | Tarima Módulo de 2x1m</v>
      </c>
      <c r="H336" t="str">
        <f>IF(Eventos!A336="","",Eventos!A336&amp;" | "&amp;Eventos!B336)</f>
        <v/>
      </c>
    </row>
    <row r="337" spans="1:8">
      <c r="A337" t="str">
        <f>IF(Productos!A337="","",Productos!A337&amp;" | "&amp;Productos!B337)</f>
        <v>P0336 | Tarima Niveles</v>
      </c>
      <c r="H337" t="str">
        <f>IF(Eventos!A337="","",Eventos!A337&amp;" | "&amp;Eventos!B337)</f>
        <v/>
      </c>
    </row>
    <row r="338" spans="1:8">
      <c r="A338" t="str">
        <f>IF(Productos!A338="","",Productos!A338&amp;" | "&amp;Productos!B338)</f>
        <v>P0337 | Tarima Pasamanos</v>
      </c>
      <c r="H338" t="str">
        <f>IF(Eventos!A338="","",Eventos!A338&amp;" | "&amp;Eventos!B338)</f>
        <v/>
      </c>
    </row>
    <row r="339" spans="1:8">
      <c r="A339" t="str">
        <f>IF(Productos!A339="","",Productos!A339&amp;" | "&amp;Productos!B339)</f>
        <v>P0338 | Tarima Pata de 1m</v>
      </c>
      <c r="H339" t="str">
        <f>IF(Eventos!A339="","",Eventos!A339&amp;" | "&amp;Eventos!B339)</f>
        <v/>
      </c>
    </row>
    <row r="340" spans="1:8">
      <c r="A340" t="str">
        <f>IF(Productos!A340="","",Productos!A340&amp;" | "&amp;Productos!B340)</f>
        <v>P0339 | Tarima Platina+Tornillo</v>
      </c>
      <c r="H340" t="str">
        <f>IF(Eventos!A340="","",Eventos!A340&amp;" | "&amp;Eventos!B340)</f>
        <v/>
      </c>
    </row>
    <row r="341" spans="1:8">
      <c r="A341" t="str">
        <f>IF(Productos!A341="","",Productos!A341&amp;" | "&amp;Productos!B341)</f>
        <v>P0340 | Tarima Refuerzo Doble</v>
      </c>
      <c r="H341" t="str">
        <f>IF(Eventos!A341="","",Eventos!A341&amp;" | "&amp;Eventos!B341)</f>
        <v/>
      </c>
    </row>
    <row r="342" spans="1:8">
      <c r="A342" t="str">
        <f>IF(Productos!A342="","",Productos!A342&amp;" | "&amp;Productos!B342)</f>
        <v>P0341 | Tarima Sargentos</v>
      </c>
      <c r="H342" t="str">
        <f>IF(Eventos!A342="","",Eventos!A342&amp;" | "&amp;Eventos!B342)</f>
        <v/>
      </c>
    </row>
    <row r="343" spans="1:8">
      <c r="A343" t="str">
        <f>IF(Productos!A343="","",Productos!A343&amp;" | "&amp;Productos!B343)</f>
        <v>P0342 | Tarima Tornillos</v>
      </c>
      <c r="H343" t="str">
        <f>IF(Eventos!A343="","",Eventos!A343&amp;" | "&amp;Eventos!B343)</f>
        <v/>
      </c>
    </row>
    <row r="344" spans="1:8">
      <c r="A344" t="str">
        <f>IF(Productos!A344="","",Productos!A344&amp;" | "&amp;Productos!B344)</f>
        <v>P0343 | Tarima patas de 40cm</v>
      </c>
      <c r="H344" t="str">
        <f>IF(Eventos!A344="","",Eventos!A344&amp;" | "&amp;Eventos!B344)</f>
        <v/>
      </c>
    </row>
    <row r="345" spans="1:8">
      <c r="A345" t="str">
        <f>IF(Productos!A345="","",Productos!A345&amp;" | "&amp;Productos!B345)</f>
        <v>P0344 | Tarjeta Receptora NOVA A8S-N</v>
      </c>
      <c r="H345" t="str">
        <f>IF(Eventos!A345="","",Eventos!A345&amp;" | "&amp;Eventos!B345)</f>
        <v/>
      </c>
    </row>
    <row r="346" spans="1:8">
      <c r="A346" t="str">
        <f>IF(Productos!A346="","",Productos!A346&amp;" | "&amp;Productos!B346)</f>
        <v>P0345 | Tarjeta Receptora NOVA A8S-N</v>
      </c>
      <c r="H346" t="str">
        <f>IF(Eventos!A346="","",Eventos!A346&amp;" | "&amp;Eventos!B346)</f>
        <v/>
      </c>
    </row>
    <row r="347" spans="1:8">
      <c r="A347" t="str">
        <f>IF(Productos!A347="","",Productos!A347&amp;" | "&amp;Productos!B347)</f>
        <v>P0346 | Tarjeta Receptora NOVA A8S-N REPUESTO</v>
      </c>
      <c r="H347" t="str">
        <f>IF(Eventos!A347="","",Eventos!A347&amp;" | "&amp;Eventos!B347)</f>
        <v/>
      </c>
    </row>
    <row r="348" spans="1:8">
      <c r="A348" t="str">
        <f>IF(Productos!A348="","",Productos!A348&amp;" | "&amp;Productos!B348)</f>
        <v>P0347 | Teclado USB</v>
      </c>
      <c r="H348" t="str">
        <f>IF(Eventos!A348="","",Eventos!A348&amp;" | "&amp;Eventos!B348)</f>
        <v/>
      </c>
    </row>
    <row r="349" spans="1:8">
      <c r="A349" t="str">
        <f>IF(Productos!A349="","",Productos!A349&amp;" | "&amp;Productos!B349)</f>
        <v>P0348 | Teclado inalámbrico</v>
      </c>
      <c r="H349" t="str">
        <f>IF(Eventos!A349="","",Eventos!A349&amp;" | "&amp;Eventos!B349)</f>
        <v/>
      </c>
    </row>
    <row r="350" spans="1:8">
      <c r="A350" t="str">
        <f>IF(Productos!A350="","",Productos!A350&amp;" | "&amp;Productos!B350)</f>
        <v>P0349 | Teleprompter</v>
      </c>
      <c r="H350" t="str">
        <f>IF(Eventos!A350="","",Eventos!A350&amp;" | "&amp;Eventos!B350)</f>
        <v/>
      </c>
    </row>
    <row r="351" spans="1:8">
      <c r="A351" t="str">
        <f>IF(Productos!A351="","",Productos!A351&amp;" | "&amp;Productos!B351)</f>
        <v>P0350 | Touchmix 16 QSC</v>
      </c>
      <c r="H351" t="str">
        <f>IF(Eventos!A351="","",Eventos!A351&amp;" | "&amp;Eventos!B351)</f>
        <v/>
      </c>
    </row>
    <row r="352" spans="1:8">
      <c r="A352" t="str">
        <f>IF(Productos!A352="","",Productos!A352&amp;" | "&amp;Productos!B352)</f>
        <v>P0351 | Tripode Cámara PTZ</v>
      </c>
      <c r="H352" t="str">
        <f>IF(Eventos!A352="","",Eventos!A352&amp;" | "&amp;Eventos!B352)</f>
        <v/>
      </c>
    </row>
    <row r="353" spans="1:8">
      <c r="A353" t="str">
        <f>IF(Productos!A353="","",Productos!A353&amp;" | "&amp;Productos!B353)</f>
        <v>P0352 | Tripode Cámara Video</v>
      </c>
      <c r="H353" t="str">
        <f>IF(Eventos!A353="","",Eventos!A353&amp;" | "&amp;Eventos!B353)</f>
        <v/>
      </c>
    </row>
    <row r="354" spans="1:8">
      <c r="A354" t="str">
        <f>IF(Productos!A354="","",Productos!A354&amp;" | "&amp;Productos!B354)</f>
        <v>P0353 | Tripode Cámara Video con Estuche</v>
      </c>
      <c r="H354" t="str">
        <f>IF(Eventos!A354="","",Eventos!A354&amp;" | "&amp;Eventos!B354)</f>
        <v/>
      </c>
    </row>
    <row r="355" spans="1:8">
      <c r="A355" t="str">
        <f>IF(Productos!A355="","",Productos!A355&amp;" | "&amp;Productos!B355)</f>
        <v>P0354 | Tripode Pequeño para Transmisor</v>
      </c>
      <c r="H355" t="str">
        <f>IF(Eventos!A355="","",Eventos!A355&amp;" | "&amp;Eventos!B355)</f>
        <v/>
      </c>
    </row>
    <row r="356" spans="1:8">
      <c r="A356" t="str">
        <f>IF(Productos!A356="","",Productos!A356&amp;" | "&amp;Productos!B356)</f>
        <v>P0355 | Truss Conexiones 90 grados</v>
      </c>
      <c r="H356" t="str">
        <f>IF(Eventos!A356="","",Eventos!A356&amp;" | "&amp;Eventos!B356)</f>
        <v/>
      </c>
    </row>
    <row r="357" spans="1:8">
      <c r="A357" t="str">
        <f>IF(Productos!A357="","",Productos!A357&amp;" | "&amp;Productos!B357)</f>
        <v>P0356 | Truss Curvo 45°</v>
      </c>
      <c r="H357" t="str">
        <f>IF(Eventos!A357="","",Eventos!A357&amp;" | "&amp;Eventos!B357)</f>
        <v/>
      </c>
    </row>
    <row r="358" spans="1:8">
      <c r="A358" t="str">
        <f>IF(Productos!A358="","",Productos!A358&amp;" | "&amp;Productos!B358)</f>
        <v>P0357 | Truss Curvo 90°</v>
      </c>
      <c r="H358" t="str">
        <f>IF(Eventos!A358="","",Eventos!A358&amp;" | "&amp;Eventos!B358)</f>
        <v/>
      </c>
    </row>
    <row r="359" spans="1:8">
      <c r="A359" t="str">
        <f>IF(Productos!A359="","",Productos!A359&amp;" | "&amp;Productos!B359)</f>
        <v>P0358 | Truss Plancha hierro</v>
      </c>
      <c r="H359" t="str">
        <f>IF(Eventos!A359="","",Eventos!A359&amp;" | "&amp;Eventos!B359)</f>
        <v/>
      </c>
    </row>
    <row r="360" spans="1:8">
      <c r="A360" t="str">
        <f>IF(Productos!A360="","",Productos!A360&amp;" | "&amp;Productos!B360)</f>
        <v>P0359 | Truss Plano Medida 1.5M</v>
      </c>
      <c r="H360" t="str">
        <f>IF(Eventos!A360="","",Eventos!A360&amp;" | "&amp;Eventos!B360)</f>
        <v/>
      </c>
    </row>
    <row r="361" spans="1:8">
      <c r="A361" t="str">
        <f>IF(Productos!A361="","",Productos!A361&amp;" | "&amp;Productos!B361)</f>
        <v>P0360 | Truss Plano Medida 1M</v>
      </c>
      <c r="H361" t="str">
        <f>IF(Eventos!A361="","",Eventos!A361&amp;" | "&amp;Eventos!B361)</f>
        <v/>
      </c>
    </row>
    <row r="362" spans="1:8">
      <c r="A362" t="str">
        <f>IF(Productos!A362="","",Productos!A362&amp;" | "&amp;Productos!B362)</f>
        <v>P0361 | Truss Plano Medida 2M</v>
      </c>
      <c r="H362" t="str">
        <f>IF(Eventos!A362="","",Eventos!A362&amp;" | "&amp;Eventos!B362)</f>
        <v/>
      </c>
    </row>
    <row r="363" spans="1:8">
      <c r="A363" t="str">
        <f>IF(Productos!A363="","",Productos!A363&amp;" | "&amp;Productos!B363)</f>
        <v>P0362 | Truss Plano Medida 3M</v>
      </c>
      <c r="H363" t="str">
        <f>IF(Eventos!A363="","",Eventos!A363&amp;" | "&amp;Eventos!B363)</f>
        <v/>
      </c>
    </row>
    <row r="364" spans="1:8">
      <c r="A364" t="str">
        <f>IF(Productos!A364="","",Productos!A364&amp;" | "&amp;Productos!B364)</f>
        <v>P0363 | Truss Plano Tipo L</v>
      </c>
      <c r="H364" t="str">
        <f>IF(Eventos!A364="","",Eventos!A364&amp;" | "&amp;Eventos!B364)</f>
        <v/>
      </c>
    </row>
    <row r="365" spans="1:8">
      <c r="A365" t="str">
        <f>IF(Productos!A365="","",Productos!A365&amp;" | "&amp;Productos!B365)</f>
        <v>P0364 | Truss Plato aluminio</v>
      </c>
      <c r="H365" t="str">
        <f>IF(Eventos!A365="","",Eventos!A365&amp;" | "&amp;Eventos!B365)</f>
        <v/>
      </c>
    </row>
    <row r="366" spans="1:8">
      <c r="A366" t="str">
        <f>IF(Productos!A366="","",Productos!A366&amp;" | "&amp;Productos!B366)</f>
        <v>P0365 | Truss30  3 vias (esquinas)</v>
      </c>
      <c r="H366" t="str">
        <f>IF(Eventos!A366="","",Eventos!A366&amp;" | "&amp;Eventos!B366)</f>
        <v/>
      </c>
    </row>
    <row r="367" spans="1:8">
      <c r="A367" t="str">
        <f>IF(Productos!A367="","",Productos!A367&amp;" | "&amp;Productos!B367)</f>
        <v>P0366 | Truss30  Tipo T</v>
      </c>
      <c r="H367" t="str">
        <f>IF(Eventos!A367="","",Eventos!A367&amp;" | "&amp;Eventos!B367)</f>
        <v/>
      </c>
    </row>
    <row r="368" spans="1:8">
      <c r="A368" t="str">
        <f>IF(Productos!A368="","",Productos!A368&amp;" | "&amp;Productos!B368)</f>
        <v>P0367 | Truss30 4 vías Tipo Cruz</v>
      </c>
      <c r="H368" t="str">
        <f>IF(Eventos!A368="","",Eventos!A368&amp;" | "&amp;Eventos!B368)</f>
        <v/>
      </c>
    </row>
    <row r="369" spans="1:8">
      <c r="A369" t="str">
        <f>IF(Productos!A369="","",Productos!A369&amp;" | "&amp;Productos!B369)</f>
        <v>P0368 | Truss30 Medida 0.5M</v>
      </c>
      <c r="H369" t="str">
        <f>IF(Eventos!A369="","",Eventos!A369&amp;" | "&amp;Eventos!B369)</f>
        <v/>
      </c>
    </row>
    <row r="370" spans="1:8">
      <c r="A370" t="str">
        <f>IF(Productos!A370="","",Productos!A370&amp;" | "&amp;Productos!B370)</f>
        <v>P0369 | Truss30 Medida 1.5</v>
      </c>
      <c r="H370" t="str">
        <f>IF(Eventos!A370="","",Eventos!A370&amp;" | "&amp;Eventos!B370)</f>
        <v/>
      </c>
    </row>
    <row r="371" spans="1:8">
      <c r="A371" t="str">
        <f>IF(Productos!A371="","",Productos!A371&amp;" | "&amp;Productos!B371)</f>
        <v>P0370 | Truss30 Medida 1M</v>
      </c>
      <c r="H371" t="str">
        <f>IF(Eventos!A371="","",Eventos!A371&amp;" | "&amp;Eventos!B371)</f>
        <v/>
      </c>
    </row>
    <row r="372" spans="1:8">
      <c r="A372" t="str">
        <f>IF(Productos!A372="","",Productos!A372&amp;" | "&amp;Productos!B372)</f>
        <v>P0371 | Truss30 Medida 2.5M</v>
      </c>
      <c r="H372" t="str">
        <f>IF(Eventos!A372="","",Eventos!A372&amp;" | "&amp;Eventos!B372)</f>
        <v/>
      </c>
    </row>
    <row r="373" spans="1:8">
      <c r="A373" t="str">
        <f>IF(Productos!A373="","",Productos!A373&amp;" | "&amp;Productos!B373)</f>
        <v>P0372 | Truss30 Medida 2M</v>
      </c>
      <c r="H373" t="str">
        <f>IF(Eventos!A373="","",Eventos!A373&amp;" | "&amp;Eventos!B373)</f>
        <v/>
      </c>
    </row>
    <row r="374" spans="1:8">
      <c r="A374" t="str">
        <f>IF(Productos!A374="","",Productos!A374&amp;" | "&amp;Productos!B374)</f>
        <v>P0373 | Truss30 Medida 3M</v>
      </c>
      <c r="H374" t="str">
        <f>IF(Eventos!A374="","",Eventos!A374&amp;" | "&amp;Eventos!B374)</f>
        <v/>
      </c>
    </row>
    <row r="375" spans="1:8">
      <c r="A375" t="str">
        <f>IF(Productos!A375="","",Productos!A375&amp;" | "&amp;Productos!B375)</f>
        <v>P0374 | Truss30 Triangulo</v>
      </c>
      <c r="H375" t="str">
        <f>IF(Eventos!A375="","",Eventos!A375&amp;" | "&amp;Eventos!B375)</f>
        <v/>
      </c>
    </row>
    <row r="376" spans="1:8">
      <c r="A376" t="str">
        <f>IF(Productos!A376="","",Productos!A376&amp;" | "&amp;Productos!B376)</f>
        <v>P0375 | Tu 20 PRO</v>
      </c>
      <c r="H376" t="str">
        <f>IF(Eventos!A376="","",Eventos!A376&amp;" | "&amp;Eventos!B376)</f>
        <v/>
      </c>
    </row>
    <row r="377" spans="1:8">
      <c r="A377" t="str">
        <f>IF(Productos!A377="","",Productos!A377&amp;" | "&amp;Productos!B377)</f>
        <v>P0376 | Tubo 1.5M</v>
      </c>
      <c r="H377" t="str">
        <f>IF(Eventos!A377="","",Eventos!A377&amp;" | "&amp;Eventos!B377)</f>
        <v/>
      </c>
    </row>
    <row r="378" spans="1:8">
      <c r="A378" t="str">
        <f>IF(Productos!A378="","",Productos!A378&amp;" | "&amp;Productos!B378)</f>
        <v>P0377 | Tubo 21 centímetros</v>
      </c>
      <c r="H378" t="str">
        <f>IF(Eventos!A378="","",Eventos!A378&amp;" | "&amp;Eventos!B378)</f>
        <v/>
      </c>
    </row>
    <row r="379" spans="1:8">
      <c r="A379" t="str">
        <f>IF(Productos!A379="","",Productos!A379&amp;" | "&amp;Productos!B379)</f>
        <v>P0378 | UPS 3K TrippLite</v>
      </c>
      <c r="H379" t="str">
        <f>IF(Eventos!A379="","",Eventos!A379&amp;" | "&amp;Eventos!B379)</f>
        <v/>
      </c>
    </row>
    <row r="380" spans="1:8">
      <c r="A380" t="str">
        <f>IF(Productos!A380="","",Productos!A380&amp;" | "&amp;Productos!B380)</f>
        <v>P0379 | Ultrastudio HD MINI Blackmagic</v>
      </c>
      <c r="H380" t="str">
        <f>IF(Eventos!A380="","",Eventos!A380&amp;" | "&amp;Eventos!B380)</f>
        <v/>
      </c>
    </row>
    <row r="381" spans="1:8">
      <c r="A381" t="str">
        <f>IF(Productos!A381="","",Productos!A381&amp;" | "&amp;Productos!B381)</f>
        <v>P0380 | Union Truss</v>
      </c>
      <c r="H381" t="str">
        <f>IF(Eventos!A381="","",Eventos!A381&amp;" | "&amp;Eventos!B381)</f>
        <v/>
      </c>
    </row>
    <row r="382" spans="1:8">
      <c r="A382" t="str">
        <f>IF(Productos!A382="","",Productos!A382&amp;" | "&amp;Productos!B382)</f>
        <v>P0381 | VIO DOLLY L210</v>
      </c>
      <c r="H382" t="str">
        <f>IF(Eventos!A382="","",Eventos!A382&amp;" | "&amp;Eventos!B382)</f>
        <v/>
      </c>
    </row>
    <row r="383" spans="1:8">
      <c r="A383" t="str">
        <f>IF(Productos!A383="","",Productos!A383&amp;" | "&amp;Productos!B383)</f>
        <v>P0382 | VIO TRANSITION</v>
      </c>
      <c r="H383" t="str">
        <f>IF(Eventos!A383="","",Eventos!A383&amp;" | "&amp;Eventos!B383)</f>
        <v/>
      </c>
    </row>
    <row r="384" spans="1:8">
      <c r="A384" t="str">
        <f>IF(Productos!A384="","",Productos!A384&amp;" | "&amp;Productos!B384)</f>
        <v>P0383 | Ventilador Regular</v>
      </c>
      <c r="H384" t="str">
        <f>IF(Eventos!A384="","",Eventos!A384&amp;" | "&amp;Eventos!B384)</f>
        <v/>
      </c>
    </row>
    <row r="385" spans="1:8">
      <c r="A385" t="str">
        <f>IF(Productos!A385="","",Productos!A385&amp;" | "&amp;Productos!B385)</f>
        <v>P0384 | Vx 1000</v>
      </c>
      <c r="H385" t="str">
        <f>IF(Eventos!A385="","",Eventos!A385&amp;" | "&amp;Eventos!B385)</f>
        <v/>
      </c>
    </row>
    <row r="386" spans="1:8">
      <c r="A386" t="str">
        <f>IF(Productos!A386="","",Productos!A386&amp;" | "&amp;Productos!B386)</f>
        <v>P0385 | Vx 400S</v>
      </c>
      <c r="H386" t="str">
        <f>IF(Eventos!A386="","",Eventos!A386&amp;" | "&amp;Eventos!B386)</f>
        <v/>
      </c>
    </row>
    <row r="387" spans="1:8">
      <c r="A387" t="str">
        <f>IF(Productos!A387="","",Productos!A387&amp;" | "&amp;Productos!B387)</f>
        <v>P0386 | Vx 600</v>
      </c>
      <c r="H387" t="str">
        <f>IF(Eventos!A387="","",Eventos!A387&amp;" | "&amp;Eventos!B387)</f>
        <v/>
      </c>
    </row>
    <row r="388" spans="1:8">
      <c r="A388" t="str">
        <f>IF(Productos!A388="","",Productos!A388&amp;" | "&amp;Productos!B388)</f>
        <v>P0387 | Vx-1000</v>
      </c>
      <c r="H388" t="str">
        <f>IF(Eventos!A388="","",Eventos!A388&amp;" | "&amp;Eventos!B388)</f>
        <v/>
      </c>
    </row>
    <row r="389" spans="1:8">
      <c r="A389" t="str">
        <f>IF(Productos!A389="","",Productos!A389&amp;" | "&amp;Productos!B389)</f>
        <v>P0388 | Vx-400</v>
      </c>
      <c r="H389" t="str">
        <f>IF(Eventos!A389="","",Eventos!A389&amp;" | "&amp;Eventos!B389)</f>
        <v/>
      </c>
    </row>
    <row r="390" spans="1:8">
      <c r="A390" t="str">
        <f>IF(Productos!A390="","",Productos!A390&amp;" | "&amp;Productos!B390)</f>
        <v>P0389 | Vx-400 Pro</v>
      </c>
      <c r="H390" t="str">
        <f>IF(Eventos!A390="","",Eventos!A390&amp;" | "&amp;Eventos!B390)</f>
        <v/>
      </c>
    </row>
    <row r="391" spans="1:8">
      <c r="A391" t="str">
        <f>IF(Productos!A391="","",Productos!A391&amp;" | "&amp;Productos!B391)</f>
        <v>P0390 | Vx-4S</v>
      </c>
      <c r="H391" t="str">
        <f>IF(Eventos!A391="","",Eventos!A391&amp;" | "&amp;Eventos!B391)</f>
        <v/>
      </c>
    </row>
    <row r="392" spans="1:8">
      <c r="A392" t="str">
        <f>IF(Productos!A392="","",Productos!A392&amp;" | "&amp;Productos!B392)</f>
        <v>P0391 | Vx-600</v>
      </c>
      <c r="H392" t="str">
        <f>IF(Eventos!A392="","",Eventos!A392&amp;" | "&amp;Eventos!B392)</f>
        <v/>
      </c>
    </row>
    <row r="393" spans="1:8">
      <c r="A393" t="str">
        <f>IF(Productos!A393="","",Productos!A393&amp;" | "&amp;Productos!B393)</f>
        <v>P0392 | Washlight 101 Martin</v>
      </c>
      <c r="H393" t="str">
        <f>IF(Eventos!A393="","",Eventos!A393&amp;" | "&amp;Eventos!B393)</f>
        <v/>
      </c>
    </row>
    <row r="394" spans="1:8">
      <c r="A394" t="str">
        <f>IF(Productos!A394="","",Productos!A394&amp;" | "&amp;Productos!B394)</f>
        <v>P0393 | XLR ILUMINACION 3PIN</v>
      </c>
      <c r="H394" t="str">
        <f>IF(Eventos!A394="","",Eventos!A394&amp;" | "&amp;Eventos!B394)</f>
        <v/>
      </c>
    </row>
    <row r="395" spans="1:8">
      <c r="A395" t="str">
        <f>IF(Productos!A395="","",Productos!A395&amp;" | "&amp;Productos!B395)</f>
        <v>P0394 | XLR ILUMINACION 5PIN</v>
      </c>
      <c r="H395" t="str">
        <f>IF(Eventos!A395="","",Eventos!A395&amp;" | "&amp;Eventos!B395)</f>
        <v/>
      </c>
    </row>
    <row r="396" spans="1:8">
      <c r="A396" t="str">
        <f>IF(Productos!A396="","",Productos!A396&amp;" | "&amp;Productos!B396)</f>
        <v>P0395 | XLR LASER 3 PIN</v>
      </c>
      <c r="H396" t="str">
        <f>IF(Eventos!A396="","",Eventos!A396&amp;" | "&amp;Eventos!B396)</f>
        <v/>
      </c>
    </row>
    <row r="397" spans="1:8">
      <c r="A397" t="str">
        <f>IF(Productos!A397="","",Productos!A397&amp;" | "&amp;Productos!B397)</f>
        <v>P0396 | antenas de señal DMX</v>
      </c>
      <c r="H397" t="str">
        <f>IF(Eventos!A397="","",Eventos!A397&amp;" | "&amp;Eventos!B397)</f>
        <v/>
      </c>
    </row>
    <row r="398" spans="1:8">
      <c r="A398" t="str">
        <f>IF(Productos!A398="","",Productos!A398&amp;" | "&amp;Productos!B398)</f>
        <v>P0397 | ar-net series  EN6 IP</v>
      </c>
      <c r="H398" t="str">
        <f>IF(Eventos!A398="","",Eventos!A398&amp;" | "&amp;Eventos!B398)</f>
        <v/>
      </c>
    </row>
    <row r="399" spans="1:8">
      <c r="A399" t="str">
        <f>IF(Productos!A399="","",Productos!A399&amp;" | "&amp;Productos!B399)</f>
        <v>P0398 | controlador 3d floor dance</v>
      </c>
      <c r="H399" t="str">
        <f>IF(Eventos!A399="","",Eventos!A399&amp;" | "&amp;Eventos!B399)</f>
        <v/>
      </c>
    </row>
    <row r="400" spans="1:8">
      <c r="A400" t="str">
        <f>IF(Productos!A400="","",Productos!A400&amp;" | "&amp;Productos!B400)</f>
        <v>P0399 | galon agua destilada cumulus hp</v>
      </c>
      <c r="H400" t="str">
        <f>IF(Eventos!A400="","",Eventos!A400&amp;" | "&amp;Eventos!B400)</f>
        <v/>
      </c>
    </row>
    <row r="401" spans="1:8">
      <c r="A401" t="str">
        <f>IF(Productos!A401="","",Productos!A401&amp;" | "&amp;Productos!B401)</f>
        <v/>
      </c>
      <c r="H401" t="str">
        <f>IF(Eventos!A401="","",Eventos!A401&amp;" | "&amp;Eventos!B401)</f>
        <v/>
      </c>
    </row>
    <row r="402" spans="1:8">
      <c r="A402" t="str">
        <f>IF(Productos!A402="","",Productos!A402&amp;" | "&amp;Productos!B402)</f>
        <v/>
      </c>
      <c r="H402" t="str">
        <f>IF(Eventos!A402="","",Eventos!A402&amp;" | "&amp;Eventos!B402)</f>
        <v/>
      </c>
    </row>
    <row r="403" spans="1:8">
      <c r="A403" t="str">
        <f>IF(Productos!A403="","",Productos!A403&amp;" | "&amp;Productos!B403)</f>
        <v/>
      </c>
      <c r="H403" t="str">
        <f>IF(Eventos!A403="","",Eventos!A403&amp;" | "&amp;Eventos!B403)</f>
        <v/>
      </c>
    </row>
    <row r="404" spans="1:8">
      <c r="A404" t="str">
        <f>IF(Productos!A404="","",Productos!A404&amp;" | "&amp;Productos!B404)</f>
        <v/>
      </c>
      <c r="H404" t="str">
        <f>IF(Eventos!A404="","",Eventos!A404&amp;" | "&amp;Eventos!B404)</f>
        <v/>
      </c>
    </row>
    <row r="405" spans="1:8">
      <c r="A405" t="str">
        <f>IF(Productos!A405="","",Productos!A405&amp;" | "&amp;Productos!B405)</f>
        <v/>
      </c>
      <c r="H405" t="str">
        <f>IF(Eventos!A405="","",Eventos!A405&amp;" | "&amp;Eventos!B405)</f>
        <v/>
      </c>
    </row>
    <row r="406" spans="1:8">
      <c r="A406" t="str">
        <f>IF(Productos!A406="","",Productos!A406&amp;" | "&amp;Productos!B406)</f>
        <v/>
      </c>
      <c r="H406" t="str">
        <f>IF(Eventos!A406="","",Eventos!A406&amp;" | "&amp;Eventos!B406)</f>
        <v/>
      </c>
    </row>
    <row r="407" spans="1:8">
      <c r="A407" t="str">
        <f>IF(Productos!A407="","",Productos!A407&amp;" | "&amp;Productos!B407)</f>
        <v/>
      </c>
      <c r="H407" t="str">
        <f>IF(Eventos!A407="","",Eventos!A407&amp;" | "&amp;Eventos!B407)</f>
        <v/>
      </c>
    </row>
    <row r="408" spans="1:8">
      <c r="A408" t="str">
        <f>IF(Productos!A408="","",Productos!A408&amp;" | "&amp;Productos!B408)</f>
        <v/>
      </c>
      <c r="H408" t="str">
        <f>IF(Eventos!A408="","",Eventos!A408&amp;" | "&amp;Eventos!B408)</f>
        <v/>
      </c>
    </row>
    <row r="409" spans="1:8">
      <c r="A409" t="str">
        <f>IF(Productos!A409="","",Productos!A409&amp;" | "&amp;Productos!B409)</f>
        <v/>
      </c>
      <c r="H409" t="str">
        <f>IF(Eventos!A409="","",Eventos!A409&amp;" | "&amp;Eventos!B409)</f>
        <v/>
      </c>
    </row>
    <row r="410" spans="1:8">
      <c r="A410" t="str">
        <f>IF(Productos!A410="","",Productos!A410&amp;" | "&amp;Productos!B410)</f>
        <v/>
      </c>
      <c r="H410" t="str">
        <f>IF(Eventos!A410="","",Eventos!A410&amp;" | "&amp;Eventos!B410)</f>
        <v/>
      </c>
    </row>
    <row r="411" spans="1:8">
      <c r="A411" t="str">
        <f>IF(Productos!A411="","",Productos!A411&amp;" | "&amp;Productos!B411)</f>
        <v/>
      </c>
      <c r="H411" t="str">
        <f>IF(Eventos!A411="","",Eventos!A411&amp;" | "&amp;Eventos!B411)</f>
        <v/>
      </c>
    </row>
    <row r="412" spans="1:8">
      <c r="A412" t="str">
        <f>IF(Productos!A412="","",Productos!A412&amp;" | "&amp;Productos!B412)</f>
        <v/>
      </c>
      <c r="H412" t="str">
        <f>IF(Eventos!A412="","",Eventos!A412&amp;" | "&amp;Eventos!B412)</f>
        <v/>
      </c>
    </row>
    <row r="413" spans="1:8">
      <c r="A413" t="str">
        <f>IF(Productos!A413="","",Productos!A413&amp;" | "&amp;Productos!B413)</f>
        <v/>
      </c>
      <c r="H413" t="str">
        <f>IF(Eventos!A413="","",Eventos!A413&amp;" | "&amp;Eventos!B413)</f>
        <v/>
      </c>
    </row>
    <row r="414" spans="1:8">
      <c r="A414" t="str">
        <f>IF(Productos!A414="","",Productos!A414&amp;" | "&amp;Productos!B414)</f>
        <v/>
      </c>
      <c r="H414" t="str">
        <f>IF(Eventos!A414="","",Eventos!A414&amp;" | "&amp;Eventos!B414)</f>
        <v/>
      </c>
    </row>
    <row r="415" spans="1:8">
      <c r="A415" t="str">
        <f>IF(Productos!A415="","",Productos!A415&amp;" | "&amp;Productos!B415)</f>
        <v/>
      </c>
      <c r="H415" t="str">
        <f>IF(Eventos!A415="","",Eventos!A415&amp;" | "&amp;Eventos!B415)</f>
        <v/>
      </c>
    </row>
    <row r="416" spans="1:8">
      <c r="A416" t="str">
        <f>IF(Productos!A416="","",Productos!A416&amp;" | "&amp;Productos!B416)</f>
        <v/>
      </c>
      <c r="H416" t="str">
        <f>IF(Eventos!A416="","",Eventos!A416&amp;" | "&amp;Eventos!B416)</f>
        <v/>
      </c>
    </row>
    <row r="417" spans="1:8">
      <c r="A417" t="str">
        <f>IF(Productos!A417="","",Productos!A417&amp;" | "&amp;Productos!B417)</f>
        <v/>
      </c>
      <c r="H417" t="str">
        <f>IF(Eventos!A417="","",Eventos!A417&amp;" | "&amp;Eventos!B417)</f>
        <v/>
      </c>
    </row>
    <row r="418" spans="1:8">
      <c r="A418" t="str">
        <f>IF(Productos!A418="","",Productos!A418&amp;" | "&amp;Productos!B418)</f>
        <v/>
      </c>
      <c r="H418" t="str">
        <f>IF(Eventos!A418="","",Eventos!A418&amp;" | "&amp;Eventos!B418)</f>
        <v/>
      </c>
    </row>
    <row r="419" spans="1:8">
      <c r="A419" t="str">
        <f>IF(Productos!A419="","",Productos!A419&amp;" | "&amp;Productos!B419)</f>
        <v/>
      </c>
      <c r="H419" t="str">
        <f>IF(Eventos!A419="","",Eventos!A419&amp;" | "&amp;Eventos!B419)</f>
        <v/>
      </c>
    </row>
    <row r="420" spans="1:8">
      <c r="A420" t="str">
        <f>IF(Productos!A420="","",Productos!A420&amp;" | "&amp;Productos!B420)</f>
        <v/>
      </c>
      <c r="H420" t="str">
        <f>IF(Eventos!A420="","",Eventos!A420&amp;" | "&amp;Eventos!B420)</f>
        <v/>
      </c>
    </row>
    <row r="421" spans="1:8">
      <c r="A421" t="str">
        <f>IF(Productos!A421="","",Productos!A421&amp;" | "&amp;Productos!B421)</f>
        <v/>
      </c>
      <c r="H421" t="str">
        <f>IF(Eventos!A421="","",Eventos!A421&amp;" | "&amp;Eventos!B421)</f>
        <v/>
      </c>
    </row>
    <row r="422" spans="1:8">
      <c r="A422" t="str">
        <f>IF(Productos!A422="","",Productos!A422&amp;" | "&amp;Productos!B422)</f>
        <v/>
      </c>
      <c r="H422" t="str">
        <f>IF(Eventos!A422="","",Eventos!A422&amp;" | "&amp;Eventos!B422)</f>
        <v/>
      </c>
    </row>
    <row r="423" spans="1:8">
      <c r="A423" t="str">
        <f>IF(Productos!A423="","",Productos!A423&amp;" | "&amp;Productos!B423)</f>
        <v/>
      </c>
      <c r="H423" t="str">
        <f>IF(Eventos!A423="","",Eventos!A423&amp;" | "&amp;Eventos!B423)</f>
        <v/>
      </c>
    </row>
    <row r="424" spans="1:8">
      <c r="A424" t="str">
        <f>IF(Productos!A424="","",Productos!A424&amp;" | "&amp;Productos!B424)</f>
        <v/>
      </c>
      <c r="H424" t="str">
        <f>IF(Eventos!A424="","",Eventos!A424&amp;" | "&amp;Eventos!B424)</f>
        <v/>
      </c>
    </row>
    <row r="425" spans="1:8">
      <c r="A425" t="str">
        <f>IF(Productos!A425="","",Productos!A425&amp;" | "&amp;Productos!B425)</f>
        <v/>
      </c>
      <c r="H425" t="str">
        <f>IF(Eventos!A425="","",Eventos!A425&amp;" | "&amp;Eventos!B425)</f>
        <v/>
      </c>
    </row>
    <row r="426" spans="1:8">
      <c r="A426" t="str">
        <f>IF(Productos!A426="","",Productos!A426&amp;" | "&amp;Productos!B426)</f>
        <v/>
      </c>
      <c r="H426" t="str">
        <f>IF(Eventos!A426="","",Eventos!A426&amp;" | "&amp;Eventos!B426)</f>
        <v/>
      </c>
    </row>
    <row r="427" spans="1:8">
      <c r="A427" t="str">
        <f>IF(Productos!A427="","",Productos!A427&amp;" | "&amp;Productos!B427)</f>
        <v/>
      </c>
      <c r="H427" t="str">
        <f>IF(Eventos!A427="","",Eventos!A427&amp;" | "&amp;Eventos!B427)</f>
        <v/>
      </c>
    </row>
    <row r="428" spans="1:8">
      <c r="A428" t="str">
        <f>IF(Productos!A428="","",Productos!A428&amp;" | "&amp;Productos!B428)</f>
        <v/>
      </c>
      <c r="H428" t="str">
        <f>IF(Eventos!A428="","",Eventos!A428&amp;" | "&amp;Eventos!B428)</f>
        <v/>
      </c>
    </row>
    <row r="429" spans="1:8">
      <c r="A429" t="str">
        <f>IF(Productos!A429="","",Productos!A429&amp;" | "&amp;Productos!B429)</f>
        <v/>
      </c>
      <c r="H429" t="str">
        <f>IF(Eventos!A429="","",Eventos!A429&amp;" | "&amp;Eventos!B429)</f>
        <v/>
      </c>
    </row>
    <row r="430" spans="1:8">
      <c r="A430" t="str">
        <f>IF(Productos!A430="","",Productos!A430&amp;" | "&amp;Productos!B430)</f>
        <v/>
      </c>
      <c r="H430" t="str">
        <f>IF(Eventos!A430="","",Eventos!A430&amp;" | "&amp;Eventos!B430)</f>
        <v/>
      </c>
    </row>
    <row r="431" spans="1:8">
      <c r="A431" t="str">
        <f>IF(Productos!A431="","",Productos!A431&amp;" | "&amp;Productos!B431)</f>
        <v/>
      </c>
      <c r="H431" t="str">
        <f>IF(Eventos!A431="","",Eventos!A431&amp;" | "&amp;Eventos!B431)</f>
        <v/>
      </c>
    </row>
    <row r="432" spans="1:8">
      <c r="A432" t="str">
        <f>IF(Productos!A432="","",Productos!A432&amp;" | "&amp;Productos!B432)</f>
        <v/>
      </c>
      <c r="H432" t="str">
        <f>IF(Eventos!A432="","",Eventos!A432&amp;" | "&amp;Eventos!B432)</f>
        <v/>
      </c>
    </row>
    <row r="433" spans="1:8">
      <c r="A433" t="str">
        <f>IF(Productos!A433="","",Productos!A433&amp;" | "&amp;Productos!B433)</f>
        <v/>
      </c>
      <c r="H433" t="str">
        <f>IF(Eventos!A433="","",Eventos!A433&amp;" | "&amp;Eventos!B433)</f>
        <v/>
      </c>
    </row>
    <row r="434" spans="1:8">
      <c r="A434" t="str">
        <f>IF(Productos!A434="","",Productos!A434&amp;" | "&amp;Productos!B434)</f>
        <v/>
      </c>
      <c r="H434" t="str">
        <f>IF(Eventos!A434="","",Eventos!A434&amp;" | "&amp;Eventos!B434)</f>
        <v/>
      </c>
    </row>
    <row r="435" spans="1:8">
      <c r="A435" t="str">
        <f>IF(Productos!A435="","",Productos!A435&amp;" | "&amp;Productos!B435)</f>
        <v/>
      </c>
      <c r="H435" t="str">
        <f>IF(Eventos!A435="","",Eventos!A435&amp;" | "&amp;Eventos!B435)</f>
        <v/>
      </c>
    </row>
    <row r="436" spans="1:8">
      <c r="A436" t="str">
        <f>IF(Productos!A436="","",Productos!A436&amp;" | "&amp;Productos!B436)</f>
        <v/>
      </c>
      <c r="H436" t="str">
        <f>IF(Eventos!A436="","",Eventos!A436&amp;" | "&amp;Eventos!B436)</f>
        <v/>
      </c>
    </row>
    <row r="437" spans="1:8">
      <c r="A437" t="str">
        <f>IF(Productos!A437="","",Productos!A437&amp;" | "&amp;Productos!B437)</f>
        <v/>
      </c>
      <c r="H437" t="str">
        <f>IF(Eventos!A437="","",Eventos!A437&amp;" | "&amp;Eventos!B437)</f>
        <v/>
      </c>
    </row>
    <row r="438" spans="1:8">
      <c r="A438" t="str">
        <f>IF(Productos!A438="","",Productos!A438&amp;" | "&amp;Productos!B438)</f>
        <v/>
      </c>
      <c r="H438" t="str">
        <f>IF(Eventos!A438="","",Eventos!A438&amp;" | "&amp;Eventos!B438)</f>
        <v/>
      </c>
    </row>
    <row r="439" spans="1:8">
      <c r="A439" t="str">
        <f>IF(Productos!A439="","",Productos!A439&amp;" | "&amp;Productos!B439)</f>
        <v/>
      </c>
      <c r="H439" t="str">
        <f>IF(Eventos!A439="","",Eventos!A439&amp;" | "&amp;Eventos!B439)</f>
        <v/>
      </c>
    </row>
    <row r="440" spans="1:8">
      <c r="A440" t="str">
        <f>IF(Productos!A440="","",Productos!A440&amp;" | "&amp;Productos!B440)</f>
        <v/>
      </c>
      <c r="H440" t="str">
        <f>IF(Eventos!A440="","",Eventos!A440&amp;" | "&amp;Eventos!B440)</f>
        <v/>
      </c>
    </row>
    <row r="441" spans="1:8">
      <c r="A441" t="str">
        <f>IF(Productos!A441="","",Productos!A441&amp;" | "&amp;Productos!B441)</f>
        <v/>
      </c>
      <c r="H441" t="str">
        <f>IF(Eventos!A441="","",Eventos!A441&amp;" | "&amp;Eventos!B441)</f>
        <v/>
      </c>
    </row>
    <row r="442" spans="1:8">
      <c r="A442" t="str">
        <f>IF(Productos!A442="","",Productos!A442&amp;" | "&amp;Productos!B442)</f>
        <v/>
      </c>
      <c r="H442" t="str">
        <f>IF(Eventos!A442="","",Eventos!A442&amp;" | "&amp;Eventos!B442)</f>
        <v/>
      </c>
    </row>
    <row r="443" spans="1:8">
      <c r="A443" t="str">
        <f>IF(Productos!A443="","",Productos!A443&amp;" | "&amp;Productos!B443)</f>
        <v/>
      </c>
      <c r="H443" t="str">
        <f>IF(Eventos!A443="","",Eventos!A443&amp;" | "&amp;Eventos!B443)</f>
        <v/>
      </c>
    </row>
    <row r="444" spans="1:8">
      <c r="A444" t="str">
        <f>IF(Productos!A444="","",Productos!A444&amp;" | "&amp;Productos!B444)</f>
        <v/>
      </c>
      <c r="H444" t="str">
        <f>IF(Eventos!A444="","",Eventos!A444&amp;" | "&amp;Eventos!B444)</f>
        <v/>
      </c>
    </row>
    <row r="445" spans="1:8">
      <c r="A445" t="str">
        <f>IF(Productos!A445="","",Productos!A445&amp;" | "&amp;Productos!B445)</f>
        <v/>
      </c>
      <c r="H445" t="str">
        <f>IF(Eventos!A445="","",Eventos!A445&amp;" | "&amp;Eventos!B445)</f>
        <v/>
      </c>
    </row>
    <row r="446" spans="1:8">
      <c r="A446" t="str">
        <f>IF(Productos!A446="","",Productos!A446&amp;" | "&amp;Productos!B446)</f>
        <v/>
      </c>
      <c r="H446" t="str">
        <f>IF(Eventos!A446="","",Eventos!A446&amp;" | "&amp;Eventos!B446)</f>
        <v/>
      </c>
    </row>
    <row r="447" spans="1:8">
      <c r="A447" t="str">
        <f>IF(Productos!A447="","",Productos!A447&amp;" | "&amp;Productos!B447)</f>
        <v/>
      </c>
      <c r="H447" t="str">
        <f>IF(Eventos!A447="","",Eventos!A447&amp;" | "&amp;Eventos!B447)</f>
        <v/>
      </c>
    </row>
    <row r="448" spans="1:8">
      <c r="A448" t="str">
        <f>IF(Productos!A448="","",Productos!A448&amp;" | "&amp;Productos!B448)</f>
        <v/>
      </c>
      <c r="H448" t="str">
        <f>IF(Eventos!A448="","",Eventos!A448&amp;" | "&amp;Eventos!B448)</f>
        <v/>
      </c>
    </row>
    <row r="449" spans="1:8">
      <c r="A449" t="str">
        <f>IF(Productos!A449="","",Productos!A449&amp;" | "&amp;Productos!B449)</f>
        <v/>
      </c>
      <c r="H449" t="str">
        <f>IF(Eventos!A449="","",Eventos!A449&amp;" | "&amp;Eventos!B449)</f>
        <v/>
      </c>
    </row>
    <row r="450" spans="1:8">
      <c r="A450" t="str">
        <f>IF(Productos!A450="","",Productos!A450&amp;" | "&amp;Productos!B450)</f>
        <v/>
      </c>
      <c r="H450" t="str">
        <f>IF(Eventos!A450="","",Eventos!A450&amp;" | "&amp;Eventos!B450)</f>
        <v/>
      </c>
    </row>
    <row r="451" spans="1:8">
      <c r="A451" t="str">
        <f>IF(Productos!A451="","",Productos!A451&amp;" | "&amp;Productos!B451)</f>
        <v/>
      </c>
      <c r="H451" t="str">
        <f>IF(Eventos!A451="","",Eventos!A451&amp;" | "&amp;Eventos!B451)</f>
        <v/>
      </c>
    </row>
    <row r="452" spans="1:8">
      <c r="A452" t="str">
        <f>IF(Productos!A452="","",Productos!A452&amp;" | "&amp;Productos!B452)</f>
        <v/>
      </c>
      <c r="H452" t="str">
        <f>IF(Eventos!A452="","",Eventos!A452&amp;" | "&amp;Eventos!B452)</f>
        <v/>
      </c>
    </row>
    <row r="453" spans="1:8">
      <c r="A453" t="str">
        <f>IF(Productos!A453="","",Productos!A453&amp;" | "&amp;Productos!B453)</f>
        <v/>
      </c>
      <c r="H453" t="str">
        <f>IF(Eventos!A453="","",Eventos!A453&amp;" | "&amp;Eventos!B453)</f>
        <v/>
      </c>
    </row>
    <row r="454" spans="1:8">
      <c r="A454" t="str">
        <f>IF(Productos!A454="","",Productos!A454&amp;" | "&amp;Productos!B454)</f>
        <v/>
      </c>
      <c r="H454" t="str">
        <f>IF(Eventos!A454="","",Eventos!A454&amp;" | "&amp;Eventos!B454)</f>
        <v/>
      </c>
    </row>
    <row r="455" spans="1:8">
      <c r="A455" t="str">
        <f>IF(Productos!A455="","",Productos!A455&amp;" | "&amp;Productos!B455)</f>
        <v/>
      </c>
      <c r="H455" t="str">
        <f>IF(Eventos!A455="","",Eventos!A455&amp;" | "&amp;Eventos!B455)</f>
        <v/>
      </c>
    </row>
    <row r="456" spans="1:8">
      <c r="A456" t="str">
        <f>IF(Productos!A456="","",Productos!A456&amp;" | "&amp;Productos!B456)</f>
        <v/>
      </c>
      <c r="H456" t="str">
        <f>IF(Eventos!A456="","",Eventos!A456&amp;" | "&amp;Eventos!B456)</f>
        <v/>
      </c>
    </row>
    <row r="457" spans="1:8">
      <c r="A457" t="str">
        <f>IF(Productos!A457="","",Productos!A457&amp;" | "&amp;Productos!B457)</f>
        <v/>
      </c>
      <c r="H457" t="str">
        <f>IF(Eventos!A457="","",Eventos!A457&amp;" | "&amp;Eventos!B457)</f>
        <v/>
      </c>
    </row>
    <row r="458" spans="1:8">
      <c r="A458" t="str">
        <f>IF(Productos!A458="","",Productos!A458&amp;" | "&amp;Productos!B458)</f>
        <v/>
      </c>
      <c r="H458" t="str">
        <f>IF(Eventos!A458="","",Eventos!A458&amp;" | "&amp;Eventos!B458)</f>
        <v/>
      </c>
    </row>
    <row r="459" spans="1:8">
      <c r="A459" t="str">
        <f>IF(Productos!A459="","",Productos!A459&amp;" | "&amp;Productos!B459)</f>
        <v/>
      </c>
      <c r="H459" t="str">
        <f>IF(Eventos!A459="","",Eventos!A459&amp;" | "&amp;Eventos!B459)</f>
        <v/>
      </c>
    </row>
    <row r="460" spans="1:8">
      <c r="A460" t="str">
        <f>IF(Productos!A460="","",Productos!A460&amp;" | "&amp;Productos!B460)</f>
        <v/>
      </c>
      <c r="H460" t="str">
        <f>IF(Eventos!A460="","",Eventos!A460&amp;" | "&amp;Eventos!B460)</f>
        <v/>
      </c>
    </row>
    <row r="461" spans="1:8">
      <c r="A461" t="str">
        <f>IF(Productos!A461="","",Productos!A461&amp;" | "&amp;Productos!B461)</f>
        <v/>
      </c>
      <c r="H461" t="str">
        <f>IF(Eventos!A461="","",Eventos!A461&amp;" | "&amp;Eventos!B461)</f>
        <v/>
      </c>
    </row>
    <row r="462" spans="1:8">
      <c r="A462" t="str">
        <f>IF(Productos!A462="","",Productos!A462&amp;" | "&amp;Productos!B462)</f>
        <v/>
      </c>
      <c r="H462" t="str">
        <f>IF(Eventos!A462="","",Eventos!A462&amp;" | "&amp;Eventos!B462)</f>
        <v/>
      </c>
    </row>
    <row r="463" spans="1:8">
      <c r="A463" t="str">
        <f>IF(Productos!A463="","",Productos!A463&amp;" | "&amp;Productos!B463)</f>
        <v/>
      </c>
      <c r="H463" t="str">
        <f>IF(Eventos!A463="","",Eventos!A463&amp;" | "&amp;Eventos!B463)</f>
        <v/>
      </c>
    </row>
    <row r="464" spans="1:8">
      <c r="A464" t="str">
        <f>IF(Productos!A464="","",Productos!A464&amp;" | "&amp;Productos!B464)</f>
        <v/>
      </c>
      <c r="H464" t="str">
        <f>IF(Eventos!A464="","",Eventos!A464&amp;" | "&amp;Eventos!B464)</f>
        <v/>
      </c>
    </row>
    <row r="465" spans="1:8">
      <c r="A465" t="str">
        <f>IF(Productos!A465="","",Productos!A465&amp;" | "&amp;Productos!B465)</f>
        <v/>
      </c>
      <c r="H465" t="str">
        <f>IF(Eventos!A465="","",Eventos!A465&amp;" | "&amp;Eventos!B465)</f>
        <v/>
      </c>
    </row>
    <row r="466" spans="1:8">
      <c r="A466" t="str">
        <f>IF(Productos!A466="","",Productos!A466&amp;" | "&amp;Productos!B466)</f>
        <v/>
      </c>
      <c r="H466" t="str">
        <f>IF(Eventos!A466="","",Eventos!A466&amp;" | "&amp;Eventos!B466)</f>
        <v/>
      </c>
    </row>
    <row r="467" spans="1:8">
      <c r="A467" t="str">
        <f>IF(Productos!A467="","",Productos!A467&amp;" | "&amp;Productos!B467)</f>
        <v/>
      </c>
      <c r="H467" t="str">
        <f>IF(Eventos!A467="","",Eventos!A467&amp;" | "&amp;Eventos!B467)</f>
        <v/>
      </c>
    </row>
    <row r="468" spans="1:8">
      <c r="A468" t="str">
        <f>IF(Productos!A468="","",Productos!A468&amp;" | "&amp;Productos!B468)</f>
        <v/>
      </c>
      <c r="H468" t="str">
        <f>IF(Eventos!A468="","",Eventos!A468&amp;" | "&amp;Eventos!B468)</f>
        <v/>
      </c>
    </row>
    <row r="469" spans="1:8">
      <c r="A469" t="str">
        <f>IF(Productos!A469="","",Productos!A469&amp;" | "&amp;Productos!B469)</f>
        <v/>
      </c>
      <c r="H469" t="str">
        <f>IF(Eventos!A469="","",Eventos!A469&amp;" | "&amp;Eventos!B469)</f>
        <v/>
      </c>
    </row>
    <row r="470" spans="1:8">
      <c r="A470" t="str">
        <f>IF(Productos!A470="","",Productos!A470&amp;" | "&amp;Productos!B470)</f>
        <v/>
      </c>
      <c r="H470" t="str">
        <f>IF(Eventos!A470="","",Eventos!A470&amp;" | "&amp;Eventos!B470)</f>
        <v/>
      </c>
    </row>
    <row r="471" spans="1:8">
      <c r="A471" t="str">
        <f>IF(Productos!A471="","",Productos!A471&amp;" | "&amp;Productos!B471)</f>
        <v/>
      </c>
      <c r="H471" t="str">
        <f>IF(Eventos!A471="","",Eventos!A471&amp;" | "&amp;Eventos!B471)</f>
        <v/>
      </c>
    </row>
    <row r="472" spans="1:8">
      <c r="A472" t="str">
        <f>IF(Productos!A472="","",Productos!A472&amp;" | "&amp;Productos!B472)</f>
        <v/>
      </c>
      <c r="H472" t="str">
        <f>IF(Eventos!A472="","",Eventos!A472&amp;" | "&amp;Eventos!B472)</f>
        <v/>
      </c>
    </row>
    <row r="473" spans="1:8">
      <c r="A473" t="str">
        <f>IF(Productos!A473="","",Productos!A473&amp;" | "&amp;Productos!B473)</f>
        <v/>
      </c>
      <c r="H473" t="str">
        <f>IF(Eventos!A473="","",Eventos!A473&amp;" | "&amp;Eventos!B473)</f>
        <v/>
      </c>
    </row>
    <row r="474" spans="1:8">
      <c r="A474" t="str">
        <f>IF(Productos!A474="","",Productos!A474&amp;" | "&amp;Productos!B474)</f>
        <v/>
      </c>
      <c r="H474" t="str">
        <f>IF(Eventos!A474="","",Eventos!A474&amp;" | "&amp;Eventos!B474)</f>
        <v/>
      </c>
    </row>
    <row r="475" spans="1:8">
      <c r="A475" t="str">
        <f>IF(Productos!A475="","",Productos!A475&amp;" | "&amp;Productos!B475)</f>
        <v/>
      </c>
      <c r="H475" t="str">
        <f>IF(Eventos!A475="","",Eventos!A475&amp;" | "&amp;Eventos!B475)</f>
        <v/>
      </c>
    </row>
    <row r="476" spans="1:8">
      <c r="A476" t="str">
        <f>IF(Productos!A476="","",Productos!A476&amp;" | "&amp;Productos!B476)</f>
        <v/>
      </c>
      <c r="H476" t="str">
        <f>IF(Eventos!A476="","",Eventos!A476&amp;" | "&amp;Eventos!B476)</f>
        <v/>
      </c>
    </row>
    <row r="477" spans="1:8">
      <c r="A477" t="str">
        <f>IF(Productos!A477="","",Productos!A477&amp;" | "&amp;Productos!B477)</f>
        <v/>
      </c>
      <c r="H477" t="str">
        <f>IF(Eventos!A477="","",Eventos!A477&amp;" | "&amp;Eventos!B477)</f>
        <v/>
      </c>
    </row>
    <row r="478" spans="1:8">
      <c r="A478" t="str">
        <f>IF(Productos!A478="","",Productos!A478&amp;" | "&amp;Productos!B478)</f>
        <v/>
      </c>
      <c r="H478" t="str">
        <f>IF(Eventos!A478="","",Eventos!A478&amp;" | "&amp;Eventos!B478)</f>
        <v/>
      </c>
    </row>
    <row r="479" spans="1:8">
      <c r="A479" t="str">
        <f>IF(Productos!A479="","",Productos!A479&amp;" | "&amp;Productos!B479)</f>
        <v/>
      </c>
      <c r="H479" t="str">
        <f>IF(Eventos!A479="","",Eventos!A479&amp;" | "&amp;Eventos!B479)</f>
        <v/>
      </c>
    </row>
    <row r="480" spans="1:8">
      <c r="A480" t="str">
        <f>IF(Productos!A480="","",Productos!A480&amp;" | "&amp;Productos!B480)</f>
        <v/>
      </c>
      <c r="H480" t="str">
        <f>IF(Eventos!A480="","",Eventos!A480&amp;" | "&amp;Eventos!B480)</f>
        <v/>
      </c>
    </row>
    <row r="481" spans="1:8">
      <c r="A481" t="str">
        <f>IF(Productos!A481="","",Productos!A481&amp;" | "&amp;Productos!B481)</f>
        <v/>
      </c>
      <c r="H481" t="str">
        <f>IF(Eventos!A481="","",Eventos!A481&amp;" | "&amp;Eventos!B481)</f>
        <v/>
      </c>
    </row>
    <row r="482" spans="1:8">
      <c r="A482" t="str">
        <f>IF(Productos!A482="","",Productos!A482&amp;" | "&amp;Productos!B482)</f>
        <v/>
      </c>
      <c r="H482" t="str">
        <f>IF(Eventos!A482="","",Eventos!A482&amp;" | "&amp;Eventos!B482)</f>
        <v/>
      </c>
    </row>
    <row r="483" spans="1:8">
      <c r="A483" t="str">
        <f>IF(Productos!A483="","",Productos!A483&amp;" | "&amp;Productos!B483)</f>
        <v/>
      </c>
      <c r="H483" t="str">
        <f>IF(Eventos!A483="","",Eventos!A483&amp;" | "&amp;Eventos!B483)</f>
        <v/>
      </c>
    </row>
    <row r="484" spans="1:8">
      <c r="A484" t="str">
        <f>IF(Productos!A484="","",Productos!A484&amp;" | "&amp;Productos!B484)</f>
        <v/>
      </c>
      <c r="H484" t="str">
        <f>IF(Eventos!A484="","",Eventos!A484&amp;" | "&amp;Eventos!B484)</f>
        <v/>
      </c>
    </row>
    <row r="485" spans="1:8">
      <c r="A485" t="str">
        <f>IF(Productos!A485="","",Productos!A485&amp;" | "&amp;Productos!B485)</f>
        <v/>
      </c>
      <c r="H485" t="str">
        <f>IF(Eventos!A485="","",Eventos!A485&amp;" | "&amp;Eventos!B485)</f>
        <v/>
      </c>
    </row>
    <row r="486" spans="1:8">
      <c r="A486" t="str">
        <f>IF(Productos!A486="","",Productos!A486&amp;" | "&amp;Productos!B486)</f>
        <v/>
      </c>
      <c r="H486" t="str">
        <f>IF(Eventos!A486="","",Eventos!A486&amp;" | "&amp;Eventos!B486)</f>
        <v/>
      </c>
    </row>
    <row r="487" spans="1:8">
      <c r="A487" t="str">
        <f>IF(Productos!A487="","",Productos!A487&amp;" | "&amp;Productos!B487)</f>
        <v/>
      </c>
      <c r="H487" t="str">
        <f>IF(Eventos!A487="","",Eventos!A487&amp;" | "&amp;Eventos!B487)</f>
        <v/>
      </c>
    </row>
    <row r="488" spans="1:8">
      <c r="A488" t="str">
        <f>IF(Productos!A488="","",Productos!A488&amp;" | "&amp;Productos!B488)</f>
        <v/>
      </c>
      <c r="H488" t="str">
        <f>IF(Eventos!A488="","",Eventos!A488&amp;" | "&amp;Eventos!B488)</f>
        <v/>
      </c>
    </row>
    <row r="489" spans="1:8">
      <c r="A489" t="str">
        <f>IF(Productos!A489="","",Productos!A489&amp;" | "&amp;Productos!B489)</f>
        <v/>
      </c>
      <c r="H489" t="str">
        <f>IF(Eventos!A489="","",Eventos!A489&amp;" | "&amp;Eventos!B489)</f>
        <v/>
      </c>
    </row>
    <row r="490" spans="1:8">
      <c r="A490" t="str">
        <f>IF(Productos!A490="","",Productos!A490&amp;" | "&amp;Productos!B490)</f>
        <v/>
      </c>
      <c r="H490" t="str">
        <f>IF(Eventos!A490="","",Eventos!A490&amp;" | "&amp;Eventos!B490)</f>
        <v/>
      </c>
    </row>
    <row r="491" spans="1:8">
      <c r="A491" t="str">
        <f>IF(Productos!A491="","",Productos!A491&amp;" | "&amp;Productos!B491)</f>
        <v/>
      </c>
      <c r="H491" t="str">
        <f>IF(Eventos!A491="","",Eventos!A491&amp;" | "&amp;Eventos!B491)</f>
        <v/>
      </c>
    </row>
    <row r="492" spans="1:8">
      <c r="A492" t="str">
        <f>IF(Productos!A492="","",Productos!A492&amp;" | "&amp;Productos!B492)</f>
        <v/>
      </c>
      <c r="H492" t="str">
        <f>IF(Eventos!A492="","",Eventos!A492&amp;" | "&amp;Eventos!B492)</f>
        <v/>
      </c>
    </row>
    <row r="493" spans="1:8">
      <c r="A493" t="str">
        <f>IF(Productos!A493="","",Productos!A493&amp;" | "&amp;Productos!B493)</f>
        <v/>
      </c>
      <c r="H493" t="str">
        <f>IF(Eventos!A493="","",Eventos!A493&amp;" | "&amp;Eventos!B493)</f>
        <v/>
      </c>
    </row>
    <row r="494" spans="1:8">
      <c r="A494" t="str">
        <f>IF(Productos!A494="","",Productos!A494&amp;" | "&amp;Productos!B494)</f>
        <v/>
      </c>
      <c r="H494" t="str">
        <f>IF(Eventos!A494="","",Eventos!A494&amp;" | "&amp;Eventos!B494)</f>
        <v/>
      </c>
    </row>
    <row r="495" spans="1:8">
      <c r="A495" t="str">
        <f>IF(Productos!A495="","",Productos!A495&amp;" | "&amp;Productos!B495)</f>
        <v/>
      </c>
      <c r="H495" t="str">
        <f>IF(Eventos!A495="","",Eventos!A495&amp;" | "&amp;Eventos!B495)</f>
        <v/>
      </c>
    </row>
    <row r="496" spans="1:8">
      <c r="A496" t="str">
        <f>IF(Productos!A496="","",Productos!A496&amp;" | "&amp;Productos!B496)</f>
        <v/>
      </c>
      <c r="H496" t="str">
        <f>IF(Eventos!A496="","",Eventos!A496&amp;" | "&amp;Eventos!B496)</f>
        <v/>
      </c>
    </row>
    <row r="497" spans="1:8">
      <c r="A497" t="str">
        <f>IF(Productos!A497="","",Productos!A497&amp;" | "&amp;Productos!B497)</f>
        <v/>
      </c>
      <c r="H497" t="str">
        <f>IF(Eventos!A497="","",Eventos!A497&amp;" | "&amp;Eventos!B497)</f>
        <v/>
      </c>
    </row>
    <row r="498" spans="1:8">
      <c r="A498" t="str">
        <f>IF(Productos!A498="","",Productos!A498&amp;" | "&amp;Productos!B498)</f>
        <v/>
      </c>
      <c r="H498" t="str">
        <f>IF(Eventos!A498="","",Eventos!A498&amp;" | "&amp;Eventos!B498)</f>
        <v/>
      </c>
    </row>
    <row r="499" spans="1:8">
      <c r="A499" t="str">
        <f>IF(Productos!A499="","",Productos!A499&amp;" | "&amp;Productos!B499)</f>
        <v/>
      </c>
      <c r="H499" t="str">
        <f>IF(Eventos!A499="","",Eventos!A499&amp;" | "&amp;Eventos!B499)</f>
        <v/>
      </c>
    </row>
    <row r="500" spans="1:8">
      <c r="A500" t="str">
        <f>IF(Productos!A500="","",Productos!A500&amp;" | "&amp;Productos!B500)</f>
        <v/>
      </c>
      <c r="H500" t="str">
        <f>IF(Eventos!A500="","",Eventos!A500&amp;" | "&amp;Eventos!B500)</f>
        <v/>
      </c>
    </row>
    <row r="501" spans="1:8">
      <c r="A501" t="str">
        <f>IF(Productos!A501="","",Productos!A501&amp;" | "&amp;Productos!B501)</f>
        <v/>
      </c>
      <c r="H501" t="str">
        <f>IF(Eventos!A501="","",Eventos!A501&amp;" | "&amp;Eventos!B501)</f>
        <v/>
      </c>
    </row>
    <row r="502" spans="1:8">
      <c r="A502" t="str">
        <f>IF(Productos!A502="","",Productos!A502&amp;" | "&amp;Productos!B502)</f>
        <v/>
      </c>
      <c r="H502" t="str">
        <f>IF(Eventos!A502="","",Eventos!A502&amp;" | "&amp;Eventos!B502)</f>
        <v/>
      </c>
    </row>
    <row r="503" spans="1:8">
      <c r="A503" t="str">
        <f>IF(Productos!A503="","",Productos!A503&amp;" | "&amp;Productos!B503)</f>
        <v/>
      </c>
      <c r="H503" t="str">
        <f>IF(Eventos!A503="","",Eventos!A503&amp;" | "&amp;Eventos!B503)</f>
        <v/>
      </c>
    </row>
    <row r="504" spans="1:8">
      <c r="A504" t="str">
        <f>IF(Productos!A504="","",Productos!A504&amp;" | "&amp;Productos!B504)</f>
        <v/>
      </c>
      <c r="H504" t="str">
        <f>IF(Eventos!A504="","",Eventos!A504&amp;" | "&amp;Eventos!B504)</f>
        <v/>
      </c>
    </row>
    <row r="505" spans="1:8">
      <c r="A505" t="str">
        <f>IF(Productos!A505="","",Productos!A505&amp;" | "&amp;Productos!B505)</f>
        <v/>
      </c>
      <c r="H505" t="str">
        <f>IF(Eventos!A505="","",Eventos!A505&amp;" | "&amp;Eventos!B505)</f>
        <v/>
      </c>
    </row>
    <row r="506" spans="1:8">
      <c r="A506" t="str">
        <f>IF(Productos!A506="","",Productos!A506&amp;" | "&amp;Productos!B506)</f>
        <v/>
      </c>
      <c r="H506" t="str">
        <f>IF(Eventos!A506="","",Eventos!A506&amp;" | "&amp;Eventos!B506)</f>
        <v/>
      </c>
    </row>
    <row r="507" spans="1:8">
      <c r="A507" t="str">
        <f>IF(Productos!A507="","",Productos!A507&amp;" | "&amp;Productos!B507)</f>
        <v/>
      </c>
      <c r="H507" t="str">
        <f>IF(Eventos!A507="","",Eventos!A507&amp;" | "&amp;Eventos!B507)</f>
        <v/>
      </c>
    </row>
    <row r="508" spans="1:8">
      <c r="A508" t="str">
        <f>IF(Productos!A508="","",Productos!A508&amp;" | "&amp;Productos!B508)</f>
        <v/>
      </c>
      <c r="H508" t="str">
        <f>IF(Eventos!A508="","",Eventos!A508&amp;" | "&amp;Eventos!B508)</f>
        <v/>
      </c>
    </row>
    <row r="509" spans="1:8">
      <c r="A509" t="str">
        <f>IF(Productos!A509="","",Productos!A509&amp;" | "&amp;Productos!B509)</f>
        <v/>
      </c>
      <c r="H509" t="str">
        <f>IF(Eventos!A509="","",Eventos!A509&amp;" | "&amp;Eventos!B509)</f>
        <v/>
      </c>
    </row>
    <row r="510" spans="1:8">
      <c r="A510" t="str">
        <f>IF(Productos!A510="","",Productos!A510&amp;" | "&amp;Productos!B510)</f>
        <v/>
      </c>
      <c r="H510" t="str">
        <f>IF(Eventos!A510="","",Eventos!A510&amp;" | "&amp;Eventos!B510)</f>
        <v/>
      </c>
    </row>
    <row r="511" spans="1:8">
      <c r="A511" t="str">
        <f>IF(Productos!A511="","",Productos!A511&amp;" | "&amp;Productos!B511)</f>
        <v/>
      </c>
      <c r="H511" t="str">
        <f>IF(Eventos!A511="","",Eventos!A511&amp;" | "&amp;Eventos!B511)</f>
        <v/>
      </c>
    </row>
    <row r="512" spans="1:8">
      <c r="A512" t="str">
        <f>IF(Productos!A512="","",Productos!A512&amp;" | "&amp;Productos!B512)</f>
        <v/>
      </c>
      <c r="H512" t="str">
        <f>IF(Eventos!A512="","",Eventos!A512&amp;" | "&amp;Eventos!B512)</f>
        <v/>
      </c>
    </row>
    <row r="513" spans="1:8">
      <c r="A513" t="str">
        <f>IF(Productos!A513="","",Productos!A513&amp;" | "&amp;Productos!B513)</f>
        <v/>
      </c>
      <c r="H513" t="str">
        <f>IF(Eventos!A513="","",Eventos!A513&amp;" | "&amp;Eventos!B513)</f>
        <v/>
      </c>
    </row>
    <row r="514" spans="1:8">
      <c r="A514" t="str">
        <f>IF(Productos!A514="","",Productos!A514&amp;" | "&amp;Productos!B514)</f>
        <v/>
      </c>
      <c r="H514" t="str">
        <f>IF(Eventos!A514="","",Eventos!A514&amp;" | "&amp;Eventos!B514)</f>
        <v/>
      </c>
    </row>
    <row r="515" spans="1:8">
      <c r="A515" t="str">
        <f>IF(Productos!A515="","",Productos!A515&amp;" | "&amp;Productos!B515)</f>
        <v/>
      </c>
      <c r="H515" t="str">
        <f>IF(Eventos!A515="","",Eventos!A515&amp;" | "&amp;Eventos!B515)</f>
        <v/>
      </c>
    </row>
    <row r="516" spans="1:8">
      <c r="A516" t="str">
        <f>IF(Productos!A516="","",Productos!A516&amp;" | "&amp;Productos!B516)</f>
        <v/>
      </c>
      <c r="H516" t="str">
        <f>IF(Eventos!A516="","",Eventos!A516&amp;" | "&amp;Eventos!B516)</f>
        <v/>
      </c>
    </row>
    <row r="517" spans="1:8">
      <c r="A517" t="str">
        <f>IF(Productos!A517="","",Productos!A517&amp;" | "&amp;Productos!B517)</f>
        <v/>
      </c>
      <c r="H517" t="str">
        <f>IF(Eventos!A517="","",Eventos!A517&amp;" | "&amp;Eventos!B517)</f>
        <v/>
      </c>
    </row>
    <row r="518" spans="1:8">
      <c r="A518" t="str">
        <f>IF(Productos!A518="","",Productos!A518&amp;" | "&amp;Productos!B518)</f>
        <v/>
      </c>
      <c r="H518" t="str">
        <f>IF(Eventos!A518="","",Eventos!A518&amp;" | "&amp;Eventos!B518)</f>
        <v/>
      </c>
    </row>
    <row r="519" spans="1:8">
      <c r="A519" t="str">
        <f>IF(Productos!A519="","",Productos!A519&amp;" | "&amp;Productos!B519)</f>
        <v/>
      </c>
      <c r="H519" t="str">
        <f>IF(Eventos!A519="","",Eventos!A519&amp;" | "&amp;Eventos!B519)</f>
        <v/>
      </c>
    </row>
    <row r="520" spans="1:8">
      <c r="A520" t="str">
        <f>IF(Productos!A520="","",Productos!A520&amp;" | "&amp;Productos!B520)</f>
        <v/>
      </c>
      <c r="H520" t="str">
        <f>IF(Eventos!A520="","",Eventos!A520&amp;" | "&amp;Eventos!B520)</f>
        <v/>
      </c>
    </row>
    <row r="521" spans="1:8">
      <c r="A521" t="str">
        <f>IF(Productos!A521="","",Productos!A521&amp;" | "&amp;Productos!B521)</f>
        <v/>
      </c>
      <c r="H521" t="str">
        <f>IF(Eventos!A521="","",Eventos!A521&amp;" | "&amp;Eventos!B521)</f>
        <v/>
      </c>
    </row>
    <row r="522" spans="1:8">
      <c r="A522" t="str">
        <f>IF(Productos!A522="","",Productos!A522&amp;" | "&amp;Productos!B522)</f>
        <v/>
      </c>
      <c r="H522" t="str">
        <f>IF(Eventos!A522="","",Eventos!A522&amp;" | "&amp;Eventos!B522)</f>
        <v/>
      </c>
    </row>
    <row r="523" spans="1:8">
      <c r="A523" t="str">
        <f>IF(Productos!A523="","",Productos!A523&amp;" | "&amp;Productos!B523)</f>
        <v/>
      </c>
      <c r="H523" t="str">
        <f>IF(Eventos!A523="","",Eventos!A523&amp;" | "&amp;Eventos!B523)</f>
        <v/>
      </c>
    </row>
    <row r="524" spans="1:8">
      <c r="A524" t="str">
        <f>IF(Productos!A524="","",Productos!A524&amp;" | "&amp;Productos!B524)</f>
        <v/>
      </c>
      <c r="H524" t="str">
        <f>IF(Eventos!A524="","",Eventos!A524&amp;" | "&amp;Eventos!B524)</f>
        <v/>
      </c>
    </row>
    <row r="525" spans="1:8">
      <c r="A525" t="str">
        <f>IF(Productos!A525="","",Productos!A525&amp;" | "&amp;Productos!B525)</f>
        <v/>
      </c>
      <c r="H525" t="str">
        <f>IF(Eventos!A525="","",Eventos!A525&amp;" | "&amp;Eventos!B525)</f>
        <v/>
      </c>
    </row>
    <row r="526" spans="1:8">
      <c r="A526" t="str">
        <f>IF(Productos!A526="","",Productos!A526&amp;" | "&amp;Productos!B526)</f>
        <v/>
      </c>
      <c r="H526" t="str">
        <f>IF(Eventos!A526="","",Eventos!A526&amp;" | "&amp;Eventos!B526)</f>
        <v/>
      </c>
    </row>
    <row r="527" spans="1:8">
      <c r="A527" t="str">
        <f>IF(Productos!A527="","",Productos!A527&amp;" | "&amp;Productos!B527)</f>
        <v/>
      </c>
      <c r="H527" t="str">
        <f>IF(Eventos!A527="","",Eventos!A527&amp;" | "&amp;Eventos!B527)</f>
        <v/>
      </c>
    </row>
    <row r="528" spans="1:8">
      <c r="A528" t="str">
        <f>IF(Productos!A528="","",Productos!A528&amp;" | "&amp;Productos!B528)</f>
        <v/>
      </c>
      <c r="H528" t="str">
        <f>IF(Eventos!A528="","",Eventos!A528&amp;" | "&amp;Eventos!B528)</f>
        <v/>
      </c>
    </row>
    <row r="529" spans="1:8">
      <c r="A529" t="str">
        <f>IF(Productos!A529="","",Productos!A529&amp;" | "&amp;Productos!B529)</f>
        <v/>
      </c>
      <c r="H529" t="str">
        <f>IF(Eventos!A529="","",Eventos!A529&amp;" | "&amp;Eventos!B529)</f>
        <v/>
      </c>
    </row>
    <row r="530" spans="1:8">
      <c r="A530" t="str">
        <f>IF(Productos!A530="","",Productos!A530&amp;" | "&amp;Productos!B530)</f>
        <v/>
      </c>
      <c r="H530" t="str">
        <f>IF(Eventos!A530="","",Eventos!A530&amp;" | "&amp;Eventos!B530)</f>
        <v/>
      </c>
    </row>
    <row r="531" spans="1:8">
      <c r="A531" t="str">
        <f>IF(Productos!A531="","",Productos!A531&amp;" | "&amp;Productos!B531)</f>
        <v/>
      </c>
      <c r="H531" t="str">
        <f>IF(Eventos!A531="","",Eventos!A531&amp;" | "&amp;Eventos!B531)</f>
        <v/>
      </c>
    </row>
    <row r="532" spans="1:8">
      <c r="A532" t="str">
        <f>IF(Productos!A532="","",Productos!A532&amp;" | "&amp;Productos!B532)</f>
        <v/>
      </c>
      <c r="H532" t="str">
        <f>IF(Eventos!A532="","",Eventos!A532&amp;" | "&amp;Eventos!B532)</f>
        <v/>
      </c>
    </row>
    <row r="533" spans="1:8">
      <c r="A533" t="str">
        <f>IF(Productos!A533="","",Productos!A533&amp;" | "&amp;Productos!B533)</f>
        <v/>
      </c>
      <c r="H533" t="str">
        <f>IF(Eventos!A533="","",Eventos!A533&amp;" | "&amp;Eventos!B533)</f>
        <v/>
      </c>
    </row>
    <row r="534" spans="1:8">
      <c r="A534" t="str">
        <f>IF(Productos!A534="","",Productos!A534&amp;" | "&amp;Productos!B534)</f>
        <v/>
      </c>
      <c r="H534" t="str">
        <f>IF(Eventos!A534="","",Eventos!A534&amp;" | "&amp;Eventos!B534)</f>
        <v/>
      </c>
    </row>
    <row r="535" spans="1:8">
      <c r="A535" t="str">
        <f>IF(Productos!A535="","",Productos!A535&amp;" | "&amp;Productos!B535)</f>
        <v/>
      </c>
      <c r="H535" t="str">
        <f>IF(Eventos!A535="","",Eventos!A535&amp;" | "&amp;Eventos!B535)</f>
        <v/>
      </c>
    </row>
    <row r="536" spans="1:8">
      <c r="A536" t="str">
        <f>IF(Productos!A536="","",Productos!A536&amp;" | "&amp;Productos!B536)</f>
        <v/>
      </c>
      <c r="H536" t="str">
        <f>IF(Eventos!A536="","",Eventos!A536&amp;" | "&amp;Eventos!B536)</f>
        <v/>
      </c>
    </row>
    <row r="537" spans="1:8">
      <c r="A537" t="str">
        <f>IF(Productos!A537="","",Productos!A537&amp;" | "&amp;Productos!B537)</f>
        <v/>
      </c>
      <c r="H537" t="str">
        <f>IF(Eventos!A537="","",Eventos!A537&amp;" | "&amp;Eventos!B537)</f>
        <v/>
      </c>
    </row>
    <row r="538" spans="1:8">
      <c r="A538" t="str">
        <f>IF(Productos!A538="","",Productos!A538&amp;" | "&amp;Productos!B538)</f>
        <v/>
      </c>
      <c r="H538" t="str">
        <f>IF(Eventos!A538="","",Eventos!A538&amp;" | "&amp;Eventos!B538)</f>
        <v/>
      </c>
    </row>
    <row r="539" spans="1:8">
      <c r="A539" t="str">
        <f>IF(Productos!A539="","",Productos!A539&amp;" | "&amp;Productos!B539)</f>
        <v/>
      </c>
      <c r="H539" t="str">
        <f>IF(Eventos!A539="","",Eventos!A539&amp;" | "&amp;Eventos!B539)</f>
        <v/>
      </c>
    </row>
    <row r="540" spans="1:8">
      <c r="A540" t="str">
        <f>IF(Productos!A540="","",Productos!A540&amp;" | "&amp;Productos!B540)</f>
        <v/>
      </c>
      <c r="H540" t="str">
        <f>IF(Eventos!A540="","",Eventos!A540&amp;" | "&amp;Eventos!B540)</f>
        <v/>
      </c>
    </row>
    <row r="541" spans="1:8">
      <c r="A541" t="str">
        <f>IF(Productos!A541="","",Productos!A541&amp;" | "&amp;Productos!B541)</f>
        <v/>
      </c>
      <c r="H541" t="str">
        <f>IF(Eventos!A541="","",Eventos!A541&amp;" | "&amp;Eventos!B541)</f>
        <v/>
      </c>
    </row>
    <row r="542" spans="1:8">
      <c r="A542" t="str">
        <f>IF(Productos!A542="","",Productos!A542&amp;" | "&amp;Productos!B542)</f>
        <v/>
      </c>
      <c r="H542" t="str">
        <f>IF(Eventos!A542="","",Eventos!A542&amp;" | "&amp;Eventos!B542)</f>
        <v/>
      </c>
    </row>
    <row r="543" spans="1:8">
      <c r="A543" t="str">
        <f>IF(Productos!A543="","",Productos!A543&amp;" | "&amp;Productos!B543)</f>
        <v/>
      </c>
      <c r="H543" t="str">
        <f>IF(Eventos!A543="","",Eventos!A543&amp;" | "&amp;Eventos!B543)</f>
        <v/>
      </c>
    </row>
    <row r="544" spans="1:8">
      <c r="A544" t="str">
        <f>IF(Productos!A544="","",Productos!A544&amp;" | "&amp;Productos!B544)</f>
        <v/>
      </c>
      <c r="H544" t="str">
        <f>IF(Eventos!A544="","",Eventos!A544&amp;" | "&amp;Eventos!B544)</f>
        <v/>
      </c>
    </row>
    <row r="545" spans="1:8">
      <c r="A545" t="str">
        <f>IF(Productos!A545="","",Productos!A545&amp;" | "&amp;Productos!B545)</f>
        <v/>
      </c>
      <c r="H545" t="str">
        <f>IF(Eventos!A545="","",Eventos!A545&amp;" | "&amp;Eventos!B545)</f>
        <v/>
      </c>
    </row>
    <row r="546" spans="1:8">
      <c r="A546" t="str">
        <f>IF(Productos!A546="","",Productos!A546&amp;" | "&amp;Productos!B546)</f>
        <v/>
      </c>
      <c r="H546" t="str">
        <f>IF(Eventos!A546="","",Eventos!A546&amp;" | "&amp;Eventos!B546)</f>
        <v/>
      </c>
    </row>
    <row r="547" spans="1:8">
      <c r="A547" t="str">
        <f>IF(Productos!A547="","",Productos!A547&amp;" | "&amp;Productos!B547)</f>
        <v/>
      </c>
      <c r="H547" t="str">
        <f>IF(Eventos!A547="","",Eventos!A547&amp;" | "&amp;Eventos!B547)</f>
        <v/>
      </c>
    </row>
    <row r="548" spans="1:8">
      <c r="A548" t="str">
        <f>IF(Productos!A548="","",Productos!A548&amp;" | "&amp;Productos!B548)</f>
        <v/>
      </c>
      <c r="H548" t="str">
        <f>IF(Eventos!A548="","",Eventos!A548&amp;" | "&amp;Eventos!B548)</f>
        <v/>
      </c>
    </row>
    <row r="549" spans="1:8">
      <c r="A549" t="str">
        <f>IF(Productos!A549="","",Productos!A549&amp;" | "&amp;Productos!B549)</f>
        <v/>
      </c>
      <c r="H549" t="str">
        <f>IF(Eventos!A549="","",Eventos!A549&amp;" | "&amp;Eventos!B549)</f>
        <v/>
      </c>
    </row>
    <row r="550" spans="1:8">
      <c r="A550" t="str">
        <f>IF(Productos!A550="","",Productos!A550&amp;" | "&amp;Productos!B550)</f>
        <v/>
      </c>
      <c r="H550" t="str">
        <f>IF(Eventos!A550="","",Eventos!A550&amp;" | "&amp;Eventos!B550)</f>
        <v/>
      </c>
    </row>
    <row r="551" spans="1:8">
      <c r="A551" t="str">
        <f>IF(Productos!A551="","",Productos!A551&amp;" | "&amp;Productos!B551)</f>
        <v/>
      </c>
      <c r="H551" t="str">
        <f>IF(Eventos!A551="","",Eventos!A551&amp;" | "&amp;Eventos!B551)</f>
        <v/>
      </c>
    </row>
    <row r="552" spans="1:8">
      <c r="A552" t="str">
        <f>IF(Productos!A552="","",Productos!A552&amp;" | "&amp;Productos!B552)</f>
        <v/>
      </c>
      <c r="H552" t="str">
        <f>IF(Eventos!A552="","",Eventos!A552&amp;" | "&amp;Eventos!B552)</f>
        <v/>
      </c>
    </row>
    <row r="553" spans="1:8">
      <c r="A553" t="str">
        <f>IF(Productos!A553="","",Productos!A553&amp;" | "&amp;Productos!B553)</f>
        <v/>
      </c>
      <c r="H553" t="str">
        <f>IF(Eventos!A553="","",Eventos!A553&amp;" | "&amp;Eventos!B553)</f>
        <v/>
      </c>
    </row>
    <row r="554" spans="1:8">
      <c r="A554" t="str">
        <f>IF(Productos!A554="","",Productos!A554&amp;" | "&amp;Productos!B554)</f>
        <v/>
      </c>
      <c r="H554" t="str">
        <f>IF(Eventos!A554="","",Eventos!A554&amp;" | "&amp;Eventos!B554)</f>
        <v/>
      </c>
    </row>
    <row r="555" spans="1:8">
      <c r="A555" t="str">
        <f>IF(Productos!A555="","",Productos!A555&amp;" | "&amp;Productos!B555)</f>
        <v/>
      </c>
      <c r="H555" t="str">
        <f>IF(Eventos!A555="","",Eventos!A555&amp;" | "&amp;Eventos!B555)</f>
        <v/>
      </c>
    </row>
    <row r="556" spans="1:8">
      <c r="A556" t="str">
        <f>IF(Productos!A556="","",Productos!A556&amp;" | "&amp;Productos!B556)</f>
        <v/>
      </c>
      <c r="H556" t="str">
        <f>IF(Eventos!A556="","",Eventos!A556&amp;" | "&amp;Eventos!B556)</f>
        <v/>
      </c>
    </row>
    <row r="557" spans="1:8">
      <c r="A557" t="str">
        <f>IF(Productos!A557="","",Productos!A557&amp;" | "&amp;Productos!B557)</f>
        <v/>
      </c>
      <c r="H557" t="str">
        <f>IF(Eventos!A557="","",Eventos!A557&amp;" | "&amp;Eventos!B557)</f>
        <v/>
      </c>
    </row>
    <row r="558" spans="1:8">
      <c r="A558" t="str">
        <f>IF(Productos!A558="","",Productos!A558&amp;" | "&amp;Productos!B558)</f>
        <v/>
      </c>
      <c r="H558" t="str">
        <f>IF(Eventos!A558="","",Eventos!A558&amp;" | "&amp;Eventos!B558)</f>
        <v/>
      </c>
    </row>
    <row r="559" spans="1:8">
      <c r="A559" t="str">
        <f>IF(Productos!A559="","",Productos!A559&amp;" | "&amp;Productos!B559)</f>
        <v/>
      </c>
      <c r="H559" t="str">
        <f>IF(Eventos!A559="","",Eventos!A559&amp;" | "&amp;Eventos!B559)</f>
        <v/>
      </c>
    </row>
    <row r="560" spans="1:8">
      <c r="A560" t="str">
        <f>IF(Productos!A560="","",Productos!A560&amp;" | "&amp;Productos!B560)</f>
        <v/>
      </c>
      <c r="H560" t="str">
        <f>IF(Eventos!A560="","",Eventos!A560&amp;" | "&amp;Eventos!B560)</f>
        <v/>
      </c>
    </row>
    <row r="561" spans="1:8">
      <c r="A561" t="str">
        <f>IF(Productos!A561="","",Productos!A561&amp;" | "&amp;Productos!B561)</f>
        <v/>
      </c>
      <c r="H561" t="str">
        <f>IF(Eventos!A561="","",Eventos!A561&amp;" | "&amp;Eventos!B561)</f>
        <v/>
      </c>
    </row>
    <row r="562" spans="1:8">
      <c r="A562" t="str">
        <f>IF(Productos!A562="","",Productos!A562&amp;" | "&amp;Productos!B562)</f>
        <v/>
      </c>
      <c r="H562" t="str">
        <f>IF(Eventos!A562="","",Eventos!A562&amp;" | "&amp;Eventos!B562)</f>
        <v/>
      </c>
    </row>
    <row r="563" spans="1:8">
      <c r="A563" t="str">
        <f>IF(Productos!A563="","",Productos!A563&amp;" | "&amp;Productos!B563)</f>
        <v/>
      </c>
      <c r="H563" t="str">
        <f>IF(Eventos!A563="","",Eventos!A563&amp;" | "&amp;Eventos!B563)</f>
        <v/>
      </c>
    </row>
    <row r="564" spans="1:8">
      <c r="A564" t="str">
        <f>IF(Productos!A564="","",Productos!A564&amp;" | "&amp;Productos!B564)</f>
        <v/>
      </c>
      <c r="H564" t="str">
        <f>IF(Eventos!A564="","",Eventos!A564&amp;" | "&amp;Eventos!B564)</f>
        <v/>
      </c>
    </row>
    <row r="565" spans="1:8">
      <c r="A565" t="str">
        <f>IF(Productos!A565="","",Productos!A565&amp;" | "&amp;Productos!B565)</f>
        <v/>
      </c>
      <c r="H565" t="str">
        <f>IF(Eventos!A565="","",Eventos!A565&amp;" | "&amp;Eventos!B565)</f>
        <v/>
      </c>
    </row>
    <row r="566" spans="1:8">
      <c r="A566" t="str">
        <f>IF(Productos!A566="","",Productos!A566&amp;" | "&amp;Productos!B566)</f>
        <v/>
      </c>
      <c r="H566" t="str">
        <f>IF(Eventos!A566="","",Eventos!A566&amp;" | "&amp;Eventos!B566)</f>
        <v/>
      </c>
    </row>
    <row r="567" spans="1:8">
      <c r="A567" t="str">
        <f>IF(Productos!A567="","",Productos!A567&amp;" | "&amp;Productos!B567)</f>
        <v/>
      </c>
      <c r="H567" t="str">
        <f>IF(Eventos!A567="","",Eventos!A567&amp;" | "&amp;Eventos!B567)</f>
        <v/>
      </c>
    </row>
    <row r="568" spans="1:8">
      <c r="A568" t="str">
        <f>IF(Productos!A568="","",Productos!A568&amp;" | "&amp;Productos!B568)</f>
        <v/>
      </c>
      <c r="H568" t="str">
        <f>IF(Eventos!A568="","",Eventos!A568&amp;" | "&amp;Eventos!B568)</f>
        <v/>
      </c>
    </row>
    <row r="569" spans="1:8">
      <c r="A569" t="str">
        <f>IF(Productos!A569="","",Productos!A569&amp;" | "&amp;Productos!B569)</f>
        <v/>
      </c>
      <c r="H569" t="str">
        <f>IF(Eventos!A569="","",Eventos!A569&amp;" | "&amp;Eventos!B569)</f>
        <v/>
      </c>
    </row>
    <row r="570" spans="1:8">
      <c r="A570" t="str">
        <f>IF(Productos!A570="","",Productos!A570&amp;" | "&amp;Productos!B570)</f>
        <v/>
      </c>
      <c r="H570" t="str">
        <f>IF(Eventos!A570="","",Eventos!A570&amp;" | "&amp;Eventos!B570)</f>
        <v/>
      </c>
    </row>
    <row r="571" spans="1:8">
      <c r="A571" t="str">
        <f>IF(Productos!A571="","",Productos!A571&amp;" | "&amp;Productos!B571)</f>
        <v/>
      </c>
      <c r="H571" t="str">
        <f>IF(Eventos!A571="","",Eventos!A571&amp;" | "&amp;Eventos!B571)</f>
        <v/>
      </c>
    </row>
    <row r="572" spans="1:8">
      <c r="A572" t="str">
        <f>IF(Productos!A572="","",Productos!A572&amp;" | "&amp;Productos!B572)</f>
        <v/>
      </c>
      <c r="H572" t="str">
        <f>IF(Eventos!A572="","",Eventos!A572&amp;" | "&amp;Eventos!B572)</f>
        <v/>
      </c>
    </row>
    <row r="573" spans="1:8">
      <c r="A573" t="str">
        <f>IF(Productos!A573="","",Productos!A573&amp;" | "&amp;Productos!B573)</f>
        <v/>
      </c>
      <c r="H573" t="str">
        <f>IF(Eventos!A573="","",Eventos!A573&amp;" | "&amp;Eventos!B573)</f>
        <v/>
      </c>
    </row>
    <row r="574" spans="1:8">
      <c r="A574" t="str">
        <f>IF(Productos!A574="","",Productos!A574&amp;" | "&amp;Productos!B574)</f>
        <v/>
      </c>
      <c r="H574" t="str">
        <f>IF(Eventos!A574="","",Eventos!A574&amp;" | "&amp;Eventos!B574)</f>
        <v/>
      </c>
    </row>
    <row r="575" spans="1:8">
      <c r="A575" t="str">
        <f>IF(Productos!A575="","",Productos!A575&amp;" | "&amp;Productos!B575)</f>
        <v/>
      </c>
      <c r="H575" t="str">
        <f>IF(Eventos!A575="","",Eventos!A575&amp;" | "&amp;Eventos!B575)</f>
        <v/>
      </c>
    </row>
    <row r="576" spans="1:8">
      <c r="A576" t="str">
        <f>IF(Productos!A576="","",Productos!A576&amp;" | "&amp;Productos!B576)</f>
        <v/>
      </c>
      <c r="H576" t="str">
        <f>IF(Eventos!A576="","",Eventos!A576&amp;" | "&amp;Eventos!B576)</f>
        <v/>
      </c>
    </row>
    <row r="577" spans="1:8">
      <c r="A577" t="str">
        <f>IF(Productos!A577="","",Productos!A577&amp;" | "&amp;Productos!B577)</f>
        <v/>
      </c>
      <c r="H577" t="str">
        <f>IF(Eventos!A577="","",Eventos!A577&amp;" | "&amp;Eventos!B577)</f>
        <v/>
      </c>
    </row>
    <row r="578" spans="1:8">
      <c r="A578" t="str">
        <f>IF(Productos!A578="","",Productos!A578&amp;" | "&amp;Productos!B578)</f>
        <v/>
      </c>
      <c r="H578" t="str">
        <f>IF(Eventos!A578="","",Eventos!A578&amp;" | "&amp;Eventos!B578)</f>
        <v/>
      </c>
    </row>
    <row r="579" spans="1:8">
      <c r="A579" t="str">
        <f>IF(Productos!A579="","",Productos!A579&amp;" | "&amp;Productos!B579)</f>
        <v/>
      </c>
      <c r="H579" t="str">
        <f>IF(Eventos!A579="","",Eventos!A579&amp;" | "&amp;Eventos!B579)</f>
        <v/>
      </c>
    </row>
    <row r="580" spans="1:8">
      <c r="A580" t="str">
        <f>IF(Productos!A580="","",Productos!A580&amp;" | "&amp;Productos!B580)</f>
        <v/>
      </c>
      <c r="H580" t="str">
        <f>IF(Eventos!A580="","",Eventos!A580&amp;" | "&amp;Eventos!B580)</f>
        <v/>
      </c>
    </row>
    <row r="581" spans="1:8">
      <c r="A581" t="str">
        <f>IF(Productos!A581="","",Productos!A581&amp;" | "&amp;Productos!B581)</f>
        <v/>
      </c>
      <c r="H581" t="str">
        <f>IF(Eventos!A581="","",Eventos!A581&amp;" | "&amp;Eventos!B581)</f>
        <v/>
      </c>
    </row>
    <row r="582" spans="1:8">
      <c r="A582" t="str">
        <f>IF(Productos!A582="","",Productos!A582&amp;" | "&amp;Productos!B582)</f>
        <v/>
      </c>
      <c r="H582" t="str">
        <f>IF(Eventos!A582="","",Eventos!A582&amp;" | "&amp;Eventos!B582)</f>
        <v/>
      </c>
    </row>
    <row r="583" spans="1:8">
      <c r="A583" t="str">
        <f>IF(Productos!A583="","",Productos!A583&amp;" | "&amp;Productos!B583)</f>
        <v/>
      </c>
      <c r="H583" t="str">
        <f>IF(Eventos!A583="","",Eventos!A583&amp;" | "&amp;Eventos!B583)</f>
        <v/>
      </c>
    </row>
    <row r="584" spans="1:8">
      <c r="A584" t="str">
        <f>IF(Productos!A584="","",Productos!A584&amp;" | "&amp;Productos!B584)</f>
        <v/>
      </c>
      <c r="H584" t="str">
        <f>IF(Eventos!A584="","",Eventos!A584&amp;" | "&amp;Eventos!B584)</f>
        <v/>
      </c>
    </row>
    <row r="585" spans="1:8">
      <c r="A585" t="str">
        <f>IF(Productos!A585="","",Productos!A585&amp;" | "&amp;Productos!B585)</f>
        <v/>
      </c>
      <c r="H585" t="str">
        <f>IF(Eventos!A585="","",Eventos!A585&amp;" | "&amp;Eventos!B585)</f>
        <v/>
      </c>
    </row>
    <row r="586" spans="1:8">
      <c r="A586" t="str">
        <f>IF(Productos!A586="","",Productos!A586&amp;" | "&amp;Productos!B586)</f>
        <v/>
      </c>
      <c r="H586" t="str">
        <f>IF(Eventos!A586="","",Eventos!A586&amp;" | "&amp;Eventos!B586)</f>
        <v/>
      </c>
    </row>
    <row r="587" spans="1:8">
      <c r="A587" t="str">
        <f>IF(Productos!A587="","",Productos!A587&amp;" | "&amp;Productos!B587)</f>
        <v/>
      </c>
      <c r="H587" t="str">
        <f>IF(Eventos!A587="","",Eventos!A587&amp;" | "&amp;Eventos!B587)</f>
        <v/>
      </c>
    </row>
    <row r="588" spans="1:8">
      <c r="A588" t="str">
        <f>IF(Productos!A588="","",Productos!A588&amp;" | "&amp;Productos!B588)</f>
        <v/>
      </c>
      <c r="H588" t="str">
        <f>IF(Eventos!A588="","",Eventos!A588&amp;" | "&amp;Eventos!B588)</f>
        <v/>
      </c>
    </row>
    <row r="589" spans="1:8">
      <c r="A589" t="str">
        <f>IF(Productos!A589="","",Productos!A589&amp;" | "&amp;Productos!B589)</f>
        <v/>
      </c>
      <c r="H589" t="str">
        <f>IF(Eventos!A589="","",Eventos!A589&amp;" | "&amp;Eventos!B589)</f>
        <v/>
      </c>
    </row>
    <row r="590" spans="1:8">
      <c r="A590" t="str">
        <f>IF(Productos!A590="","",Productos!A590&amp;" | "&amp;Productos!B590)</f>
        <v/>
      </c>
      <c r="H590" t="str">
        <f>IF(Eventos!A590="","",Eventos!A590&amp;" | "&amp;Eventos!B590)</f>
        <v/>
      </c>
    </row>
    <row r="591" spans="1:8">
      <c r="A591" t="str">
        <f>IF(Productos!A591="","",Productos!A591&amp;" | "&amp;Productos!B591)</f>
        <v/>
      </c>
      <c r="H591" t="str">
        <f>IF(Eventos!A591="","",Eventos!A591&amp;" | "&amp;Eventos!B591)</f>
        <v/>
      </c>
    </row>
    <row r="592" spans="1:8">
      <c r="A592" t="str">
        <f>IF(Productos!A592="","",Productos!A592&amp;" | "&amp;Productos!B592)</f>
        <v/>
      </c>
      <c r="H592" t="str">
        <f>IF(Eventos!A592="","",Eventos!A592&amp;" | "&amp;Eventos!B592)</f>
        <v/>
      </c>
    </row>
    <row r="593" spans="1:8">
      <c r="A593" t="str">
        <f>IF(Productos!A593="","",Productos!A593&amp;" | "&amp;Productos!B593)</f>
        <v/>
      </c>
      <c r="H593" t="str">
        <f>IF(Eventos!A593="","",Eventos!A593&amp;" | "&amp;Eventos!B593)</f>
        <v/>
      </c>
    </row>
    <row r="594" spans="1:8">
      <c r="A594" t="str">
        <f>IF(Productos!A594="","",Productos!A594&amp;" | "&amp;Productos!B594)</f>
        <v/>
      </c>
      <c r="H594" t="str">
        <f>IF(Eventos!A594="","",Eventos!A594&amp;" | "&amp;Eventos!B594)</f>
        <v/>
      </c>
    </row>
    <row r="595" spans="1:8">
      <c r="A595" t="str">
        <f>IF(Productos!A595="","",Productos!A595&amp;" | "&amp;Productos!B595)</f>
        <v/>
      </c>
      <c r="H595" t="str">
        <f>IF(Eventos!A595="","",Eventos!A595&amp;" | "&amp;Eventos!B595)</f>
        <v/>
      </c>
    </row>
    <row r="596" spans="1:8">
      <c r="A596" t="str">
        <f>IF(Productos!A596="","",Productos!A596&amp;" | "&amp;Productos!B596)</f>
        <v/>
      </c>
      <c r="H596" t="str">
        <f>IF(Eventos!A596="","",Eventos!A596&amp;" | "&amp;Eventos!B596)</f>
        <v/>
      </c>
    </row>
    <row r="597" spans="1:8">
      <c r="A597" t="str">
        <f>IF(Productos!A597="","",Productos!A597&amp;" | "&amp;Productos!B597)</f>
        <v/>
      </c>
      <c r="H597" t="str">
        <f>IF(Eventos!A597="","",Eventos!A597&amp;" | "&amp;Eventos!B597)</f>
        <v/>
      </c>
    </row>
    <row r="598" spans="1:8">
      <c r="A598" t="str">
        <f>IF(Productos!A598="","",Productos!A598&amp;" | "&amp;Productos!B598)</f>
        <v/>
      </c>
      <c r="H598" t="str">
        <f>IF(Eventos!A598="","",Eventos!A598&amp;" | "&amp;Eventos!B598)</f>
        <v/>
      </c>
    </row>
    <row r="599" spans="1:8">
      <c r="A599" t="str">
        <f>IF(Productos!A599="","",Productos!A599&amp;" | "&amp;Productos!B599)</f>
        <v/>
      </c>
      <c r="H599" t="str">
        <f>IF(Eventos!A599="","",Eventos!A599&amp;" | "&amp;Eventos!B599)</f>
        <v/>
      </c>
    </row>
    <row r="600" spans="1:8">
      <c r="A600" t="str">
        <f>IF(Productos!A600="","",Productos!A600&amp;" | "&amp;Productos!B600)</f>
        <v/>
      </c>
      <c r="H600" t="str">
        <f>IF(Eventos!A600="","",Eventos!A600&amp;" | "&amp;Eventos!B600)</f>
        <v/>
      </c>
    </row>
    <row r="601" spans="1:8">
      <c r="A601" t="str">
        <f>IF(Productos!A601="","",Productos!A601&amp;" | "&amp;Productos!B601)</f>
        <v/>
      </c>
      <c r="H601" t="str">
        <f>IF(Eventos!A601="","",Eventos!A601&amp;" | "&amp;Eventos!B601)</f>
        <v/>
      </c>
    </row>
    <row r="602" spans="1:8">
      <c r="A602" t="str">
        <f>IF(Productos!A602="","",Productos!A602&amp;" | "&amp;Productos!B602)</f>
        <v/>
      </c>
      <c r="H602" t="str">
        <f>IF(Eventos!A602="","",Eventos!A602&amp;" | "&amp;Eventos!B602)</f>
        <v/>
      </c>
    </row>
    <row r="603" spans="1:8">
      <c r="A603" t="str">
        <f>IF(Productos!A603="","",Productos!A603&amp;" | "&amp;Productos!B603)</f>
        <v/>
      </c>
      <c r="H603" t="str">
        <f>IF(Eventos!A603="","",Eventos!A603&amp;" | "&amp;Eventos!B603)</f>
        <v/>
      </c>
    </row>
    <row r="604" spans="1:8">
      <c r="A604" t="str">
        <f>IF(Productos!A604="","",Productos!A604&amp;" | "&amp;Productos!B604)</f>
        <v/>
      </c>
      <c r="H604" t="str">
        <f>IF(Eventos!A604="","",Eventos!A604&amp;" | "&amp;Eventos!B604)</f>
        <v/>
      </c>
    </row>
    <row r="605" spans="1:8">
      <c r="A605" t="str">
        <f>IF(Productos!A605="","",Productos!A605&amp;" | "&amp;Productos!B605)</f>
        <v/>
      </c>
      <c r="H605" t="str">
        <f>IF(Eventos!A605="","",Eventos!A605&amp;" | "&amp;Eventos!B605)</f>
        <v/>
      </c>
    </row>
    <row r="606" spans="1:8">
      <c r="A606" t="str">
        <f>IF(Productos!A606="","",Productos!A606&amp;" | "&amp;Productos!B606)</f>
        <v/>
      </c>
      <c r="H606" t="str">
        <f>IF(Eventos!A606="","",Eventos!A606&amp;" | "&amp;Eventos!B606)</f>
        <v/>
      </c>
    </row>
    <row r="607" spans="1:8">
      <c r="A607" t="str">
        <f>IF(Productos!A607="","",Productos!A607&amp;" | "&amp;Productos!B607)</f>
        <v/>
      </c>
      <c r="H607" t="str">
        <f>IF(Eventos!A607="","",Eventos!A607&amp;" | "&amp;Eventos!B607)</f>
        <v/>
      </c>
    </row>
    <row r="608" spans="1:8">
      <c r="A608" t="str">
        <f>IF(Productos!A608="","",Productos!A608&amp;" | "&amp;Productos!B608)</f>
        <v/>
      </c>
      <c r="H608" t="str">
        <f>IF(Eventos!A608="","",Eventos!A608&amp;" | "&amp;Eventos!B608)</f>
        <v/>
      </c>
    </row>
    <row r="609" spans="1:8">
      <c r="A609" t="str">
        <f>IF(Productos!A609="","",Productos!A609&amp;" | "&amp;Productos!B609)</f>
        <v/>
      </c>
      <c r="H609" t="str">
        <f>IF(Eventos!A609="","",Eventos!A609&amp;" | "&amp;Eventos!B609)</f>
        <v/>
      </c>
    </row>
    <row r="610" spans="1:8">
      <c r="A610" t="str">
        <f>IF(Productos!A610="","",Productos!A610&amp;" | "&amp;Productos!B610)</f>
        <v/>
      </c>
      <c r="H610" t="str">
        <f>IF(Eventos!A610="","",Eventos!A610&amp;" | "&amp;Eventos!B610)</f>
        <v/>
      </c>
    </row>
    <row r="611" spans="1:8">
      <c r="A611" t="str">
        <f>IF(Productos!A611="","",Productos!A611&amp;" | "&amp;Productos!B611)</f>
        <v/>
      </c>
      <c r="H611" t="str">
        <f>IF(Eventos!A611="","",Eventos!A611&amp;" | "&amp;Eventos!B611)</f>
        <v/>
      </c>
    </row>
    <row r="612" spans="1:8">
      <c r="A612" t="str">
        <f>IF(Productos!A612="","",Productos!A612&amp;" | "&amp;Productos!B612)</f>
        <v/>
      </c>
      <c r="H612" t="str">
        <f>IF(Eventos!A612="","",Eventos!A612&amp;" | "&amp;Eventos!B612)</f>
        <v/>
      </c>
    </row>
    <row r="613" spans="1:8">
      <c r="A613" t="str">
        <f>IF(Productos!A613="","",Productos!A613&amp;" | "&amp;Productos!B613)</f>
        <v/>
      </c>
      <c r="H613" t="str">
        <f>IF(Eventos!A613="","",Eventos!A613&amp;" | "&amp;Eventos!B613)</f>
        <v/>
      </c>
    </row>
    <row r="614" spans="1:8">
      <c r="A614" t="str">
        <f>IF(Productos!A614="","",Productos!A614&amp;" | "&amp;Productos!B614)</f>
        <v/>
      </c>
      <c r="H614" t="str">
        <f>IF(Eventos!A614="","",Eventos!A614&amp;" | "&amp;Eventos!B614)</f>
        <v/>
      </c>
    </row>
    <row r="615" spans="1:8">
      <c r="A615" t="str">
        <f>IF(Productos!A615="","",Productos!A615&amp;" | "&amp;Productos!B615)</f>
        <v/>
      </c>
      <c r="H615" t="str">
        <f>IF(Eventos!A615="","",Eventos!A615&amp;" | "&amp;Eventos!B615)</f>
        <v/>
      </c>
    </row>
    <row r="616" spans="1:8">
      <c r="A616" t="str">
        <f>IF(Productos!A616="","",Productos!A616&amp;" | "&amp;Productos!B616)</f>
        <v/>
      </c>
      <c r="H616" t="str">
        <f>IF(Eventos!A616="","",Eventos!A616&amp;" | "&amp;Eventos!B616)</f>
        <v/>
      </c>
    </row>
    <row r="617" spans="1:8">
      <c r="A617" t="str">
        <f>IF(Productos!A617="","",Productos!A617&amp;" | "&amp;Productos!B617)</f>
        <v/>
      </c>
      <c r="H617" t="str">
        <f>IF(Eventos!A617="","",Eventos!A617&amp;" | "&amp;Eventos!B617)</f>
        <v/>
      </c>
    </row>
    <row r="618" spans="1:8">
      <c r="A618" t="str">
        <f>IF(Productos!A618="","",Productos!A618&amp;" | "&amp;Productos!B618)</f>
        <v/>
      </c>
      <c r="H618" t="str">
        <f>IF(Eventos!A618="","",Eventos!A618&amp;" | "&amp;Eventos!B618)</f>
        <v/>
      </c>
    </row>
    <row r="619" spans="1:8">
      <c r="A619" t="str">
        <f>IF(Productos!A619="","",Productos!A619&amp;" | "&amp;Productos!B619)</f>
        <v/>
      </c>
      <c r="H619" t="str">
        <f>IF(Eventos!A619="","",Eventos!A619&amp;" | "&amp;Eventos!B619)</f>
        <v/>
      </c>
    </row>
    <row r="620" spans="1:8">
      <c r="A620" t="str">
        <f>IF(Productos!A620="","",Productos!A620&amp;" | "&amp;Productos!B620)</f>
        <v/>
      </c>
      <c r="H620" t="str">
        <f>IF(Eventos!A620="","",Eventos!A620&amp;" | "&amp;Eventos!B620)</f>
        <v/>
      </c>
    </row>
    <row r="621" spans="1:8">
      <c r="A621" t="str">
        <f>IF(Productos!A621="","",Productos!A621&amp;" | "&amp;Productos!B621)</f>
        <v/>
      </c>
      <c r="H621" t="str">
        <f>IF(Eventos!A621="","",Eventos!A621&amp;" | "&amp;Eventos!B621)</f>
        <v/>
      </c>
    </row>
    <row r="622" spans="1:8">
      <c r="A622" t="str">
        <f>IF(Productos!A622="","",Productos!A622&amp;" | "&amp;Productos!B622)</f>
        <v/>
      </c>
      <c r="H622" t="str">
        <f>IF(Eventos!A622="","",Eventos!A622&amp;" | "&amp;Eventos!B622)</f>
        <v/>
      </c>
    </row>
    <row r="623" spans="1:8">
      <c r="A623" t="str">
        <f>IF(Productos!A623="","",Productos!A623&amp;" | "&amp;Productos!B623)</f>
        <v/>
      </c>
      <c r="H623" t="str">
        <f>IF(Eventos!A623="","",Eventos!A623&amp;" | "&amp;Eventos!B623)</f>
        <v/>
      </c>
    </row>
    <row r="624" spans="1:8">
      <c r="A624" t="str">
        <f>IF(Productos!A624="","",Productos!A624&amp;" | "&amp;Productos!B624)</f>
        <v/>
      </c>
      <c r="H624" t="str">
        <f>IF(Eventos!A624="","",Eventos!A624&amp;" | "&amp;Eventos!B624)</f>
        <v/>
      </c>
    </row>
    <row r="625" spans="1:8">
      <c r="A625" t="str">
        <f>IF(Productos!A625="","",Productos!A625&amp;" | "&amp;Productos!B625)</f>
        <v/>
      </c>
      <c r="H625" t="str">
        <f>IF(Eventos!A625="","",Eventos!A625&amp;" | "&amp;Eventos!B625)</f>
        <v/>
      </c>
    </row>
    <row r="626" spans="1:8">
      <c r="A626" t="str">
        <f>IF(Productos!A626="","",Productos!A626&amp;" | "&amp;Productos!B626)</f>
        <v/>
      </c>
      <c r="H626" t="str">
        <f>IF(Eventos!A626="","",Eventos!A626&amp;" | "&amp;Eventos!B626)</f>
        <v/>
      </c>
    </row>
    <row r="627" spans="1:8">
      <c r="A627" t="str">
        <f>IF(Productos!A627="","",Productos!A627&amp;" | "&amp;Productos!B627)</f>
        <v/>
      </c>
      <c r="H627" t="str">
        <f>IF(Eventos!A627="","",Eventos!A627&amp;" | "&amp;Eventos!B627)</f>
        <v/>
      </c>
    </row>
    <row r="628" spans="1:8">
      <c r="A628" t="str">
        <f>IF(Productos!A628="","",Productos!A628&amp;" | "&amp;Productos!B628)</f>
        <v/>
      </c>
      <c r="H628" t="str">
        <f>IF(Eventos!A628="","",Eventos!A628&amp;" | "&amp;Eventos!B628)</f>
        <v/>
      </c>
    </row>
    <row r="629" spans="1:8">
      <c r="A629" t="str">
        <f>IF(Productos!A629="","",Productos!A629&amp;" | "&amp;Productos!B629)</f>
        <v/>
      </c>
      <c r="H629" t="str">
        <f>IF(Eventos!A629="","",Eventos!A629&amp;" | "&amp;Eventos!B629)</f>
        <v/>
      </c>
    </row>
    <row r="630" spans="1:8">
      <c r="A630" t="str">
        <f>IF(Productos!A630="","",Productos!A630&amp;" | "&amp;Productos!B630)</f>
        <v/>
      </c>
      <c r="H630" t="str">
        <f>IF(Eventos!A630="","",Eventos!A630&amp;" | "&amp;Eventos!B630)</f>
        <v/>
      </c>
    </row>
    <row r="631" spans="1:8">
      <c r="A631" t="str">
        <f>IF(Productos!A631="","",Productos!A631&amp;" | "&amp;Productos!B631)</f>
        <v/>
      </c>
      <c r="H631" t="str">
        <f>IF(Eventos!A631="","",Eventos!A631&amp;" | "&amp;Eventos!B631)</f>
        <v/>
      </c>
    </row>
    <row r="632" spans="1:8">
      <c r="A632" t="str">
        <f>IF(Productos!A632="","",Productos!A632&amp;" | "&amp;Productos!B632)</f>
        <v/>
      </c>
      <c r="H632" t="str">
        <f>IF(Eventos!A632="","",Eventos!A632&amp;" | "&amp;Eventos!B632)</f>
        <v/>
      </c>
    </row>
    <row r="633" spans="1:8">
      <c r="A633" t="str">
        <f>IF(Productos!A633="","",Productos!A633&amp;" | "&amp;Productos!B633)</f>
        <v/>
      </c>
      <c r="H633" t="str">
        <f>IF(Eventos!A633="","",Eventos!A633&amp;" | "&amp;Eventos!B633)</f>
        <v/>
      </c>
    </row>
    <row r="634" spans="1:8">
      <c r="A634" t="str">
        <f>IF(Productos!A634="","",Productos!A634&amp;" | "&amp;Productos!B634)</f>
        <v/>
      </c>
      <c r="H634" t="str">
        <f>IF(Eventos!A634="","",Eventos!A634&amp;" | "&amp;Eventos!B634)</f>
        <v/>
      </c>
    </row>
    <row r="635" spans="1:8">
      <c r="A635" t="str">
        <f>IF(Productos!A635="","",Productos!A635&amp;" | "&amp;Productos!B635)</f>
        <v/>
      </c>
      <c r="H635" t="str">
        <f>IF(Eventos!A635="","",Eventos!A635&amp;" | "&amp;Eventos!B635)</f>
        <v/>
      </c>
    </row>
    <row r="636" spans="1:8">
      <c r="A636" t="str">
        <f>IF(Productos!A636="","",Productos!A636&amp;" | "&amp;Productos!B636)</f>
        <v/>
      </c>
      <c r="H636" t="str">
        <f>IF(Eventos!A636="","",Eventos!A636&amp;" | "&amp;Eventos!B636)</f>
        <v/>
      </c>
    </row>
    <row r="637" spans="1:8">
      <c r="A637" t="str">
        <f>IF(Productos!A637="","",Productos!A637&amp;" | "&amp;Productos!B637)</f>
        <v/>
      </c>
      <c r="H637" t="str">
        <f>IF(Eventos!A637="","",Eventos!A637&amp;" | "&amp;Eventos!B637)</f>
        <v/>
      </c>
    </row>
    <row r="638" spans="1:8">
      <c r="A638" t="str">
        <f>IF(Productos!A638="","",Productos!A638&amp;" | "&amp;Productos!B638)</f>
        <v/>
      </c>
      <c r="H638" t="str">
        <f>IF(Eventos!A638="","",Eventos!A638&amp;" | "&amp;Eventos!B638)</f>
        <v/>
      </c>
    </row>
    <row r="639" spans="1:8">
      <c r="A639" t="str">
        <f>IF(Productos!A639="","",Productos!A639&amp;" | "&amp;Productos!B639)</f>
        <v/>
      </c>
      <c r="H639" t="str">
        <f>IF(Eventos!A639="","",Eventos!A639&amp;" | "&amp;Eventos!B639)</f>
        <v/>
      </c>
    </row>
    <row r="640" spans="1:8">
      <c r="A640" t="str">
        <f>IF(Productos!A640="","",Productos!A640&amp;" | "&amp;Productos!B640)</f>
        <v/>
      </c>
      <c r="H640" t="str">
        <f>IF(Eventos!A640="","",Eventos!A640&amp;" | "&amp;Eventos!B640)</f>
        <v/>
      </c>
    </row>
    <row r="641" spans="1:8">
      <c r="A641" t="str">
        <f>IF(Productos!A641="","",Productos!A641&amp;" | "&amp;Productos!B641)</f>
        <v/>
      </c>
      <c r="H641" t="str">
        <f>IF(Eventos!A641="","",Eventos!A641&amp;" | "&amp;Eventos!B641)</f>
        <v/>
      </c>
    </row>
    <row r="642" spans="1:8">
      <c r="A642" t="str">
        <f>IF(Productos!A642="","",Productos!A642&amp;" | "&amp;Productos!B642)</f>
        <v/>
      </c>
      <c r="H642" t="str">
        <f>IF(Eventos!A642="","",Eventos!A642&amp;" | "&amp;Eventos!B642)</f>
        <v/>
      </c>
    </row>
    <row r="643" spans="1:8">
      <c r="A643" t="str">
        <f>IF(Productos!A643="","",Productos!A643&amp;" | "&amp;Productos!B643)</f>
        <v/>
      </c>
      <c r="H643" t="str">
        <f>IF(Eventos!A643="","",Eventos!A643&amp;" | "&amp;Eventos!B643)</f>
        <v/>
      </c>
    </row>
    <row r="644" spans="1:8">
      <c r="A644" t="str">
        <f>IF(Productos!A644="","",Productos!A644&amp;" | "&amp;Productos!B644)</f>
        <v/>
      </c>
      <c r="H644" t="str">
        <f>IF(Eventos!A644="","",Eventos!A644&amp;" | "&amp;Eventos!B644)</f>
        <v/>
      </c>
    </row>
    <row r="645" spans="1:8">
      <c r="A645" t="str">
        <f>IF(Productos!A645="","",Productos!A645&amp;" | "&amp;Productos!B645)</f>
        <v/>
      </c>
      <c r="H645" t="str">
        <f>IF(Eventos!A645="","",Eventos!A645&amp;" | "&amp;Eventos!B645)</f>
        <v/>
      </c>
    </row>
    <row r="646" spans="1:8">
      <c r="A646" t="str">
        <f>IF(Productos!A646="","",Productos!A646&amp;" | "&amp;Productos!B646)</f>
        <v/>
      </c>
      <c r="H646" t="str">
        <f>IF(Eventos!A646="","",Eventos!A646&amp;" | "&amp;Eventos!B646)</f>
        <v/>
      </c>
    </row>
    <row r="647" spans="1:8">
      <c r="A647" t="str">
        <f>IF(Productos!A647="","",Productos!A647&amp;" | "&amp;Productos!B647)</f>
        <v/>
      </c>
      <c r="H647" t="str">
        <f>IF(Eventos!A647="","",Eventos!A647&amp;" | "&amp;Eventos!B647)</f>
        <v/>
      </c>
    </row>
    <row r="648" spans="1:8">
      <c r="A648" t="str">
        <f>IF(Productos!A648="","",Productos!A648&amp;" | "&amp;Productos!B648)</f>
        <v/>
      </c>
      <c r="H648" t="str">
        <f>IF(Eventos!A648="","",Eventos!A648&amp;" | "&amp;Eventos!B648)</f>
        <v/>
      </c>
    </row>
    <row r="649" spans="1:8">
      <c r="A649" t="str">
        <f>IF(Productos!A649="","",Productos!A649&amp;" | "&amp;Productos!B649)</f>
        <v/>
      </c>
      <c r="H649" t="str">
        <f>IF(Eventos!A649="","",Eventos!A649&amp;" | "&amp;Eventos!B649)</f>
        <v/>
      </c>
    </row>
    <row r="650" spans="1:8">
      <c r="A650" t="str">
        <f>IF(Productos!A650="","",Productos!A650&amp;" | "&amp;Productos!B650)</f>
        <v/>
      </c>
      <c r="H650" t="str">
        <f>IF(Eventos!A650="","",Eventos!A650&amp;" | "&amp;Eventos!B650)</f>
        <v/>
      </c>
    </row>
    <row r="651" spans="1:8">
      <c r="A651" t="str">
        <f>IF(Productos!A651="","",Productos!A651&amp;" | "&amp;Productos!B651)</f>
        <v/>
      </c>
      <c r="H651" t="str">
        <f>IF(Eventos!A651="","",Eventos!A651&amp;" | "&amp;Eventos!B651)</f>
        <v/>
      </c>
    </row>
    <row r="652" spans="1:8">
      <c r="A652" t="str">
        <f>IF(Productos!A652="","",Productos!A652&amp;" | "&amp;Productos!B652)</f>
        <v/>
      </c>
      <c r="H652" t="str">
        <f>IF(Eventos!A652="","",Eventos!A652&amp;" | "&amp;Eventos!B652)</f>
        <v/>
      </c>
    </row>
    <row r="653" spans="1:8">
      <c r="A653" t="str">
        <f>IF(Productos!A653="","",Productos!A653&amp;" | "&amp;Productos!B653)</f>
        <v/>
      </c>
      <c r="H653" t="str">
        <f>IF(Eventos!A653="","",Eventos!A653&amp;" | "&amp;Eventos!B653)</f>
        <v/>
      </c>
    </row>
    <row r="654" spans="1:8">
      <c r="A654" t="str">
        <f>IF(Productos!A654="","",Productos!A654&amp;" | "&amp;Productos!B654)</f>
        <v/>
      </c>
      <c r="H654" t="str">
        <f>IF(Eventos!A654="","",Eventos!A654&amp;" | "&amp;Eventos!B654)</f>
        <v/>
      </c>
    </row>
    <row r="655" spans="1:8">
      <c r="A655" t="str">
        <f>IF(Productos!A655="","",Productos!A655&amp;" | "&amp;Productos!B655)</f>
        <v/>
      </c>
      <c r="H655" t="str">
        <f>IF(Eventos!A655="","",Eventos!A655&amp;" | "&amp;Eventos!B655)</f>
        <v/>
      </c>
    </row>
    <row r="656" spans="1:8">
      <c r="A656" t="str">
        <f>IF(Productos!A656="","",Productos!A656&amp;" | "&amp;Productos!B656)</f>
        <v/>
      </c>
      <c r="H656" t="str">
        <f>IF(Eventos!A656="","",Eventos!A656&amp;" | "&amp;Eventos!B656)</f>
        <v/>
      </c>
    </row>
    <row r="657" spans="1:8">
      <c r="A657" t="str">
        <f>IF(Productos!A657="","",Productos!A657&amp;" | "&amp;Productos!B657)</f>
        <v/>
      </c>
      <c r="H657" t="str">
        <f>IF(Eventos!A657="","",Eventos!A657&amp;" | "&amp;Eventos!B657)</f>
        <v/>
      </c>
    </row>
    <row r="658" spans="1:8">
      <c r="A658" t="str">
        <f>IF(Productos!A658="","",Productos!A658&amp;" | "&amp;Productos!B658)</f>
        <v/>
      </c>
      <c r="H658" t="str">
        <f>IF(Eventos!A658="","",Eventos!A658&amp;" | "&amp;Eventos!B658)</f>
        <v/>
      </c>
    </row>
    <row r="659" spans="1:8">
      <c r="A659" t="str">
        <f>IF(Productos!A659="","",Productos!A659&amp;" | "&amp;Productos!B659)</f>
        <v/>
      </c>
      <c r="H659" t="str">
        <f>IF(Eventos!A659="","",Eventos!A659&amp;" | "&amp;Eventos!B659)</f>
        <v/>
      </c>
    </row>
    <row r="660" spans="1:8">
      <c r="A660" t="str">
        <f>IF(Productos!A660="","",Productos!A660&amp;" | "&amp;Productos!B660)</f>
        <v/>
      </c>
      <c r="H660" t="str">
        <f>IF(Eventos!A660="","",Eventos!A660&amp;" | "&amp;Eventos!B660)</f>
        <v/>
      </c>
    </row>
    <row r="661" spans="1:8">
      <c r="A661" t="str">
        <f>IF(Productos!A661="","",Productos!A661&amp;" | "&amp;Productos!B661)</f>
        <v/>
      </c>
      <c r="H661" t="str">
        <f>IF(Eventos!A661="","",Eventos!A661&amp;" | "&amp;Eventos!B661)</f>
        <v/>
      </c>
    </row>
    <row r="662" spans="1:8">
      <c r="A662" t="str">
        <f>IF(Productos!A662="","",Productos!A662&amp;" | "&amp;Productos!B662)</f>
        <v/>
      </c>
      <c r="H662" t="str">
        <f>IF(Eventos!A662="","",Eventos!A662&amp;" | "&amp;Eventos!B662)</f>
        <v/>
      </c>
    </row>
    <row r="663" spans="1:8">
      <c r="A663" t="str">
        <f>IF(Productos!A663="","",Productos!A663&amp;" | "&amp;Productos!B663)</f>
        <v/>
      </c>
      <c r="H663" t="str">
        <f>IF(Eventos!A663="","",Eventos!A663&amp;" | "&amp;Eventos!B663)</f>
        <v/>
      </c>
    </row>
    <row r="664" spans="1:8">
      <c r="A664" t="str">
        <f>IF(Productos!A664="","",Productos!A664&amp;" | "&amp;Productos!B664)</f>
        <v/>
      </c>
      <c r="H664" t="str">
        <f>IF(Eventos!A664="","",Eventos!A664&amp;" | "&amp;Eventos!B664)</f>
        <v/>
      </c>
    </row>
    <row r="665" spans="1:8">
      <c r="A665" t="str">
        <f>IF(Productos!A665="","",Productos!A665&amp;" | "&amp;Productos!B665)</f>
        <v/>
      </c>
      <c r="H665" t="str">
        <f>IF(Eventos!A665="","",Eventos!A665&amp;" | "&amp;Eventos!B665)</f>
        <v/>
      </c>
    </row>
    <row r="666" spans="1:8">
      <c r="A666" t="str">
        <f>IF(Productos!A666="","",Productos!A666&amp;" | "&amp;Productos!B666)</f>
        <v/>
      </c>
      <c r="H666" t="str">
        <f>IF(Eventos!A666="","",Eventos!A666&amp;" | "&amp;Eventos!B666)</f>
        <v/>
      </c>
    </row>
    <row r="667" spans="1:8">
      <c r="A667" t="str">
        <f>IF(Productos!A667="","",Productos!A667&amp;" | "&amp;Productos!B667)</f>
        <v/>
      </c>
      <c r="H667" t="str">
        <f>IF(Eventos!A667="","",Eventos!A667&amp;" | "&amp;Eventos!B667)</f>
        <v/>
      </c>
    </row>
    <row r="668" spans="1:8">
      <c r="A668" t="str">
        <f>IF(Productos!A668="","",Productos!A668&amp;" | "&amp;Productos!B668)</f>
        <v/>
      </c>
      <c r="H668" t="str">
        <f>IF(Eventos!A668="","",Eventos!A668&amp;" | "&amp;Eventos!B668)</f>
        <v/>
      </c>
    </row>
    <row r="669" spans="1:8">
      <c r="A669" t="str">
        <f>IF(Productos!A669="","",Productos!A669&amp;" | "&amp;Productos!B669)</f>
        <v/>
      </c>
      <c r="H669" t="str">
        <f>IF(Eventos!A669="","",Eventos!A669&amp;" | "&amp;Eventos!B669)</f>
        <v/>
      </c>
    </row>
    <row r="670" spans="1:8">
      <c r="A670" t="str">
        <f>IF(Productos!A670="","",Productos!A670&amp;" | "&amp;Productos!B670)</f>
        <v/>
      </c>
      <c r="H670" t="str">
        <f>IF(Eventos!A670="","",Eventos!A670&amp;" | "&amp;Eventos!B670)</f>
        <v/>
      </c>
    </row>
    <row r="671" spans="1:8">
      <c r="A671" t="str">
        <f>IF(Productos!A671="","",Productos!A671&amp;" | "&amp;Productos!B671)</f>
        <v/>
      </c>
      <c r="H671" t="str">
        <f>IF(Eventos!A671="","",Eventos!A671&amp;" | "&amp;Eventos!B671)</f>
        <v/>
      </c>
    </row>
    <row r="672" spans="1:8">
      <c r="A672" t="str">
        <f>IF(Productos!A672="","",Productos!A672&amp;" | "&amp;Productos!B672)</f>
        <v/>
      </c>
      <c r="H672" t="str">
        <f>IF(Eventos!A672="","",Eventos!A672&amp;" | "&amp;Eventos!B672)</f>
        <v/>
      </c>
    </row>
    <row r="673" spans="1:8">
      <c r="A673" t="str">
        <f>IF(Productos!A673="","",Productos!A673&amp;" | "&amp;Productos!B673)</f>
        <v/>
      </c>
      <c r="H673" t="str">
        <f>IF(Eventos!A673="","",Eventos!A673&amp;" | "&amp;Eventos!B673)</f>
        <v/>
      </c>
    </row>
    <row r="674" spans="1:8">
      <c r="A674" t="str">
        <f>IF(Productos!A674="","",Productos!A674&amp;" | "&amp;Productos!B674)</f>
        <v/>
      </c>
      <c r="H674" t="str">
        <f>IF(Eventos!A674="","",Eventos!A674&amp;" | "&amp;Eventos!B674)</f>
        <v/>
      </c>
    </row>
    <row r="675" spans="1:8">
      <c r="A675" t="str">
        <f>IF(Productos!A675="","",Productos!A675&amp;" | "&amp;Productos!B675)</f>
        <v/>
      </c>
      <c r="H675" t="str">
        <f>IF(Eventos!A675="","",Eventos!A675&amp;" | "&amp;Eventos!B675)</f>
        <v/>
      </c>
    </row>
    <row r="676" spans="1:8">
      <c r="A676" t="str">
        <f>IF(Productos!A676="","",Productos!A676&amp;" | "&amp;Productos!B676)</f>
        <v/>
      </c>
      <c r="H676" t="str">
        <f>IF(Eventos!A676="","",Eventos!A676&amp;" | "&amp;Eventos!B676)</f>
        <v/>
      </c>
    </row>
    <row r="677" spans="1:8">
      <c r="A677" t="str">
        <f>IF(Productos!A677="","",Productos!A677&amp;" | "&amp;Productos!B677)</f>
        <v/>
      </c>
      <c r="H677" t="str">
        <f>IF(Eventos!A677="","",Eventos!A677&amp;" | "&amp;Eventos!B677)</f>
        <v/>
      </c>
    </row>
    <row r="678" spans="1:8">
      <c r="A678" t="str">
        <f>IF(Productos!A678="","",Productos!A678&amp;" | "&amp;Productos!B678)</f>
        <v/>
      </c>
      <c r="H678" t="str">
        <f>IF(Eventos!A678="","",Eventos!A678&amp;" | "&amp;Eventos!B678)</f>
        <v/>
      </c>
    </row>
    <row r="679" spans="1:8">
      <c r="A679" t="str">
        <f>IF(Productos!A679="","",Productos!A679&amp;" | "&amp;Productos!B679)</f>
        <v/>
      </c>
      <c r="H679" t="str">
        <f>IF(Eventos!A679="","",Eventos!A679&amp;" | "&amp;Eventos!B679)</f>
        <v/>
      </c>
    </row>
    <row r="680" spans="1:8">
      <c r="A680" t="str">
        <f>IF(Productos!A680="","",Productos!A680&amp;" | "&amp;Productos!B680)</f>
        <v/>
      </c>
      <c r="H680" t="str">
        <f>IF(Eventos!A680="","",Eventos!A680&amp;" | "&amp;Eventos!B680)</f>
        <v/>
      </c>
    </row>
    <row r="681" spans="1:8">
      <c r="A681" t="str">
        <f>IF(Productos!A681="","",Productos!A681&amp;" | "&amp;Productos!B681)</f>
        <v/>
      </c>
      <c r="H681" t="str">
        <f>IF(Eventos!A681="","",Eventos!A681&amp;" | "&amp;Eventos!B681)</f>
        <v/>
      </c>
    </row>
    <row r="682" spans="1:8">
      <c r="A682" t="str">
        <f>IF(Productos!A682="","",Productos!A682&amp;" | "&amp;Productos!B682)</f>
        <v/>
      </c>
      <c r="H682" t="str">
        <f>IF(Eventos!A682="","",Eventos!A682&amp;" | "&amp;Eventos!B682)</f>
        <v/>
      </c>
    </row>
    <row r="683" spans="1:8">
      <c r="A683" t="str">
        <f>IF(Productos!A683="","",Productos!A683&amp;" | "&amp;Productos!B683)</f>
        <v/>
      </c>
      <c r="H683" t="str">
        <f>IF(Eventos!A683="","",Eventos!A683&amp;" | "&amp;Eventos!B683)</f>
        <v/>
      </c>
    </row>
    <row r="684" spans="1:8">
      <c r="A684" t="str">
        <f>IF(Productos!A684="","",Productos!A684&amp;" | "&amp;Productos!B684)</f>
        <v/>
      </c>
      <c r="H684" t="str">
        <f>IF(Eventos!A684="","",Eventos!A684&amp;" | "&amp;Eventos!B684)</f>
        <v/>
      </c>
    </row>
    <row r="685" spans="1:8">
      <c r="A685" t="str">
        <f>IF(Productos!A685="","",Productos!A685&amp;" | "&amp;Productos!B685)</f>
        <v/>
      </c>
      <c r="H685" t="str">
        <f>IF(Eventos!A685="","",Eventos!A685&amp;" | "&amp;Eventos!B685)</f>
        <v/>
      </c>
    </row>
    <row r="686" spans="1:8">
      <c r="A686" t="str">
        <f>IF(Productos!A686="","",Productos!A686&amp;" | "&amp;Productos!B686)</f>
        <v/>
      </c>
      <c r="H686" t="str">
        <f>IF(Eventos!A686="","",Eventos!A686&amp;" | "&amp;Eventos!B686)</f>
        <v/>
      </c>
    </row>
    <row r="687" spans="1:8">
      <c r="A687" t="str">
        <f>IF(Productos!A687="","",Productos!A687&amp;" | "&amp;Productos!B687)</f>
        <v/>
      </c>
      <c r="H687" t="str">
        <f>IF(Eventos!A687="","",Eventos!A687&amp;" | "&amp;Eventos!B687)</f>
        <v/>
      </c>
    </row>
    <row r="688" spans="1:8">
      <c r="A688" t="str">
        <f>IF(Productos!A688="","",Productos!A688&amp;" | "&amp;Productos!B688)</f>
        <v/>
      </c>
      <c r="H688" t="str">
        <f>IF(Eventos!A688="","",Eventos!A688&amp;" | "&amp;Eventos!B688)</f>
        <v/>
      </c>
    </row>
    <row r="689" spans="1:8">
      <c r="A689" t="str">
        <f>IF(Productos!A689="","",Productos!A689&amp;" | "&amp;Productos!B689)</f>
        <v/>
      </c>
      <c r="H689" t="str">
        <f>IF(Eventos!A689="","",Eventos!A689&amp;" | "&amp;Eventos!B689)</f>
        <v/>
      </c>
    </row>
    <row r="690" spans="1:8">
      <c r="A690" t="str">
        <f>IF(Productos!A690="","",Productos!A690&amp;" | "&amp;Productos!B690)</f>
        <v/>
      </c>
      <c r="H690" t="str">
        <f>IF(Eventos!A690="","",Eventos!A690&amp;" | "&amp;Eventos!B690)</f>
        <v/>
      </c>
    </row>
    <row r="691" spans="1:8">
      <c r="A691" t="str">
        <f>IF(Productos!A691="","",Productos!A691&amp;" | "&amp;Productos!B691)</f>
        <v/>
      </c>
      <c r="H691" t="str">
        <f>IF(Eventos!A691="","",Eventos!A691&amp;" | "&amp;Eventos!B691)</f>
        <v/>
      </c>
    </row>
    <row r="692" spans="1:8">
      <c r="A692" t="str">
        <f>IF(Productos!A692="","",Productos!A692&amp;" | "&amp;Productos!B692)</f>
        <v/>
      </c>
      <c r="H692" t="str">
        <f>IF(Eventos!A692="","",Eventos!A692&amp;" | "&amp;Eventos!B692)</f>
        <v/>
      </c>
    </row>
    <row r="693" spans="1:8">
      <c r="A693" t="str">
        <f>IF(Productos!A693="","",Productos!A693&amp;" | "&amp;Productos!B693)</f>
        <v/>
      </c>
      <c r="H693" t="str">
        <f>IF(Eventos!A693="","",Eventos!A693&amp;" | "&amp;Eventos!B693)</f>
        <v/>
      </c>
    </row>
    <row r="694" spans="1:8">
      <c r="A694" t="str">
        <f>IF(Productos!A694="","",Productos!A694&amp;" | "&amp;Productos!B694)</f>
        <v/>
      </c>
      <c r="H694" t="str">
        <f>IF(Eventos!A694="","",Eventos!A694&amp;" | "&amp;Eventos!B694)</f>
        <v/>
      </c>
    </row>
    <row r="695" spans="1:8">
      <c r="A695" t="str">
        <f>IF(Productos!A695="","",Productos!A695&amp;" | "&amp;Productos!B695)</f>
        <v/>
      </c>
      <c r="H695" t="str">
        <f>IF(Eventos!A695="","",Eventos!A695&amp;" | "&amp;Eventos!B695)</f>
        <v/>
      </c>
    </row>
    <row r="696" spans="1:8">
      <c r="A696" t="str">
        <f>IF(Productos!A696="","",Productos!A696&amp;" | "&amp;Productos!B696)</f>
        <v/>
      </c>
      <c r="H696" t="str">
        <f>IF(Eventos!A696="","",Eventos!A696&amp;" | "&amp;Eventos!B696)</f>
        <v/>
      </c>
    </row>
    <row r="697" spans="1:8">
      <c r="A697" t="str">
        <f>IF(Productos!A697="","",Productos!A697&amp;" | "&amp;Productos!B697)</f>
        <v/>
      </c>
      <c r="H697" t="str">
        <f>IF(Eventos!A697="","",Eventos!A697&amp;" | "&amp;Eventos!B697)</f>
        <v/>
      </c>
    </row>
    <row r="698" spans="1:8">
      <c r="A698" t="str">
        <f>IF(Productos!A698="","",Productos!A698&amp;" | "&amp;Productos!B698)</f>
        <v/>
      </c>
      <c r="H698" t="str">
        <f>IF(Eventos!A698="","",Eventos!A698&amp;" | "&amp;Eventos!B698)</f>
        <v/>
      </c>
    </row>
    <row r="699" spans="1:8">
      <c r="A699" t="str">
        <f>IF(Productos!A699="","",Productos!A699&amp;" | "&amp;Productos!B699)</f>
        <v/>
      </c>
      <c r="H699" t="str">
        <f>IF(Eventos!A699="","",Eventos!A699&amp;" | "&amp;Eventos!B699)</f>
        <v/>
      </c>
    </row>
    <row r="700" spans="1:8">
      <c r="A700" t="str">
        <f>IF(Productos!A700="","",Productos!A700&amp;" | "&amp;Productos!B700)</f>
        <v/>
      </c>
      <c r="H700" t="str">
        <f>IF(Eventos!A700="","",Eventos!A700&amp;" | "&amp;Eventos!B700)</f>
        <v/>
      </c>
    </row>
    <row r="701" spans="1:8">
      <c r="A701" t="str">
        <f>IF(Productos!A701="","",Productos!A701&amp;" | "&amp;Productos!B701)</f>
        <v/>
      </c>
      <c r="H701" t="str">
        <f>IF(Eventos!A701="","",Eventos!A701&amp;" | "&amp;Eventos!B701)</f>
        <v/>
      </c>
    </row>
    <row r="702" spans="1:8">
      <c r="A702" t="str">
        <f>IF(Productos!A702="","",Productos!A702&amp;" | "&amp;Productos!B702)</f>
        <v/>
      </c>
      <c r="H702" t="str">
        <f>IF(Eventos!A702="","",Eventos!A702&amp;" | "&amp;Eventos!B702)</f>
        <v/>
      </c>
    </row>
    <row r="703" spans="1:8">
      <c r="A703" t="str">
        <f>IF(Productos!A703="","",Productos!A703&amp;" | "&amp;Productos!B703)</f>
        <v/>
      </c>
      <c r="H703" t="str">
        <f>IF(Eventos!A703="","",Eventos!A703&amp;" | "&amp;Eventos!B703)</f>
        <v/>
      </c>
    </row>
    <row r="704" spans="1:8">
      <c r="A704" t="str">
        <f>IF(Productos!A704="","",Productos!A704&amp;" | "&amp;Productos!B704)</f>
        <v/>
      </c>
      <c r="H704" t="str">
        <f>IF(Eventos!A704="","",Eventos!A704&amp;" | "&amp;Eventos!B704)</f>
        <v/>
      </c>
    </row>
    <row r="705" spans="1:8">
      <c r="A705" t="str">
        <f>IF(Productos!A705="","",Productos!A705&amp;" | "&amp;Productos!B705)</f>
        <v/>
      </c>
      <c r="H705" t="str">
        <f>IF(Eventos!A705="","",Eventos!A705&amp;" | "&amp;Eventos!B705)</f>
        <v/>
      </c>
    </row>
    <row r="706" spans="1:8">
      <c r="A706" t="str">
        <f>IF(Productos!A706="","",Productos!A706&amp;" | "&amp;Productos!B706)</f>
        <v/>
      </c>
      <c r="H706" t="str">
        <f>IF(Eventos!A706="","",Eventos!A706&amp;" | "&amp;Eventos!B706)</f>
        <v/>
      </c>
    </row>
    <row r="707" spans="1:8">
      <c r="A707" t="str">
        <f>IF(Productos!A707="","",Productos!A707&amp;" | "&amp;Productos!B707)</f>
        <v/>
      </c>
      <c r="H707" t="str">
        <f>IF(Eventos!A707="","",Eventos!A707&amp;" | "&amp;Eventos!B707)</f>
        <v/>
      </c>
    </row>
    <row r="708" spans="1:8">
      <c r="A708" t="str">
        <f>IF(Productos!A708="","",Productos!A708&amp;" | "&amp;Productos!B708)</f>
        <v/>
      </c>
      <c r="H708" t="str">
        <f>IF(Eventos!A708="","",Eventos!A708&amp;" | "&amp;Eventos!B708)</f>
        <v/>
      </c>
    </row>
    <row r="709" spans="1:8">
      <c r="A709" t="str">
        <f>IF(Productos!A709="","",Productos!A709&amp;" | "&amp;Productos!B709)</f>
        <v/>
      </c>
      <c r="H709" t="str">
        <f>IF(Eventos!A709="","",Eventos!A709&amp;" | "&amp;Eventos!B709)</f>
        <v/>
      </c>
    </row>
    <row r="710" spans="1:8">
      <c r="A710" t="str">
        <f>IF(Productos!A710="","",Productos!A710&amp;" | "&amp;Productos!B710)</f>
        <v/>
      </c>
      <c r="H710" t="str">
        <f>IF(Eventos!A710="","",Eventos!A710&amp;" | "&amp;Eventos!B710)</f>
        <v/>
      </c>
    </row>
    <row r="711" spans="1:8">
      <c r="A711" t="str">
        <f>IF(Productos!A711="","",Productos!A711&amp;" | "&amp;Productos!B711)</f>
        <v/>
      </c>
      <c r="H711" t="str">
        <f>IF(Eventos!A711="","",Eventos!A711&amp;" | "&amp;Eventos!B711)</f>
        <v/>
      </c>
    </row>
    <row r="712" spans="1:8">
      <c r="A712" t="str">
        <f>IF(Productos!A712="","",Productos!A712&amp;" | "&amp;Productos!B712)</f>
        <v/>
      </c>
      <c r="H712" t="str">
        <f>IF(Eventos!A712="","",Eventos!A712&amp;" | "&amp;Eventos!B712)</f>
        <v/>
      </c>
    </row>
    <row r="713" spans="1:8">
      <c r="A713" t="str">
        <f>IF(Productos!A713="","",Productos!A713&amp;" | "&amp;Productos!B713)</f>
        <v/>
      </c>
      <c r="H713" t="str">
        <f>IF(Eventos!A713="","",Eventos!A713&amp;" | "&amp;Eventos!B713)</f>
        <v/>
      </c>
    </row>
    <row r="714" spans="1:8">
      <c r="A714" t="str">
        <f>IF(Productos!A714="","",Productos!A714&amp;" | "&amp;Productos!B714)</f>
        <v/>
      </c>
      <c r="H714" t="str">
        <f>IF(Eventos!A714="","",Eventos!A714&amp;" | "&amp;Eventos!B714)</f>
        <v/>
      </c>
    </row>
    <row r="715" spans="1:8">
      <c r="A715" t="str">
        <f>IF(Productos!A715="","",Productos!A715&amp;" | "&amp;Productos!B715)</f>
        <v/>
      </c>
      <c r="H715" t="str">
        <f>IF(Eventos!A715="","",Eventos!A715&amp;" | "&amp;Eventos!B715)</f>
        <v/>
      </c>
    </row>
    <row r="716" spans="1:8">
      <c r="A716" t="str">
        <f>IF(Productos!A716="","",Productos!A716&amp;" | "&amp;Productos!B716)</f>
        <v/>
      </c>
      <c r="H716" t="str">
        <f>IF(Eventos!A716="","",Eventos!A716&amp;" | "&amp;Eventos!B716)</f>
        <v/>
      </c>
    </row>
    <row r="717" spans="1:8">
      <c r="A717" t="str">
        <f>IF(Productos!A717="","",Productos!A717&amp;" | "&amp;Productos!B717)</f>
        <v/>
      </c>
      <c r="H717" t="str">
        <f>IF(Eventos!A717="","",Eventos!A717&amp;" | "&amp;Eventos!B717)</f>
        <v/>
      </c>
    </row>
    <row r="718" spans="1:8">
      <c r="A718" t="str">
        <f>IF(Productos!A718="","",Productos!A718&amp;" | "&amp;Productos!B718)</f>
        <v/>
      </c>
      <c r="H718" t="str">
        <f>IF(Eventos!A718="","",Eventos!A718&amp;" | "&amp;Eventos!B718)</f>
        <v/>
      </c>
    </row>
    <row r="719" spans="1:8">
      <c r="A719" t="str">
        <f>IF(Productos!A719="","",Productos!A719&amp;" | "&amp;Productos!B719)</f>
        <v/>
      </c>
      <c r="H719" t="str">
        <f>IF(Eventos!A719="","",Eventos!A719&amp;" | "&amp;Eventos!B719)</f>
        <v/>
      </c>
    </row>
    <row r="720" spans="1:8">
      <c r="A720" t="str">
        <f>IF(Productos!A720="","",Productos!A720&amp;" | "&amp;Productos!B720)</f>
        <v/>
      </c>
      <c r="H720" t="str">
        <f>IF(Eventos!A720="","",Eventos!A720&amp;" | "&amp;Eventos!B720)</f>
        <v/>
      </c>
    </row>
    <row r="721" spans="1:8">
      <c r="A721" t="str">
        <f>IF(Productos!A721="","",Productos!A721&amp;" | "&amp;Productos!B721)</f>
        <v/>
      </c>
      <c r="H721" t="str">
        <f>IF(Eventos!A721="","",Eventos!A721&amp;" | "&amp;Eventos!B721)</f>
        <v/>
      </c>
    </row>
    <row r="722" spans="1:8">
      <c r="A722" t="str">
        <f>IF(Productos!A722="","",Productos!A722&amp;" | "&amp;Productos!B722)</f>
        <v/>
      </c>
      <c r="H722" t="str">
        <f>IF(Eventos!A722="","",Eventos!A722&amp;" | "&amp;Eventos!B722)</f>
        <v/>
      </c>
    </row>
    <row r="723" spans="1:8">
      <c r="A723" t="str">
        <f>IF(Productos!A723="","",Productos!A723&amp;" | "&amp;Productos!B723)</f>
        <v/>
      </c>
      <c r="H723" t="str">
        <f>IF(Eventos!A723="","",Eventos!A723&amp;" | "&amp;Eventos!B723)</f>
        <v/>
      </c>
    </row>
    <row r="724" spans="1:8">
      <c r="A724" t="str">
        <f>IF(Productos!A724="","",Productos!A724&amp;" | "&amp;Productos!B724)</f>
        <v/>
      </c>
      <c r="H724" t="str">
        <f>IF(Eventos!A724="","",Eventos!A724&amp;" | "&amp;Eventos!B724)</f>
        <v/>
      </c>
    </row>
    <row r="725" spans="1:8">
      <c r="A725" t="str">
        <f>IF(Productos!A725="","",Productos!A725&amp;" | "&amp;Productos!B725)</f>
        <v/>
      </c>
      <c r="H725" t="str">
        <f>IF(Eventos!A725="","",Eventos!A725&amp;" | "&amp;Eventos!B725)</f>
        <v/>
      </c>
    </row>
    <row r="726" spans="1:8">
      <c r="A726" t="str">
        <f>IF(Productos!A726="","",Productos!A726&amp;" | "&amp;Productos!B726)</f>
        <v/>
      </c>
      <c r="H726" t="str">
        <f>IF(Eventos!A726="","",Eventos!A726&amp;" | "&amp;Eventos!B726)</f>
        <v/>
      </c>
    </row>
    <row r="727" spans="1:8">
      <c r="A727" t="str">
        <f>IF(Productos!A727="","",Productos!A727&amp;" | "&amp;Productos!B727)</f>
        <v/>
      </c>
      <c r="H727" t="str">
        <f>IF(Eventos!A727="","",Eventos!A727&amp;" | "&amp;Eventos!B727)</f>
        <v/>
      </c>
    </row>
    <row r="728" spans="1:8">
      <c r="A728" t="str">
        <f>IF(Productos!A728="","",Productos!A728&amp;" | "&amp;Productos!B728)</f>
        <v/>
      </c>
      <c r="H728" t="str">
        <f>IF(Eventos!A728="","",Eventos!A728&amp;" | "&amp;Eventos!B728)</f>
        <v/>
      </c>
    </row>
    <row r="729" spans="1:8">
      <c r="A729" t="str">
        <f>IF(Productos!A729="","",Productos!A729&amp;" | "&amp;Productos!B729)</f>
        <v/>
      </c>
      <c r="H729" t="str">
        <f>IF(Eventos!A729="","",Eventos!A729&amp;" | "&amp;Eventos!B729)</f>
        <v/>
      </c>
    </row>
    <row r="730" spans="1:8">
      <c r="A730" t="str">
        <f>IF(Productos!A730="","",Productos!A730&amp;" | "&amp;Productos!B730)</f>
        <v/>
      </c>
      <c r="H730" t="str">
        <f>IF(Eventos!A730="","",Eventos!A730&amp;" | "&amp;Eventos!B730)</f>
        <v/>
      </c>
    </row>
    <row r="731" spans="1:8">
      <c r="A731" t="str">
        <f>IF(Productos!A731="","",Productos!A731&amp;" | "&amp;Productos!B731)</f>
        <v/>
      </c>
      <c r="H731" t="str">
        <f>IF(Eventos!A731="","",Eventos!A731&amp;" | "&amp;Eventos!B731)</f>
        <v/>
      </c>
    </row>
    <row r="732" spans="1:8">
      <c r="A732" t="str">
        <f>IF(Productos!A732="","",Productos!A732&amp;" | "&amp;Productos!B732)</f>
        <v/>
      </c>
      <c r="H732" t="str">
        <f>IF(Eventos!A732="","",Eventos!A732&amp;" | "&amp;Eventos!B732)</f>
        <v/>
      </c>
    </row>
    <row r="733" spans="1:8">
      <c r="A733" t="str">
        <f>IF(Productos!A733="","",Productos!A733&amp;" | "&amp;Productos!B733)</f>
        <v/>
      </c>
      <c r="H733" t="str">
        <f>IF(Eventos!A733="","",Eventos!A733&amp;" | "&amp;Eventos!B733)</f>
        <v/>
      </c>
    </row>
    <row r="734" spans="1:8">
      <c r="A734" t="str">
        <f>IF(Productos!A734="","",Productos!A734&amp;" | "&amp;Productos!B734)</f>
        <v/>
      </c>
      <c r="H734" t="str">
        <f>IF(Eventos!A734="","",Eventos!A734&amp;" | "&amp;Eventos!B734)</f>
        <v/>
      </c>
    </row>
    <row r="735" spans="1:8">
      <c r="A735" t="str">
        <f>IF(Productos!A735="","",Productos!A735&amp;" | "&amp;Productos!B735)</f>
        <v/>
      </c>
      <c r="H735" t="str">
        <f>IF(Eventos!A735="","",Eventos!A735&amp;" | "&amp;Eventos!B735)</f>
        <v/>
      </c>
    </row>
    <row r="736" spans="1:8">
      <c r="A736" t="str">
        <f>IF(Productos!A736="","",Productos!A736&amp;" | "&amp;Productos!B736)</f>
        <v/>
      </c>
      <c r="H736" t="str">
        <f>IF(Eventos!A736="","",Eventos!A736&amp;" | "&amp;Eventos!B736)</f>
        <v/>
      </c>
    </row>
    <row r="737" spans="1:8">
      <c r="A737" t="str">
        <f>IF(Productos!A737="","",Productos!A737&amp;" | "&amp;Productos!B737)</f>
        <v/>
      </c>
      <c r="H737" t="str">
        <f>IF(Eventos!A737="","",Eventos!A737&amp;" | "&amp;Eventos!B737)</f>
        <v/>
      </c>
    </row>
    <row r="738" spans="1:8">
      <c r="A738" t="str">
        <f>IF(Productos!A738="","",Productos!A738&amp;" | "&amp;Productos!B738)</f>
        <v/>
      </c>
      <c r="H738" t="str">
        <f>IF(Eventos!A738="","",Eventos!A738&amp;" | "&amp;Eventos!B738)</f>
        <v/>
      </c>
    </row>
    <row r="739" spans="1:8">
      <c r="A739" t="str">
        <f>IF(Productos!A739="","",Productos!A739&amp;" | "&amp;Productos!B739)</f>
        <v/>
      </c>
      <c r="H739" t="str">
        <f>IF(Eventos!A739="","",Eventos!A739&amp;" | "&amp;Eventos!B739)</f>
        <v/>
      </c>
    </row>
    <row r="740" spans="1:8">
      <c r="A740" t="str">
        <f>IF(Productos!A740="","",Productos!A740&amp;" | "&amp;Productos!B740)</f>
        <v/>
      </c>
      <c r="H740" t="str">
        <f>IF(Eventos!A740="","",Eventos!A740&amp;" | "&amp;Eventos!B740)</f>
        <v/>
      </c>
    </row>
    <row r="741" spans="1:8">
      <c r="A741" t="str">
        <f>IF(Productos!A741="","",Productos!A741&amp;" | "&amp;Productos!B741)</f>
        <v/>
      </c>
      <c r="H741" t="str">
        <f>IF(Eventos!A741="","",Eventos!A741&amp;" | "&amp;Eventos!B741)</f>
        <v/>
      </c>
    </row>
    <row r="742" spans="1:8">
      <c r="A742" t="str">
        <f>IF(Productos!A742="","",Productos!A742&amp;" | "&amp;Productos!B742)</f>
        <v/>
      </c>
      <c r="H742" t="str">
        <f>IF(Eventos!A742="","",Eventos!A742&amp;" | "&amp;Eventos!B742)</f>
        <v/>
      </c>
    </row>
    <row r="743" spans="1:8">
      <c r="A743" t="str">
        <f>IF(Productos!A743="","",Productos!A743&amp;" | "&amp;Productos!B743)</f>
        <v/>
      </c>
      <c r="H743" t="str">
        <f>IF(Eventos!A743="","",Eventos!A743&amp;" | "&amp;Eventos!B743)</f>
        <v/>
      </c>
    </row>
    <row r="744" spans="1:8">
      <c r="A744" t="str">
        <f>IF(Productos!A744="","",Productos!A744&amp;" | "&amp;Productos!B744)</f>
        <v/>
      </c>
      <c r="H744" t="str">
        <f>IF(Eventos!A744="","",Eventos!A744&amp;" | "&amp;Eventos!B744)</f>
        <v/>
      </c>
    </row>
    <row r="745" spans="1:8">
      <c r="A745" t="str">
        <f>IF(Productos!A745="","",Productos!A745&amp;" | "&amp;Productos!B745)</f>
        <v/>
      </c>
      <c r="H745" t="str">
        <f>IF(Eventos!A745="","",Eventos!A745&amp;" | "&amp;Eventos!B745)</f>
        <v/>
      </c>
    </row>
    <row r="746" spans="1:8">
      <c r="A746" t="str">
        <f>IF(Productos!A746="","",Productos!A746&amp;" | "&amp;Productos!B746)</f>
        <v/>
      </c>
      <c r="H746" t="str">
        <f>IF(Eventos!A746="","",Eventos!A746&amp;" | "&amp;Eventos!B746)</f>
        <v/>
      </c>
    </row>
    <row r="747" spans="1:8">
      <c r="A747" t="str">
        <f>IF(Productos!A747="","",Productos!A747&amp;" | "&amp;Productos!B747)</f>
        <v/>
      </c>
      <c r="H747" t="str">
        <f>IF(Eventos!A747="","",Eventos!A747&amp;" | "&amp;Eventos!B747)</f>
        <v/>
      </c>
    </row>
    <row r="748" spans="1:8">
      <c r="A748" t="str">
        <f>IF(Productos!A748="","",Productos!A748&amp;" | "&amp;Productos!B748)</f>
        <v/>
      </c>
      <c r="H748" t="str">
        <f>IF(Eventos!A748="","",Eventos!A748&amp;" | "&amp;Eventos!B748)</f>
        <v/>
      </c>
    </row>
    <row r="749" spans="1:8">
      <c r="A749" t="str">
        <f>IF(Productos!A749="","",Productos!A749&amp;" | "&amp;Productos!B749)</f>
        <v/>
      </c>
      <c r="H749" t="str">
        <f>IF(Eventos!A749="","",Eventos!A749&amp;" | "&amp;Eventos!B749)</f>
        <v/>
      </c>
    </row>
    <row r="750" spans="1:8">
      <c r="A750" t="str">
        <f>IF(Productos!A750="","",Productos!A750&amp;" | "&amp;Productos!B750)</f>
        <v/>
      </c>
      <c r="H750" t="str">
        <f>IF(Eventos!A750="","",Eventos!A750&amp;" | "&amp;Eventos!B750)</f>
        <v/>
      </c>
    </row>
    <row r="751" spans="1:8">
      <c r="A751" t="str">
        <f>IF(Productos!A751="","",Productos!A751&amp;" | "&amp;Productos!B751)</f>
        <v/>
      </c>
      <c r="H751" t="str">
        <f>IF(Eventos!A751="","",Eventos!A751&amp;" | "&amp;Eventos!B751)</f>
        <v/>
      </c>
    </row>
    <row r="752" spans="1:8">
      <c r="A752" t="str">
        <f>IF(Productos!A752="","",Productos!A752&amp;" | "&amp;Productos!B752)</f>
        <v/>
      </c>
      <c r="H752" t="str">
        <f>IF(Eventos!A752="","",Eventos!A752&amp;" | "&amp;Eventos!B752)</f>
        <v/>
      </c>
    </row>
    <row r="753" spans="1:8">
      <c r="A753" t="str">
        <f>IF(Productos!A753="","",Productos!A753&amp;" | "&amp;Productos!B753)</f>
        <v/>
      </c>
      <c r="H753" t="str">
        <f>IF(Eventos!A753="","",Eventos!A753&amp;" | "&amp;Eventos!B753)</f>
        <v/>
      </c>
    </row>
    <row r="754" spans="1:8">
      <c r="A754" t="str">
        <f>IF(Productos!A754="","",Productos!A754&amp;" | "&amp;Productos!B754)</f>
        <v/>
      </c>
      <c r="H754" t="str">
        <f>IF(Eventos!A754="","",Eventos!A754&amp;" | "&amp;Eventos!B754)</f>
        <v/>
      </c>
    </row>
    <row r="755" spans="1:8">
      <c r="A755" t="str">
        <f>IF(Productos!A755="","",Productos!A755&amp;" | "&amp;Productos!B755)</f>
        <v/>
      </c>
      <c r="H755" t="str">
        <f>IF(Eventos!A755="","",Eventos!A755&amp;" | "&amp;Eventos!B755)</f>
        <v/>
      </c>
    </row>
    <row r="756" spans="1:8">
      <c r="A756" t="str">
        <f>IF(Productos!A756="","",Productos!A756&amp;" | "&amp;Productos!B756)</f>
        <v/>
      </c>
      <c r="H756" t="str">
        <f>IF(Eventos!A756="","",Eventos!A756&amp;" | "&amp;Eventos!B756)</f>
        <v/>
      </c>
    </row>
    <row r="757" spans="1:8">
      <c r="A757" t="str">
        <f>IF(Productos!A757="","",Productos!A757&amp;" | "&amp;Productos!B757)</f>
        <v/>
      </c>
      <c r="H757" t="str">
        <f>IF(Eventos!A757="","",Eventos!A757&amp;" | "&amp;Eventos!B757)</f>
        <v/>
      </c>
    </row>
    <row r="758" spans="1:8">
      <c r="A758" t="str">
        <f>IF(Productos!A758="","",Productos!A758&amp;" | "&amp;Productos!B758)</f>
        <v/>
      </c>
      <c r="H758" t="str">
        <f>IF(Eventos!A758="","",Eventos!A758&amp;" | "&amp;Eventos!B758)</f>
        <v/>
      </c>
    </row>
    <row r="759" spans="1:8">
      <c r="A759" t="str">
        <f>IF(Productos!A759="","",Productos!A759&amp;" | "&amp;Productos!B759)</f>
        <v/>
      </c>
      <c r="H759" t="str">
        <f>IF(Eventos!A759="","",Eventos!A759&amp;" | "&amp;Eventos!B759)</f>
        <v/>
      </c>
    </row>
    <row r="760" spans="1:8">
      <c r="A760" t="str">
        <f>IF(Productos!A760="","",Productos!A760&amp;" | "&amp;Productos!B760)</f>
        <v/>
      </c>
      <c r="H760" t="str">
        <f>IF(Eventos!A760="","",Eventos!A760&amp;" | "&amp;Eventos!B760)</f>
        <v/>
      </c>
    </row>
    <row r="761" spans="1:8">
      <c r="A761" t="str">
        <f>IF(Productos!A761="","",Productos!A761&amp;" | "&amp;Productos!B761)</f>
        <v/>
      </c>
      <c r="H761" t="str">
        <f>IF(Eventos!A761="","",Eventos!A761&amp;" | "&amp;Eventos!B761)</f>
        <v/>
      </c>
    </row>
    <row r="762" spans="1:8">
      <c r="A762" t="str">
        <f>IF(Productos!A762="","",Productos!A762&amp;" | "&amp;Productos!B762)</f>
        <v/>
      </c>
      <c r="H762" t="str">
        <f>IF(Eventos!A762="","",Eventos!A762&amp;" | "&amp;Eventos!B762)</f>
        <v/>
      </c>
    </row>
    <row r="763" spans="1:8">
      <c r="A763" t="str">
        <f>IF(Productos!A763="","",Productos!A763&amp;" | "&amp;Productos!B763)</f>
        <v/>
      </c>
      <c r="H763" t="str">
        <f>IF(Eventos!A763="","",Eventos!A763&amp;" | "&amp;Eventos!B763)</f>
        <v/>
      </c>
    </row>
    <row r="764" spans="1:8">
      <c r="A764" t="str">
        <f>IF(Productos!A764="","",Productos!A764&amp;" | "&amp;Productos!B764)</f>
        <v/>
      </c>
      <c r="H764" t="str">
        <f>IF(Eventos!A764="","",Eventos!A764&amp;" | "&amp;Eventos!B764)</f>
        <v/>
      </c>
    </row>
    <row r="765" spans="1:8">
      <c r="A765" t="str">
        <f>IF(Productos!A765="","",Productos!A765&amp;" | "&amp;Productos!B765)</f>
        <v/>
      </c>
      <c r="H765" t="str">
        <f>IF(Eventos!A765="","",Eventos!A765&amp;" | "&amp;Eventos!B765)</f>
        <v/>
      </c>
    </row>
    <row r="766" spans="1:8">
      <c r="A766" t="str">
        <f>IF(Productos!A766="","",Productos!A766&amp;" | "&amp;Productos!B766)</f>
        <v/>
      </c>
      <c r="H766" t="str">
        <f>IF(Eventos!A766="","",Eventos!A766&amp;" | "&amp;Eventos!B766)</f>
        <v/>
      </c>
    </row>
    <row r="767" spans="1:8">
      <c r="A767" t="str">
        <f>IF(Productos!A767="","",Productos!A767&amp;" | "&amp;Productos!B767)</f>
        <v/>
      </c>
      <c r="H767" t="str">
        <f>IF(Eventos!A767="","",Eventos!A767&amp;" | "&amp;Eventos!B767)</f>
        <v/>
      </c>
    </row>
    <row r="768" spans="1:8">
      <c r="A768" t="str">
        <f>IF(Productos!A768="","",Productos!A768&amp;" | "&amp;Productos!B768)</f>
        <v/>
      </c>
      <c r="H768" t="str">
        <f>IF(Eventos!A768="","",Eventos!A768&amp;" | "&amp;Eventos!B768)</f>
        <v/>
      </c>
    </row>
    <row r="769" spans="1:8">
      <c r="A769" t="str">
        <f>IF(Productos!A769="","",Productos!A769&amp;" | "&amp;Productos!B769)</f>
        <v/>
      </c>
      <c r="H769" t="str">
        <f>IF(Eventos!A769="","",Eventos!A769&amp;" | "&amp;Eventos!B769)</f>
        <v/>
      </c>
    </row>
    <row r="770" spans="1:8">
      <c r="A770" t="str">
        <f>IF(Productos!A770="","",Productos!A770&amp;" | "&amp;Productos!B770)</f>
        <v/>
      </c>
      <c r="H770" t="str">
        <f>IF(Eventos!A770="","",Eventos!A770&amp;" | "&amp;Eventos!B770)</f>
        <v/>
      </c>
    </row>
    <row r="771" spans="1:8">
      <c r="A771" t="str">
        <f>IF(Productos!A771="","",Productos!A771&amp;" | "&amp;Productos!B771)</f>
        <v/>
      </c>
      <c r="H771" t="str">
        <f>IF(Eventos!A771="","",Eventos!A771&amp;" | "&amp;Eventos!B771)</f>
        <v/>
      </c>
    </row>
    <row r="772" spans="1:8">
      <c r="A772" t="str">
        <f>IF(Productos!A772="","",Productos!A772&amp;" | "&amp;Productos!B772)</f>
        <v/>
      </c>
      <c r="H772" t="str">
        <f>IF(Eventos!A772="","",Eventos!A772&amp;" | "&amp;Eventos!B772)</f>
        <v/>
      </c>
    </row>
    <row r="773" spans="1:8">
      <c r="A773" t="str">
        <f>IF(Productos!A773="","",Productos!A773&amp;" | "&amp;Productos!B773)</f>
        <v/>
      </c>
      <c r="H773" t="str">
        <f>IF(Eventos!A773="","",Eventos!A773&amp;" | "&amp;Eventos!B773)</f>
        <v/>
      </c>
    </row>
    <row r="774" spans="1:8">
      <c r="A774" t="str">
        <f>IF(Productos!A774="","",Productos!A774&amp;" | "&amp;Productos!B774)</f>
        <v/>
      </c>
      <c r="H774" t="str">
        <f>IF(Eventos!A774="","",Eventos!A774&amp;" | "&amp;Eventos!B774)</f>
        <v/>
      </c>
    </row>
    <row r="775" spans="1:8">
      <c r="A775" t="str">
        <f>IF(Productos!A775="","",Productos!A775&amp;" | "&amp;Productos!B775)</f>
        <v/>
      </c>
      <c r="H775" t="str">
        <f>IF(Eventos!A775="","",Eventos!A775&amp;" | "&amp;Eventos!B775)</f>
        <v/>
      </c>
    </row>
    <row r="776" spans="1:8">
      <c r="A776" t="str">
        <f>IF(Productos!A776="","",Productos!A776&amp;" | "&amp;Productos!B776)</f>
        <v/>
      </c>
      <c r="H776" t="str">
        <f>IF(Eventos!A776="","",Eventos!A776&amp;" | "&amp;Eventos!B776)</f>
        <v/>
      </c>
    </row>
    <row r="777" spans="1:8">
      <c r="A777" t="str">
        <f>IF(Productos!A777="","",Productos!A777&amp;" | "&amp;Productos!B777)</f>
        <v/>
      </c>
      <c r="H777" t="str">
        <f>IF(Eventos!A777="","",Eventos!A777&amp;" | "&amp;Eventos!B777)</f>
        <v/>
      </c>
    </row>
    <row r="778" spans="1:8">
      <c r="A778" t="str">
        <f>IF(Productos!A778="","",Productos!A778&amp;" | "&amp;Productos!B778)</f>
        <v/>
      </c>
      <c r="H778" t="str">
        <f>IF(Eventos!A778="","",Eventos!A778&amp;" | "&amp;Eventos!B778)</f>
        <v/>
      </c>
    </row>
    <row r="779" spans="1:8">
      <c r="A779" t="str">
        <f>IF(Productos!A779="","",Productos!A779&amp;" | "&amp;Productos!B779)</f>
        <v/>
      </c>
      <c r="H779" t="str">
        <f>IF(Eventos!A779="","",Eventos!A779&amp;" | "&amp;Eventos!B779)</f>
        <v/>
      </c>
    </row>
    <row r="780" spans="1:8">
      <c r="A780" t="str">
        <f>IF(Productos!A780="","",Productos!A780&amp;" | "&amp;Productos!B780)</f>
        <v/>
      </c>
      <c r="H780" t="str">
        <f>IF(Eventos!A780="","",Eventos!A780&amp;" | "&amp;Eventos!B780)</f>
        <v/>
      </c>
    </row>
    <row r="781" spans="1:8">
      <c r="A781" t="str">
        <f>IF(Productos!A781="","",Productos!A781&amp;" | "&amp;Productos!B781)</f>
        <v/>
      </c>
      <c r="H781" t="str">
        <f>IF(Eventos!A781="","",Eventos!A781&amp;" | "&amp;Eventos!B781)</f>
        <v/>
      </c>
    </row>
    <row r="782" spans="1:8">
      <c r="A782" t="str">
        <f>IF(Productos!A782="","",Productos!A782&amp;" | "&amp;Productos!B782)</f>
        <v/>
      </c>
      <c r="H782" t="str">
        <f>IF(Eventos!A782="","",Eventos!A782&amp;" | "&amp;Eventos!B782)</f>
        <v/>
      </c>
    </row>
    <row r="783" spans="1:8">
      <c r="A783" t="str">
        <f>IF(Productos!A783="","",Productos!A783&amp;" | "&amp;Productos!B783)</f>
        <v/>
      </c>
      <c r="H783" t="str">
        <f>IF(Eventos!A783="","",Eventos!A783&amp;" | "&amp;Eventos!B783)</f>
        <v/>
      </c>
    </row>
    <row r="784" spans="1:8">
      <c r="A784" t="str">
        <f>IF(Productos!A784="","",Productos!A784&amp;" | "&amp;Productos!B784)</f>
        <v/>
      </c>
      <c r="H784" t="str">
        <f>IF(Eventos!A784="","",Eventos!A784&amp;" | "&amp;Eventos!B784)</f>
        <v/>
      </c>
    </row>
    <row r="785" spans="1:8">
      <c r="A785" t="str">
        <f>IF(Productos!A785="","",Productos!A785&amp;" | "&amp;Productos!B785)</f>
        <v/>
      </c>
      <c r="H785" t="str">
        <f>IF(Eventos!A785="","",Eventos!A785&amp;" | "&amp;Eventos!B785)</f>
        <v/>
      </c>
    </row>
    <row r="786" spans="1:8">
      <c r="A786" t="str">
        <f>IF(Productos!A786="","",Productos!A786&amp;" | "&amp;Productos!B786)</f>
        <v/>
      </c>
      <c r="H786" t="str">
        <f>IF(Eventos!A786="","",Eventos!A786&amp;" | "&amp;Eventos!B786)</f>
        <v/>
      </c>
    </row>
    <row r="787" spans="1:8">
      <c r="A787" t="str">
        <f>IF(Productos!A787="","",Productos!A787&amp;" | "&amp;Productos!B787)</f>
        <v/>
      </c>
      <c r="H787" t="str">
        <f>IF(Eventos!A787="","",Eventos!A787&amp;" | "&amp;Eventos!B787)</f>
        <v/>
      </c>
    </row>
    <row r="788" spans="1:8">
      <c r="A788" t="str">
        <f>IF(Productos!A788="","",Productos!A788&amp;" | "&amp;Productos!B788)</f>
        <v/>
      </c>
      <c r="H788" t="str">
        <f>IF(Eventos!A788="","",Eventos!A788&amp;" | "&amp;Eventos!B788)</f>
        <v/>
      </c>
    </row>
    <row r="789" spans="1:8">
      <c r="A789" t="str">
        <f>IF(Productos!A789="","",Productos!A789&amp;" | "&amp;Productos!B789)</f>
        <v/>
      </c>
      <c r="H789" t="str">
        <f>IF(Eventos!A789="","",Eventos!A789&amp;" | "&amp;Eventos!B789)</f>
        <v/>
      </c>
    </row>
    <row r="790" spans="1:8">
      <c r="A790" t="str">
        <f>IF(Productos!A790="","",Productos!A790&amp;" | "&amp;Productos!B790)</f>
        <v/>
      </c>
      <c r="H790" t="str">
        <f>IF(Eventos!A790="","",Eventos!A790&amp;" | "&amp;Eventos!B790)</f>
        <v/>
      </c>
    </row>
    <row r="791" spans="1:8">
      <c r="A791" t="str">
        <f>IF(Productos!A791="","",Productos!A791&amp;" | "&amp;Productos!B791)</f>
        <v/>
      </c>
      <c r="H791" t="str">
        <f>IF(Eventos!A791="","",Eventos!A791&amp;" | "&amp;Eventos!B791)</f>
        <v/>
      </c>
    </row>
    <row r="792" spans="1:8">
      <c r="A792" t="str">
        <f>IF(Productos!A792="","",Productos!A792&amp;" | "&amp;Productos!B792)</f>
        <v/>
      </c>
      <c r="H792" t="str">
        <f>IF(Eventos!A792="","",Eventos!A792&amp;" | "&amp;Eventos!B792)</f>
        <v/>
      </c>
    </row>
    <row r="793" spans="1:8">
      <c r="A793" t="str">
        <f>IF(Productos!A793="","",Productos!A793&amp;" | "&amp;Productos!B793)</f>
        <v/>
      </c>
      <c r="H793" t="str">
        <f>IF(Eventos!A793="","",Eventos!A793&amp;" | "&amp;Eventos!B793)</f>
        <v/>
      </c>
    </row>
    <row r="794" spans="1:8">
      <c r="A794" t="str">
        <f>IF(Productos!A794="","",Productos!A794&amp;" | "&amp;Productos!B794)</f>
        <v/>
      </c>
      <c r="H794" t="str">
        <f>IF(Eventos!A794="","",Eventos!A794&amp;" | "&amp;Eventos!B794)</f>
        <v/>
      </c>
    </row>
    <row r="795" spans="1:8">
      <c r="A795" t="str">
        <f>IF(Productos!A795="","",Productos!A795&amp;" | "&amp;Productos!B795)</f>
        <v/>
      </c>
      <c r="H795" t="str">
        <f>IF(Eventos!A795="","",Eventos!A795&amp;" | "&amp;Eventos!B795)</f>
        <v/>
      </c>
    </row>
    <row r="796" spans="1:8">
      <c r="A796" t="str">
        <f>IF(Productos!A796="","",Productos!A796&amp;" | "&amp;Productos!B796)</f>
        <v/>
      </c>
      <c r="H796" t="str">
        <f>IF(Eventos!A796="","",Eventos!A796&amp;" | "&amp;Eventos!B796)</f>
        <v/>
      </c>
    </row>
    <row r="797" spans="1:8">
      <c r="A797" t="str">
        <f>IF(Productos!A797="","",Productos!A797&amp;" | "&amp;Productos!B797)</f>
        <v/>
      </c>
      <c r="H797" t="str">
        <f>IF(Eventos!A797="","",Eventos!A797&amp;" | "&amp;Eventos!B797)</f>
        <v/>
      </c>
    </row>
    <row r="798" spans="1:8">
      <c r="A798" t="str">
        <f>IF(Productos!A798="","",Productos!A798&amp;" | "&amp;Productos!B798)</f>
        <v/>
      </c>
      <c r="H798" t="str">
        <f>IF(Eventos!A798="","",Eventos!A798&amp;" | "&amp;Eventos!B798)</f>
        <v/>
      </c>
    </row>
    <row r="799" spans="1:8">
      <c r="A799" t="str">
        <f>IF(Productos!A799="","",Productos!A799&amp;" | "&amp;Productos!B799)</f>
        <v/>
      </c>
      <c r="H799" t="str">
        <f>IF(Eventos!A799="","",Eventos!A799&amp;" | "&amp;Eventos!B799)</f>
        <v/>
      </c>
    </row>
    <row r="800" spans="1:8">
      <c r="A800" t="str">
        <f>IF(Productos!A800="","",Productos!A800&amp;" | "&amp;Productos!B800)</f>
        <v/>
      </c>
      <c r="H800" t="str">
        <f>IF(Eventos!A800="","",Eventos!A800&amp;" | "&amp;Eventos!B800)</f>
        <v/>
      </c>
    </row>
    <row r="801" spans="1:8">
      <c r="A801" t="str">
        <f>IF(Productos!A801="","",Productos!A801&amp;" | "&amp;Productos!B801)</f>
        <v/>
      </c>
      <c r="H801" t="str">
        <f>IF(Eventos!A801="","",Eventos!A801&amp;" | "&amp;Eventos!B801)</f>
        <v/>
      </c>
    </row>
    <row r="802" spans="1:8">
      <c r="A802" t="str">
        <f>IF(Productos!A802="","",Productos!A802&amp;" | "&amp;Productos!B802)</f>
        <v/>
      </c>
      <c r="H802" t="str">
        <f>IF(Eventos!A802="","",Eventos!A802&amp;" | "&amp;Eventos!B802)</f>
        <v/>
      </c>
    </row>
    <row r="803" spans="1:8">
      <c r="A803" t="str">
        <f>IF(Productos!A803="","",Productos!A803&amp;" | "&amp;Productos!B803)</f>
        <v/>
      </c>
      <c r="H803" t="str">
        <f>IF(Eventos!A803="","",Eventos!A803&amp;" | "&amp;Eventos!B803)</f>
        <v/>
      </c>
    </row>
    <row r="804" spans="1:8">
      <c r="A804" t="str">
        <f>IF(Productos!A804="","",Productos!A804&amp;" | "&amp;Productos!B804)</f>
        <v/>
      </c>
      <c r="H804" t="str">
        <f>IF(Eventos!A804="","",Eventos!A804&amp;" | "&amp;Eventos!B804)</f>
        <v/>
      </c>
    </row>
    <row r="805" spans="1:8">
      <c r="A805" t="str">
        <f>IF(Productos!A805="","",Productos!A805&amp;" | "&amp;Productos!B805)</f>
        <v/>
      </c>
      <c r="H805" t="str">
        <f>IF(Eventos!A805="","",Eventos!A805&amp;" | "&amp;Eventos!B805)</f>
        <v/>
      </c>
    </row>
    <row r="806" spans="1:8">
      <c r="A806" t="str">
        <f>IF(Productos!A806="","",Productos!A806&amp;" | "&amp;Productos!B806)</f>
        <v/>
      </c>
      <c r="H806" t="str">
        <f>IF(Eventos!A806="","",Eventos!A806&amp;" | "&amp;Eventos!B806)</f>
        <v/>
      </c>
    </row>
    <row r="807" spans="1:8">
      <c r="A807" t="str">
        <f>IF(Productos!A807="","",Productos!A807&amp;" | "&amp;Productos!B807)</f>
        <v/>
      </c>
      <c r="H807" t="str">
        <f>IF(Eventos!A807="","",Eventos!A807&amp;" | "&amp;Eventos!B807)</f>
        <v/>
      </c>
    </row>
    <row r="808" spans="1:8">
      <c r="A808" t="str">
        <f>IF(Productos!A808="","",Productos!A808&amp;" | "&amp;Productos!B808)</f>
        <v/>
      </c>
      <c r="H808" t="str">
        <f>IF(Eventos!A808="","",Eventos!A808&amp;" | "&amp;Eventos!B808)</f>
        <v/>
      </c>
    </row>
    <row r="809" spans="1:8">
      <c r="A809" t="str">
        <f>IF(Productos!A809="","",Productos!A809&amp;" | "&amp;Productos!B809)</f>
        <v/>
      </c>
      <c r="H809" t="str">
        <f>IF(Eventos!A809="","",Eventos!A809&amp;" | "&amp;Eventos!B809)</f>
        <v/>
      </c>
    </row>
    <row r="810" spans="1:8">
      <c r="A810" t="str">
        <f>IF(Productos!A810="","",Productos!A810&amp;" | "&amp;Productos!B810)</f>
        <v/>
      </c>
      <c r="H810" t="str">
        <f>IF(Eventos!A810="","",Eventos!A810&amp;" | "&amp;Eventos!B810)</f>
        <v/>
      </c>
    </row>
    <row r="811" spans="1:8">
      <c r="A811" t="str">
        <f>IF(Productos!A811="","",Productos!A811&amp;" | "&amp;Productos!B811)</f>
        <v/>
      </c>
      <c r="H811" t="str">
        <f>IF(Eventos!A811="","",Eventos!A811&amp;" | "&amp;Eventos!B811)</f>
        <v/>
      </c>
    </row>
    <row r="812" spans="1:8">
      <c r="A812" t="str">
        <f>IF(Productos!A812="","",Productos!A812&amp;" | "&amp;Productos!B812)</f>
        <v/>
      </c>
      <c r="H812" t="str">
        <f>IF(Eventos!A812="","",Eventos!A812&amp;" | "&amp;Eventos!B812)</f>
        <v/>
      </c>
    </row>
    <row r="813" spans="1:8">
      <c r="A813" t="str">
        <f>IF(Productos!A813="","",Productos!A813&amp;" | "&amp;Productos!B813)</f>
        <v/>
      </c>
      <c r="H813" t="str">
        <f>IF(Eventos!A813="","",Eventos!A813&amp;" | "&amp;Eventos!B813)</f>
        <v/>
      </c>
    </row>
    <row r="814" spans="1:8">
      <c r="A814" t="str">
        <f>IF(Productos!A814="","",Productos!A814&amp;" | "&amp;Productos!B814)</f>
        <v/>
      </c>
      <c r="H814" t="str">
        <f>IF(Eventos!A814="","",Eventos!A814&amp;" | "&amp;Eventos!B814)</f>
        <v/>
      </c>
    </row>
    <row r="815" spans="1:8">
      <c r="A815" t="str">
        <f>IF(Productos!A815="","",Productos!A815&amp;" | "&amp;Productos!B815)</f>
        <v/>
      </c>
      <c r="H815" t="str">
        <f>IF(Eventos!A815="","",Eventos!A815&amp;" | "&amp;Eventos!B815)</f>
        <v/>
      </c>
    </row>
    <row r="816" spans="1:8">
      <c r="A816" t="str">
        <f>IF(Productos!A816="","",Productos!A816&amp;" | "&amp;Productos!B816)</f>
        <v/>
      </c>
      <c r="H816" t="str">
        <f>IF(Eventos!A816="","",Eventos!A816&amp;" | "&amp;Eventos!B816)</f>
        <v/>
      </c>
    </row>
    <row r="817" spans="1:8">
      <c r="A817" t="str">
        <f>IF(Productos!A817="","",Productos!A817&amp;" | "&amp;Productos!B817)</f>
        <v/>
      </c>
      <c r="H817" t="str">
        <f>IF(Eventos!A817="","",Eventos!A817&amp;" | "&amp;Eventos!B817)</f>
        <v/>
      </c>
    </row>
    <row r="818" spans="1:8">
      <c r="A818" t="str">
        <f>IF(Productos!A818="","",Productos!A818&amp;" | "&amp;Productos!B818)</f>
        <v/>
      </c>
      <c r="H818" t="str">
        <f>IF(Eventos!A818="","",Eventos!A818&amp;" | "&amp;Eventos!B818)</f>
        <v/>
      </c>
    </row>
    <row r="819" spans="1:8">
      <c r="A819" t="str">
        <f>IF(Productos!A819="","",Productos!A819&amp;" | "&amp;Productos!B819)</f>
        <v/>
      </c>
      <c r="H819" t="str">
        <f>IF(Eventos!A819="","",Eventos!A819&amp;" | "&amp;Eventos!B819)</f>
        <v/>
      </c>
    </row>
    <row r="820" spans="1:8">
      <c r="A820" t="str">
        <f>IF(Productos!A820="","",Productos!A820&amp;" | "&amp;Productos!B820)</f>
        <v/>
      </c>
      <c r="H820" t="str">
        <f>IF(Eventos!A820="","",Eventos!A820&amp;" | "&amp;Eventos!B820)</f>
        <v/>
      </c>
    </row>
    <row r="821" spans="1:8">
      <c r="A821" t="str">
        <f>IF(Productos!A821="","",Productos!A821&amp;" | "&amp;Productos!B821)</f>
        <v/>
      </c>
      <c r="H821" t="str">
        <f>IF(Eventos!A821="","",Eventos!A821&amp;" | "&amp;Eventos!B821)</f>
        <v/>
      </c>
    </row>
    <row r="822" spans="1:8">
      <c r="A822" t="str">
        <f>IF(Productos!A822="","",Productos!A822&amp;" | "&amp;Productos!B822)</f>
        <v/>
      </c>
      <c r="H822" t="str">
        <f>IF(Eventos!A822="","",Eventos!A822&amp;" | "&amp;Eventos!B822)</f>
        <v/>
      </c>
    </row>
    <row r="823" spans="1:8">
      <c r="A823" t="str">
        <f>IF(Productos!A823="","",Productos!A823&amp;" | "&amp;Productos!B823)</f>
        <v/>
      </c>
      <c r="H823" t="str">
        <f>IF(Eventos!A823="","",Eventos!A823&amp;" | "&amp;Eventos!B823)</f>
        <v/>
      </c>
    </row>
    <row r="824" spans="1:8">
      <c r="A824" t="str">
        <f>IF(Productos!A824="","",Productos!A824&amp;" | "&amp;Productos!B824)</f>
        <v/>
      </c>
      <c r="H824" t="str">
        <f>IF(Eventos!A824="","",Eventos!A824&amp;" | "&amp;Eventos!B824)</f>
        <v/>
      </c>
    </row>
    <row r="825" spans="1:8">
      <c r="A825" t="str">
        <f>IF(Productos!A825="","",Productos!A825&amp;" | "&amp;Productos!B825)</f>
        <v/>
      </c>
      <c r="H825" t="str">
        <f>IF(Eventos!A825="","",Eventos!A825&amp;" | "&amp;Eventos!B825)</f>
        <v/>
      </c>
    </row>
    <row r="826" spans="1:8">
      <c r="A826" t="str">
        <f>IF(Productos!A826="","",Productos!A826&amp;" | "&amp;Productos!B826)</f>
        <v/>
      </c>
      <c r="H826" t="str">
        <f>IF(Eventos!A826="","",Eventos!A826&amp;" | "&amp;Eventos!B826)</f>
        <v/>
      </c>
    </row>
    <row r="827" spans="1:8">
      <c r="A827" t="str">
        <f>IF(Productos!A827="","",Productos!A827&amp;" | "&amp;Productos!B827)</f>
        <v/>
      </c>
      <c r="H827" t="str">
        <f>IF(Eventos!A827="","",Eventos!A827&amp;" | "&amp;Eventos!B827)</f>
        <v/>
      </c>
    </row>
    <row r="828" spans="1:8">
      <c r="A828" t="str">
        <f>IF(Productos!A828="","",Productos!A828&amp;" | "&amp;Productos!B828)</f>
        <v/>
      </c>
      <c r="H828" t="str">
        <f>IF(Eventos!A828="","",Eventos!A828&amp;" | "&amp;Eventos!B828)</f>
        <v/>
      </c>
    </row>
    <row r="829" spans="1:8">
      <c r="A829" t="str">
        <f>IF(Productos!A829="","",Productos!A829&amp;" | "&amp;Productos!B829)</f>
        <v/>
      </c>
      <c r="H829" t="str">
        <f>IF(Eventos!A829="","",Eventos!A829&amp;" | "&amp;Eventos!B829)</f>
        <v/>
      </c>
    </row>
    <row r="830" spans="1:8">
      <c r="A830" t="str">
        <f>IF(Productos!A830="","",Productos!A830&amp;" | "&amp;Productos!B830)</f>
        <v/>
      </c>
      <c r="H830" t="str">
        <f>IF(Eventos!A830="","",Eventos!A830&amp;" | "&amp;Eventos!B830)</f>
        <v/>
      </c>
    </row>
    <row r="831" spans="1:8">
      <c r="A831" t="str">
        <f>IF(Productos!A831="","",Productos!A831&amp;" | "&amp;Productos!B831)</f>
        <v/>
      </c>
      <c r="H831" t="str">
        <f>IF(Eventos!A831="","",Eventos!A831&amp;" | "&amp;Eventos!B831)</f>
        <v/>
      </c>
    </row>
    <row r="832" spans="1:8">
      <c r="A832" t="str">
        <f>IF(Productos!A832="","",Productos!A832&amp;" | "&amp;Productos!B832)</f>
        <v/>
      </c>
      <c r="H832" t="str">
        <f>IF(Eventos!A832="","",Eventos!A832&amp;" | "&amp;Eventos!B832)</f>
        <v/>
      </c>
    </row>
    <row r="833" spans="1:8">
      <c r="A833" t="str">
        <f>IF(Productos!A833="","",Productos!A833&amp;" | "&amp;Productos!B833)</f>
        <v/>
      </c>
      <c r="H833" t="str">
        <f>IF(Eventos!A833="","",Eventos!A833&amp;" | "&amp;Eventos!B833)</f>
        <v/>
      </c>
    </row>
    <row r="834" spans="1:8">
      <c r="A834" t="str">
        <f>IF(Productos!A834="","",Productos!A834&amp;" | "&amp;Productos!B834)</f>
        <v/>
      </c>
      <c r="H834" t="str">
        <f>IF(Eventos!A834="","",Eventos!A834&amp;" | "&amp;Eventos!B834)</f>
        <v/>
      </c>
    </row>
    <row r="835" spans="1:8">
      <c r="A835" t="str">
        <f>IF(Productos!A835="","",Productos!A835&amp;" | "&amp;Productos!B835)</f>
        <v/>
      </c>
      <c r="H835" t="str">
        <f>IF(Eventos!A835="","",Eventos!A835&amp;" | "&amp;Eventos!B835)</f>
        <v/>
      </c>
    </row>
    <row r="836" spans="1:8">
      <c r="A836" t="str">
        <f>IF(Productos!A836="","",Productos!A836&amp;" | "&amp;Productos!B836)</f>
        <v/>
      </c>
      <c r="H836" t="str">
        <f>IF(Eventos!A836="","",Eventos!A836&amp;" | "&amp;Eventos!B836)</f>
        <v/>
      </c>
    </row>
    <row r="837" spans="1:8">
      <c r="A837" t="str">
        <f>IF(Productos!A837="","",Productos!A837&amp;" | "&amp;Productos!B837)</f>
        <v/>
      </c>
      <c r="H837" t="str">
        <f>IF(Eventos!A837="","",Eventos!A837&amp;" | "&amp;Eventos!B837)</f>
        <v/>
      </c>
    </row>
    <row r="838" spans="1:8">
      <c r="A838" t="str">
        <f>IF(Productos!A838="","",Productos!A838&amp;" | "&amp;Productos!B838)</f>
        <v/>
      </c>
      <c r="H838" t="str">
        <f>IF(Eventos!A838="","",Eventos!A838&amp;" | "&amp;Eventos!B838)</f>
        <v/>
      </c>
    </row>
    <row r="839" spans="1:8">
      <c r="A839" t="str">
        <f>IF(Productos!A839="","",Productos!A839&amp;" | "&amp;Productos!B839)</f>
        <v/>
      </c>
      <c r="H839" t="str">
        <f>IF(Eventos!A839="","",Eventos!A839&amp;" | "&amp;Eventos!B839)</f>
        <v/>
      </c>
    </row>
    <row r="840" spans="1:8">
      <c r="A840" t="str">
        <f>IF(Productos!A840="","",Productos!A840&amp;" | "&amp;Productos!B840)</f>
        <v/>
      </c>
      <c r="H840" t="str">
        <f>IF(Eventos!A840="","",Eventos!A840&amp;" | "&amp;Eventos!B840)</f>
        <v/>
      </c>
    </row>
    <row r="841" spans="1:8">
      <c r="A841" t="str">
        <f>IF(Productos!A841="","",Productos!A841&amp;" | "&amp;Productos!B841)</f>
        <v/>
      </c>
      <c r="H841" t="str">
        <f>IF(Eventos!A841="","",Eventos!A841&amp;" | "&amp;Eventos!B841)</f>
        <v/>
      </c>
    </row>
    <row r="842" spans="1:8">
      <c r="A842" t="str">
        <f>IF(Productos!A842="","",Productos!A842&amp;" | "&amp;Productos!B842)</f>
        <v/>
      </c>
      <c r="H842" t="str">
        <f>IF(Eventos!A842="","",Eventos!A842&amp;" | "&amp;Eventos!B842)</f>
        <v/>
      </c>
    </row>
    <row r="843" spans="1:8">
      <c r="A843" t="str">
        <f>IF(Productos!A843="","",Productos!A843&amp;" | "&amp;Productos!B843)</f>
        <v/>
      </c>
      <c r="H843" t="str">
        <f>IF(Eventos!A843="","",Eventos!A843&amp;" | "&amp;Eventos!B843)</f>
        <v/>
      </c>
    </row>
    <row r="844" spans="1:8">
      <c r="A844" t="str">
        <f>IF(Productos!A844="","",Productos!A844&amp;" | "&amp;Productos!B844)</f>
        <v/>
      </c>
      <c r="H844" t="str">
        <f>IF(Eventos!A844="","",Eventos!A844&amp;" | "&amp;Eventos!B844)</f>
        <v/>
      </c>
    </row>
    <row r="845" spans="1:8">
      <c r="A845" t="str">
        <f>IF(Productos!A845="","",Productos!A845&amp;" | "&amp;Productos!B845)</f>
        <v/>
      </c>
      <c r="H845" t="str">
        <f>IF(Eventos!A845="","",Eventos!A845&amp;" | "&amp;Eventos!B845)</f>
        <v/>
      </c>
    </row>
    <row r="846" spans="1:8">
      <c r="A846" t="str">
        <f>IF(Productos!A846="","",Productos!A846&amp;" | "&amp;Productos!B846)</f>
        <v/>
      </c>
      <c r="H846" t="str">
        <f>IF(Eventos!A846="","",Eventos!A846&amp;" | "&amp;Eventos!B846)</f>
        <v/>
      </c>
    </row>
    <row r="847" spans="1:8">
      <c r="A847" t="str">
        <f>IF(Productos!A847="","",Productos!A847&amp;" | "&amp;Productos!B847)</f>
        <v/>
      </c>
      <c r="H847" t="str">
        <f>IF(Eventos!A847="","",Eventos!A847&amp;" | "&amp;Eventos!B847)</f>
        <v/>
      </c>
    </row>
    <row r="848" spans="1:8">
      <c r="A848" t="str">
        <f>IF(Productos!A848="","",Productos!A848&amp;" | "&amp;Productos!B848)</f>
        <v/>
      </c>
      <c r="H848" t="str">
        <f>IF(Eventos!A848="","",Eventos!A848&amp;" | "&amp;Eventos!B848)</f>
        <v/>
      </c>
    </row>
    <row r="849" spans="1:8">
      <c r="A849" t="str">
        <f>IF(Productos!A849="","",Productos!A849&amp;" | "&amp;Productos!B849)</f>
        <v/>
      </c>
      <c r="H849" t="str">
        <f>IF(Eventos!A849="","",Eventos!A849&amp;" | "&amp;Eventos!B849)</f>
        <v/>
      </c>
    </row>
    <row r="850" spans="1:8">
      <c r="A850" t="str">
        <f>IF(Productos!A850="","",Productos!A850&amp;" | "&amp;Productos!B850)</f>
        <v/>
      </c>
      <c r="H850" t="str">
        <f>IF(Eventos!A850="","",Eventos!A850&amp;" | "&amp;Eventos!B850)</f>
        <v/>
      </c>
    </row>
    <row r="851" spans="1:8">
      <c r="A851" t="str">
        <f>IF(Productos!A851="","",Productos!A851&amp;" | "&amp;Productos!B851)</f>
        <v/>
      </c>
      <c r="H851" t="str">
        <f>IF(Eventos!A851="","",Eventos!A851&amp;" | "&amp;Eventos!B851)</f>
        <v/>
      </c>
    </row>
    <row r="852" spans="1:8">
      <c r="A852" t="str">
        <f>IF(Productos!A852="","",Productos!A852&amp;" | "&amp;Productos!B852)</f>
        <v/>
      </c>
      <c r="H852" t="str">
        <f>IF(Eventos!A852="","",Eventos!A852&amp;" | "&amp;Eventos!B852)</f>
        <v/>
      </c>
    </row>
    <row r="853" spans="1:8">
      <c r="A853" t="str">
        <f>IF(Productos!A853="","",Productos!A853&amp;" | "&amp;Productos!B853)</f>
        <v/>
      </c>
      <c r="H853" t="str">
        <f>IF(Eventos!A853="","",Eventos!A853&amp;" | "&amp;Eventos!B853)</f>
        <v/>
      </c>
    </row>
    <row r="854" spans="1:8">
      <c r="A854" t="str">
        <f>IF(Productos!A854="","",Productos!A854&amp;" | "&amp;Productos!B854)</f>
        <v/>
      </c>
      <c r="H854" t="str">
        <f>IF(Eventos!A854="","",Eventos!A854&amp;" | "&amp;Eventos!B854)</f>
        <v/>
      </c>
    </row>
    <row r="855" spans="1:8">
      <c r="A855" t="str">
        <f>IF(Productos!A855="","",Productos!A855&amp;" | "&amp;Productos!B855)</f>
        <v/>
      </c>
      <c r="H855" t="str">
        <f>IF(Eventos!A855="","",Eventos!A855&amp;" | "&amp;Eventos!B855)</f>
        <v/>
      </c>
    </row>
    <row r="856" spans="1:8">
      <c r="A856" t="str">
        <f>IF(Productos!A856="","",Productos!A856&amp;" | "&amp;Productos!B856)</f>
        <v/>
      </c>
      <c r="H856" t="str">
        <f>IF(Eventos!A856="","",Eventos!A856&amp;" | "&amp;Eventos!B856)</f>
        <v/>
      </c>
    </row>
    <row r="857" spans="1:8">
      <c r="A857" t="str">
        <f>IF(Productos!A857="","",Productos!A857&amp;" | "&amp;Productos!B857)</f>
        <v/>
      </c>
      <c r="H857" t="str">
        <f>IF(Eventos!A857="","",Eventos!A857&amp;" | "&amp;Eventos!B857)</f>
        <v/>
      </c>
    </row>
    <row r="858" spans="1:8">
      <c r="A858" t="str">
        <f>IF(Productos!A858="","",Productos!A858&amp;" | "&amp;Productos!B858)</f>
        <v/>
      </c>
      <c r="H858" t="str">
        <f>IF(Eventos!A858="","",Eventos!A858&amp;" | "&amp;Eventos!B858)</f>
        <v/>
      </c>
    </row>
    <row r="859" spans="1:8">
      <c r="A859" t="str">
        <f>IF(Productos!A859="","",Productos!A859&amp;" | "&amp;Productos!B859)</f>
        <v/>
      </c>
      <c r="H859" t="str">
        <f>IF(Eventos!A859="","",Eventos!A859&amp;" | "&amp;Eventos!B859)</f>
        <v/>
      </c>
    </row>
    <row r="860" spans="1:8">
      <c r="A860" t="str">
        <f>IF(Productos!A860="","",Productos!A860&amp;" | "&amp;Productos!B860)</f>
        <v/>
      </c>
      <c r="H860" t="str">
        <f>IF(Eventos!A860="","",Eventos!A860&amp;" | "&amp;Eventos!B860)</f>
        <v/>
      </c>
    </row>
    <row r="861" spans="1:8">
      <c r="A861" t="str">
        <f>IF(Productos!A861="","",Productos!A861&amp;" | "&amp;Productos!B861)</f>
        <v/>
      </c>
      <c r="H861" t="str">
        <f>IF(Eventos!A861="","",Eventos!A861&amp;" | "&amp;Eventos!B861)</f>
        <v/>
      </c>
    </row>
    <row r="862" spans="1:8">
      <c r="A862" t="str">
        <f>IF(Productos!A862="","",Productos!A862&amp;" | "&amp;Productos!B862)</f>
        <v/>
      </c>
      <c r="H862" t="str">
        <f>IF(Eventos!A862="","",Eventos!A862&amp;" | "&amp;Eventos!B862)</f>
        <v/>
      </c>
    </row>
    <row r="863" spans="1:8">
      <c r="A863" t="str">
        <f>IF(Productos!A863="","",Productos!A863&amp;" | "&amp;Productos!B863)</f>
        <v/>
      </c>
      <c r="H863" t="str">
        <f>IF(Eventos!A863="","",Eventos!A863&amp;" | "&amp;Eventos!B863)</f>
        <v/>
      </c>
    </row>
    <row r="864" spans="1:8">
      <c r="A864" t="str">
        <f>IF(Productos!A864="","",Productos!A864&amp;" | "&amp;Productos!B864)</f>
        <v/>
      </c>
      <c r="H864" t="str">
        <f>IF(Eventos!A864="","",Eventos!A864&amp;" | "&amp;Eventos!B864)</f>
        <v/>
      </c>
    </row>
    <row r="865" spans="1:8">
      <c r="A865" t="str">
        <f>IF(Productos!A865="","",Productos!A865&amp;" | "&amp;Productos!B865)</f>
        <v/>
      </c>
      <c r="H865" t="str">
        <f>IF(Eventos!A865="","",Eventos!A865&amp;" | "&amp;Eventos!B865)</f>
        <v/>
      </c>
    </row>
    <row r="866" spans="1:8">
      <c r="A866" t="str">
        <f>IF(Productos!A866="","",Productos!A866&amp;" | "&amp;Productos!B866)</f>
        <v/>
      </c>
      <c r="H866" t="str">
        <f>IF(Eventos!A866="","",Eventos!A866&amp;" | "&amp;Eventos!B866)</f>
        <v/>
      </c>
    </row>
    <row r="867" spans="1:8">
      <c r="A867" t="str">
        <f>IF(Productos!A867="","",Productos!A867&amp;" | "&amp;Productos!B867)</f>
        <v/>
      </c>
      <c r="H867" t="str">
        <f>IF(Eventos!A867="","",Eventos!A867&amp;" | "&amp;Eventos!B867)</f>
        <v/>
      </c>
    </row>
    <row r="868" spans="1:8">
      <c r="A868" t="str">
        <f>IF(Productos!A868="","",Productos!A868&amp;" | "&amp;Productos!B868)</f>
        <v/>
      </c>
      <c r="H868" t="str">
        <f>IF(Eventos!A868="","",Eventos!A868&amp;" | "&amp;Eventos!B868)</f>
        <v/>
      </c>
    </row>
    <row r="869" spans="1:8">
      <c r="A869" t="str">
        <f>IF(Productos!A869="","",Productos!A869&amp;" | "&amp;Productos!B869)</f>
        <v/>
      </c>
      <c r="H869" t="str">
        <f>IF(Eventos!A869="","",Eventos!A869&amp;" | "&amp;Eventos!B869)</f>
        <v/>
      </c>
    </row>
    <row r="870" spans="1:8">
      <c r="A870" t="str">
        <f>IF(Productos!A870="","",Productos!A870&amp;" | "&amp;Productos!B870)</f>
        <v/>
      </c>
      <c r="H870" t="str">
        <f>IF(Eventos!A870="","",Eventos!A870&amp;" | "&amp;Eventos!B870)</f>
        <v/>
      </c>
    </row>
    <row r="871" spans="1:8">
      <c r="A871" t="str">
        <f>IF(Productos!A871="","",Productos!A871&amp;" | "&amp;Productos!B871)</f>
        <v/>
      </c>
      <c r="H871" t="str">
        <f>IF(Eventos!A871="","",Eventos!A871&amp;" | "&amp;Eventos!B871)</f>
        <v/>
      </c>
    </row>
    <row r="872" spans="1:8">
      <c r="A872" t="str">
        <f>IF(Productos!A872="","",Productos!A872&amp;" | "&amp;Productos!B872)</f>
        <v/>
      </c>
      <c r="H872" t="str">
        <f>IF(Eventos!A872="","",Eventos!A872&amp;" | "&amp;Eventos!B872)</f>
        <v/>
      </c>
    </row>
    <row r="873" spans="1:8">
      <c r="A873" t="str">
        <f>IF(Productos!A873="","",Productos!A873&amp;" | "&amp;Productos!B873)</f>
        <v/>
      </c>
      <c r="H873" t="str">
        <f>IF(Eventos!A873="","",Eventos!A873&amp;" | "&amp;Eventos!B873)</f>
        <v/>
      </c>
    </row>
    <row r="874" spans="1:8">
      <c r="A874" t="str">
        <f>IF(Productos!A874="","",Productos!A874&amp;" | "&amp;Productos!B874)</f>
        <v/>
      </c>
      <c r="H874" t="str">
        <f>IF(Eventos!A874="","",Eventos!A874&amp;" | "&amp;Eventos!B874)</f>
        <v/>
      </c>
    </row>
    <row r="875" spans="1:8">
      <c r="A875" t="str">
        <f>IF(Productos!A875="","",Productos!A875&amp;" | "&amp;Productos!B875)</f>
        <v/>
      </c>
      <c r="H875" t="str">
        <f>IF(Eventos!A875="","",Eventos!A875&amp;" | "&amp;Eventos!B875)</f>
        <v/>
      </c>
    </row>
    <row r="876" spans="1:8">
      <c r="A876" t="str">
        <f>IF(Productos!A876="","",Productos!A876&amp;" | "&amp;Productos!B876)</f>
        <v/>
      </c>
      <c r="H876" t="str">
        <f>IF(Eventos!A876="","",Eventos!A876&amp;" | "&amp;Eventos!B876)</f>
        <v/>
      </c>
    </row>
    <row r="877" spans="1:8">
      <c r="A877" t="str">
        <f>IF(Productos!A877="","",Productos!A877&amp;" | "&amp;Productos!B877)</f>
        <v/>
      </c>
      <c r="H877" t="str">
        <f>IF(Eventos!A877="","",Eventos!A877&amp;" | "&amp;Eventos!B877)</f>
        <v/>
      </c>
    </row>
    <row r="878" spans="1:8">
      <c r="A878" t="str">
        <f>IF(Productos!A878="","",Productos!A878&amp;" | "&amp;Productos!B878)</f>
        <v/>
      </c>
      <c r="H878" t="str">
        <f>IF(Eventos!A878="","",Eventos!A878&amp;" | "&amp;Eventos!B878)</f>
        <v/>
      </c>
    </row>
    <row r="879" spans="1:8">
      <c r="A879" t="str">
        <f>IF(Productos!A879="","",Productos!A879&amp;" | "&amp;Productos!B879)</f>
        <v/>
      </c>
      <c r="H879" t="str">
        <f>IF(Eventos!A879="","",Eventos!A879&amp;" | "&amp;Eventos!B879)</f>
        <v/>
      </c>
    </row>
    <row r="880" spans="1:8">
      <c r="A880" t="str">
        <f>IF(Productos!A880="","",Productos!A880&amp;" | "&amp;Productos!B880)</f>
        <v/>
      </c>
      <c r="H880" t="str">
        <f>IF(Eventos!A880="","",Eventos!A880&amp;" | "&amp;Eventos!B880)</f>
        <v/>
      </c>
    </row>
    <row r="881" spans="1:8">
      <c r="A881" t="str">
        <f>IF(Productos!A881="","",Productos!A881&amp;" | "&amp;Productos!B881)</f>
        <v/>
      </c>
      <c r="H881" t="str">
        <f>IF(Eventos!A881="","",Eventos!A881&amp;" | "&amp;Eventos!B881)</f>
        <v/>
      </c>
    </row>
    <row r="882" spans="1:8">
      <c r="A882" t="str">
        <f>IF(Productos!A882="","",Productos!A882&amp;" | "&amp;Productos!B882)</f>
        <v/>
      </c>
      <c r="H882" t="str">
        <f>IF(Eventos!A882="","",Eventos!A882&amp;" | "&amp;Eventos!B882)</f>
        <v/>
      </c>
    </row>
    <row r="883" spans="1:8">
      <c r="A883" t="str">
        <f>IF(Productos!A883="","",Productos!A883&amp;" | "&amp;Productos!B883)</f>
        <v/>
      </c>
      <c r="H883" t="str">
        <f>IF(Eventos!A883="","",Eventos!A883&amp;" | "&amp;Eventos!B883)</f>
        <v/>
      </c>
    </row>
    <row r="884" spans="1:8">
      <c r="A884" t="str">
        <f>IF(Productos!A884="","",Productos!A884&amp;" | "&amp;Productos!B884)</f>
        <v/>
      </c>
      <c r="H884" t="str">
        <f>IF(Eventos!A884="","",Eventos!A884&amp;" | "&amp;Eventos!B884)</f>
        <v/>
      </c>
    </row>
    <row r="885" spans="1:8">
      <c r="A885" t="str">
        <f>IF(Productos!A885="","",Productos!A885&amp;" | "&amp;Productos!B885)</f>
        <v/>
      </c>
      <c r="H885" t="str">
        <f>IF(Eventos!A885="","",Eventos!A885&amp;" | "&amp;Eventos!B885)</f>
        <v/>
      </c>
    </row>
    <row r="886" spans="1:8">
      <c r="A886" t="str">
        <f>IF(Productos!A886="","",Productos!A886&amp;" | "&amp;Productos!B886)</f>
        <v/>
      </c>
      <c r="H886" t="str">
        <f>IF(Eventos!A886="","",Eventos!A886&amp;" | "&amp;Eventos!B886)</f>
        <v/>
      </c>
    </row>
    <row r="887" spans="1:8">
      <c r="A887" t="str">
        <f>IF(Productos!A887="","",Productos!A887&amp;" | "&amp;Productos!B887)</f>
        <v/>
      </c>
      <c r="H887" t="str">
        <f>IF(Eventos!A887="","",Eventos!A887&amp;" | "&amp;Eventos!B887)</f>
        <v/>
      </c>
    </row>
    <row r="888" spans="1:8">
      <c r="A888" t="str">
        <f>IF(Productos!A888="","",Productos!A888&amp;" | "&amp;Productos!B888)</f>
        <v/>
      </c>
      <c r="H888" t="str">
        <f>IF(Eventos!A888="","",Eventos!A888&amp;" | "&amp;Eventos!B888)</f>
        <v/>
      </c>
    </row>
    <row r="889" spans="1:8">
      <c r="A889" t="str">
        <f>IF(Productos!A889="","",Productos!A889&amp;" | "&amp;Productos!B889)</f>
        <v/>
      </c>
      <c r="H889" t="str">
        <f>IF(Eventos!A889="","",Eventos!A889&amp;" | "&amp;Eventos!B889)</f>
        <v/>
      </c>
    </row>
    <row r="890" spans="1:8">
      <c r="A890" t="str">
        <f>IF(Productos!A890="","",Productos!A890&amp;" | "&amp;Productos!B890)</f>
        <v/>
      </c>
      <c r="H890" t="str">
        <f>IF(Eventos!A890="","",Eventos!A890&amp;" | "&amp;Eventos!B890)</f>
        <v/>
      </c>
    </row>
    <row r="891" spans="1:8">
      <c r="A891" t="str">
        <f>IF(Productos!A891="","",Productos!A891&amp;" | "&amp;Productos!B891)</f>
        <v/>
      </c>
      <c r="H891" t="str">
        <f>IF(Eventos!A891="","",Eventos!A891&amp;" | "&amp;Eventos!B891)</f>
        <v/>
      </c>
    </row>
    <row r="892" spans="1:8">
      <c r="A892" t="str">
        <f>IF(Productos!A892="","",Productos!A892&amp;" | "&amp;Productos!B892)</f>
        <v/>
      </c>
      <c r="H892" t="str">
        <f>IF(Eventos!A892="","",Eventos!A892&amp;" | "&amp;Eventos!B892)</f>
        <v/>
      </c>
    </row>
    <row r="893" spans="1:8">
      <c r="A893" t="str">
        <f>IF(Productos!A893="","",Productos!A893&amp;" | "&amp;Productos!B893)</f>
        <v/>
      </c>
      <c r="H893" t="str">
        <f>IF(Eventos!A893="","",Eventos!A893&amp;" | "&amp;Eventos!B893)</f>
        <v/>
      </c>
    </row>
    <row r="894" spans="1:8">
      <c r="A894" t="str">
        <f>IF(Productos!A894="","",Productos!A894&amp;" | "&amp;Productos!B894)</f>
        <v/>
      </c>
      <c r="H894" t="str">
        <f>IF(Eventos!A894="","",Eventos!A894&amp;" | "&amp;Eventos!B894)</f>
        <v/>
      </c>
    </row>
    <row r="895" spans="1:8">
      <c r="A895" t="str">
        <f>IF(Productos!A895="","",Productos!A895&amp;" | "&amp;Productos!B895)</f>
        <v/>
      </c>
      <c r="H895" t="str">
        <f>IF(Eventos!A895="","",Eventos!A895&amp;" | "&amp;Eventos!B895)</f>
        <v/>
      </c>
    </row>
    <row r="896" spans="1:8">
      <c r="A896" t="str">
        <f>IF(Productos!A896="","",Productos!A896&amp;" | "&amp;Productos!B896)</f>
        <v/>
      </c>
      <c r="H896" t="str">
        <f>IF(Eventos!A896="","",Eventos!A896&amp;" | "&amp;Eventos!B896)</f>
        <v/>
      </c>
    </row>
    <row r="897" spans="1:8">
      <c r="A897" t="str">
        <f>IF(Productos!A897="","",Productos!A897&amp;" | "&amp;Productos!B897)</f>
        <v/>
      </c>
      <c r="H897" t="str">
        <f>IF(Eventos!A897="","",Eventos!A897&amp;" | "&amp;Eventos!B897)</f>
        <v/>
      </c>
    </row>
    <row r="898" spans="1:8">
      <c r="A898" t="str">
        <f>IF(Productos!A898="","",Productos!A898&amp;" | "&amp;Productos!B898)</f>
        <v/>
      </c>
      <c r="H898" t="str">
        <f>IF(Eventos!A898="","",Eventos!A898&amp;" | "&amp;Eventos!B898)</f>
        <v/>
      </c>
    </row>
    <row r="899" spans="1:8">
      <c r="A899" t="str">
        <f>IF(Productos!A899="","",Productos!A899&amp;" | "&amp;Productos!B899)</f>
        <v/>
      </c>
      <c r="H899" t="str">
        <f>IF(Eventos!A899="","",Eventos!A899&amp;" | "&amp;Eventos!B899)</f>
        <v/>
      </c>
    </row>
    <row r="900" spans="1:8">
      <c r="A900" t="str">
        <f>IF(Productos!A900="","",Productos!A900&amp;" | "&amp;Productos!B900)</f>
        <v/>
      </c>
      <c r="H900" t="str">
        <f>IF(Eventos!A900="","",Eventos!A900&amp;" | "&amp;Eventos!B900)</f>
        <v/>
      </c>
    </row>
    <row r="901" spans="1:8">
      <c r="A901" t="str">
        <f>IF(Productos!A901="","",Productos!A901&amp;" | "&amp;Productos!B901)</f>
        <v/>
      </c>
      <c r="H901" t="str">
        <f>IF(Eventos!A901="","",Eventos!A901&amp;" | "&amp;Eventos!B901)</f>
        <v/>
      </c>
    </row>
    <row r="902" spans="1:8">
      <c r="A902" t="str">
        <f>IF(Productos!A902="","",Productos!A902&amp;" | "&amp;Productos!B902)</f>
        <v/>
      </c>
      <c r="H902" t="str">
        <f>IF(Eventos!A902="","",Eventos!A902&amp;" | "&amp;Eventos!B902)</f>
        <v/>
      </c>
    </row>
    <row r="903" spans="1:8">
      <c r="A903" t="str">
        <f>IF(Productos!A903="","",Productos!A903&amp;" | "&amp;Productos!B903)</f>
        <v/>
      </c>
      <c r="H903" t="str">
        <f>IF(Eventos!A903="","",Eventos!A903&amp;" | "&amp;Eventos!B903)</f>
        <v/>
      </c>
    </row>
    <row r="904" spans="1:8">
      <c r="A904" t="str">
        <f>IF(Productos!A904="","",Productos!A904&amp;" | "&amp;Productos!B904)</f>
        <v/>
      </c>
      <c r="H904" t="str">
        <f>IF(Eventos!A904="","",Eventos!A904&amp;" | "&amp;Eventos!B904)</f>
        <v/>
      </c>
    </row>
    <row r="905" spans="1:8">
      <c r="A905" t="str">
        <f>IF(Productos!A905="","",Productos!A905&amp;" | "&amp;Productos!B905)</f>
        <v/>
      </c>
      <c r="H905" t="str">
        <f>IF(Eventos!A905="","",Eventos!A905&amp;" | "&amp;Eventos!B905)</f>
        <v/>
      </c>
    </row>
    <row r="906" spans="1:8">
      <c r="A906" t="str">
        <f>IF(Productos!A906="","",Productos!A906&amp;" | "&amp;Productos!B906)</f>
        <v/>
      </c>
      <c r="H906" t="str">
        <f>IF(Eventos!A906="","",Eventos!A906&amp;" | "&amp;Eventos!B906)</f>
        <v/>
      </c>
    </row>
    <row r="907" spans="1:8">
      <c r="A907" t="str">
        <f>IF(Productos!A907="","",Productos!A907&amp;" | "&amp;Productos!B907)</f>
        <v/>
      </c>
      <c r="H907" t="str">
        <f>IF(Eventos!A907="","",Eventos!A907&amp;" | "&amp;Eventos!B907)</f>
        <v/>
      </c>
    </row>
    <row r="908" spans="1:8">
      <c r="A908" t="str">
        <f>IF(Productos!A908="","",Productos!A908&amp;" | "&amp;Productos!B908)</f>
        <v/>
      </c>
      <c r="H908" t="str">
        <f>IF(Eventos!A908="","",Eventos!A908&amp;" | "&amp;Eventos!B908)</f>
        <v/>
      </c>
    </row>
    <row r="909" spans="1:8">
      <c r="A909" t="str">
        <f>IF(Productos!A909="","",Productos!A909&amp;" | "&amp;Productos!B909)</f>
        <v/>
      </c>
      <c r="H909" t="str">
        <f>IF(Eventos!A909="","",Eventos!A909&amp;" | "&amp;Eventos!B909)</f>
        <v/>
      </c>
    </row>
    <row r="910" spans="1:8">
      <c r="A910" t="str">
        <f>IF(Productos!A910="","",Productos!A910&amp;" | "&amp;Productos!B910)</f>
        <v/>
      </c>
      <c r="H910" t="str">
        <f>IF(Eventos!A910="","",Eventos!A910&amp;" | "&amp;Eventos!B910)</f>
        <v/>
      </c>
    </row>
    <row r="911" spans="1:8">
      <c r="A911" t="str">
        <f>IF(Productos!A911="","",Productos!A911&amp;" | "&amp;Productos!B911)</f>
        <v/>
      </c>
      <c r="H911" t="str">
        <f>IF(Eventos!A911="","",Eventos!A911&amp;" | "&amp;Eventos!B911)</f>
        <v/>
      </c>
    </row>
    <row r="912" spans="1:8">
      <c r="A912" t="str">
        <f>IF(Productos!A912="","",Productos!A912&amp;" | "&amp;Productos!B912)</f>
        <v/>
      </c>
      <c r="H912" t="str">
        <f>IF(Eventos!A912="","",Eventos!A912&amp;" | "&amp;Eventos!B912)</f>
        <v/>
      </c>
    </row>
    <row r="913" spans="1:8">
      <c r="A913" t="str">
        <f>IF(Productos!A913="","",Productos!A913&amp;" | "&amp;Productos!B913)</f>
        <v/>
      </c>
      <c r="H913" t="str">
        <f>IF(Eventos!A913="","",Eventos!A913&amp;" | "&amp;Eventos!B913)</f>
        <v/>
      </c>
    </row>
    <row r="914" spans="1:8">
      <c r="A914" t="str">
        <f>IF(Productos!A914="","",Productos!A914&amp;" | "&amp;Productos!B914)</f>
        <v/>
      </c>
      <c r="H914" t="str">
        <f>IF(Eventos!A914="","",Eventos!A914&amp;" | "&amp;Eventos!B914)</f>
        <v/>
      </c>
    </row>
    <row r="915" spans="1:8">
      <c r="A915" t="str">
        <f>IF(Productos!A915="","",Productos!A915&amp;" | "&amp;Productos!B915)</f>
        <v/>
      </c>
      <c r="H915" t="str">
        <f>IF(Eventos!A915="","",Eventos!A915&amp;" | "&amp;Eventos!B915)</f>
        <v/>
      </c>
    </row>
    <row r="916" spans="1:8">
      <c r="A916" t="str">
        <f>IF(Productos!A916="","",Productos!A916&amp;" | "&amp;Productos!B916)</f>
        <v/>
      </c>
      <c r="H916" t="str">
        <f>IF(Eventos!A916="","",Eventos!A916&amp;" | "&amp;Eventos!B916)</f>
        <v/>
      </c>
    </row>
    <row r="917" spans="1:8">
      <c r="A917" t="str">
        <f>IF(Productos!A917="","",Productos!A917&amp;" | "&amp;Productos!B917)</f>
        <v/>
      </c>
      <c r="H917" t="str">
        <f>IF(Eventos!A917="","",Eventos!A917&amp;" | "&amp;Eventos!B917)</f>
        <v/>
      </c>
    </row>
    <row r="918" spans="1:8">
      <c r="A918" t="str">
        <f>IF(Productos!A918="","",Productos!A918&amp;" | "&amp;Productos!B918)</f>
        <v/>
      </c>
      <c r="H918" t="str">
        <f>IF(Eventos!A918="","",Eventos!A918&amp;" | "&amp;Eventos!B918)</f>
        <v/>
      </c>
    </row>
    <row r="919" spans="1:8">
      <c r="A919" t="str">
        <f>IF(Productos!A919="","",Productos!A919&amp;" | "&amp;Productos!B919)</f>
        <v/>
      </c>
      <c r="H919" t="str">
        <f>IF(Eventos!A919="","",Eventos!A919&amp;" | "&amp;Eventos!B919)</f>
        <v/>
      </c>
    </row>
    <row r="920" spans="1:8">
      <c r="A920" t="str">
        <f>IF(Productos!A920="","",Productos!A920&amp;" | "&amp;Productos!B920)</f>
        <v/>
      </c>
      <c r="H920" t="str">
        <f>IF(Eventos!A920="","",Eventos!A920&amp;" | "&amp;Eventos!B920)</f>
        <v/>
      </c>
    </row>
    <row r="921" spans="1:8">
      <c r="A921" t="str">
        <f>IF(Productos!A921="","",Productos!A921&amp;" | "&amp;Productos!B921)</f>
        <v/>
      </c>
      <c r="H921" t="str">
        <f>IF(Eventos!A921="","",Eventos!A921&amp;" | "&amp;Eventos!B921)</f>
        <v/>
      </c>
    </row>
    <row r="922" spans="1:8">
      <c r="A922" t="str">
        <f>IF(Productos!A922="","",Productos!A922&amp;" | "&amp;Productos!B922)</f>
        <v/>
      </c>
      <c r="H922" t="str">
        <f>IF(Eventos!A922="","",Eventos!A922&amp;" | "&amp;Eventos!B922)</f>
        <v/>
      </c>
    </row>
    <row r="923" spans="1:8">
      <c r="A923" t="str">
        <f>IF(Productos!A923="","",Productos!A923&amp;" | "&amp;Productos!B923)</f>
        <v/>
      </c>
      <c r="H923" t="str">
        <f>IF(Eventos!A923="","",Eventos!A923&amp;" | "&amp;Eventos!B923)</f>
        <v/>
      </c>
    </row>
    <row r="924" spans="1:8">
      <c r="A924" t="str">
        <f>IF(Productos!A924="","",Productos!A924&amp;" | "&amp;Productos!B924)</f>
        <v/>
      </c>
      <c r="H924" t="str">
        <f>IF(Eventos!A924="","",Eventos!A924&amp;" | "&amp;Eventos!B924)</f>
        <v/>
      </c>
    </row>
    <row r="925" spans="1:8">
      <c r="A925" t="str">
        <f>IF(Productos!A925="","",Productos!A925&amp;" | "&amp;Productos!B925)</f>
        <v/>
      </c>
      <c r="H925" t="str">
        <f>IF(Eventos!A925="","",Eventos!A925&amp;" | "&amp;Eventos!B925)</f>
        <v/>
      </c>
    </row>
    <row r="926" spans="1:8">
      <c r="A926" t="str">
        <f>IF(Productos!A926="","",Productos!A926&amp;" | "&amp;Productos!B926)</f>
        <v/>
      </c>
      <c r="H926" t="str">
        <f>IF(Eventos!A926="","",Eventos!A926&amp;" | "&amp;Eventos!B926)</f>
        <v/>
      </c>
    </row>
    <row r="927" spans="1:8">
      <c r="A927" t="str">
        <f>IF(Productos!A927="","",Productos!A927&amp;" | "&amp;Productos!B927)</f>
        <v/>
      </c>
      <c r="H927" t="str">
        <f>IF(Eventos!A927="","",Eventos!A927&amp;" | "&amp;Eventos!B927)</f>
        <v/>
      </c>
    </row>
    <row r="928" spans="1:8">
      <c r="A928" t="str">
        <f>IF(Productos!A928="","",Productos!A928&amp;" | "&amp;Productos!B928)</f>
        <v/>
      </c>
      <c r="H928" t="str">
        <f>IF(Eventos!A928="","",Eventos!A928&amp;" | "&amp;Eventos!B928)</f>
        <v/>
      </c>
    </row>
    <row r="929" spans="1:8">
      <c r="A929" t="str">
        <f>IF(Productos!A929="","",Productos!A929&amp;" | "&amp;Productos!B929)</f>
        <v/>
      </c>
      <c r="H929" t="str">
        <f>IF(Eventos!A929="","",Eventos!A929&amp;" | "&amp;Eventos!B929)</f>
        <v/>
      </c>
    </row>
    <row r="930" spans="1:8">
      <c r="A930" t="str">
        <f>IF(Productos!A930="","",Productos!A930&amp;" | "&amp;Productos!B930)</f>
        <v/>
      </c>
      <c r="H930" t="str">
        <f>IF(Eventos!A930="","",Eventos!A930&amp;" | "&amp;Eventos!B930)</f>
        <v/>
      </c>
    </row>
    <row r="931" spans="1:8">
      <c r="A931" t="str">
        <f>IF(Productos!A931="","",Productos!A931&amp;" | "&amp;Productos!B931)</f>
        <v/>
      </c>
      <c r="H931" t="str">
        <f>IF(Eventos!A931="","",Eventos!A931&amp;" | "&amp;Eventos!B931)</f>
        <v/>
      </c>
    </row>
    <row r="932" spans="1:8">
      <c r="A932" t="str">
        <f>IF(Productos!A932="","",Productos!A932&amp;" | "&amp;Productos!B932)</f>
        <v/>
      </c>
      <c r="H932" t="str">
        <f>IF(Eventos!A932="","",Eventos!A932&amp;" | "&amp;Eventos!B932)</f>
        <v/>
      </c>
    </row>
    <row r="933" spans="1:8">
      <c r="A933" t="str">
        <f>IF(Productos!A933="","",Productos!A933&amp;" | "&amp;Productos!B933)</f>
        <v/>
      </c>
      <c r="H933" t="str">
        <f>IF(Eventos!A933="","",Eventos!A933&amp;" | "&amp;Eventos!B933)</f>
        <v/>
      </c>
    </row>
    <row r="934" spans="1:8">
      <c r="A934" t="str">
        <f>IF(Productos!A934="","",Productos!A934&amp;" | "&amp;Productos!B934)</f>
        <v/>
      </c>
      <c r="H934" t="str">
        <f>IF(Eventos!A934="","",Eventos!A934&amp;" | "&amp;Eventos!B934)</f>
        <v/>
      </c>
    </row>
    <row r="935" spans="1:8">
      <c r="A935" t="str">
        <f>IF(Productos!A935="","",Productos!A935&amp;" | "&amp;Productos!B935)</f>
        <v/>
      </c>
      <c r="H935" t="str">
        <f>IF(Eventos!A935="","",Eventos!A935&amp;" | "&amp;Eventos!B935)</f>
        <v/>
      </c>
    </row>
    <row r="936" spans="1:8">
      <c r="A936" t="str">
        <f>IF(Productos!A936="","",Productos!A936&amp;" | "&amp;Productos!B936)</f>
        <v/>
      </c>
      <c r="H936" t="str">
        <f>IF(Eventos!A936="","",Eventos!A936&amp;" | "&amp;Eventos!B936)</f>
        <v/>
      </c>
    </row>
    <row r="937" spans="1:8">
      <c r="A937" t="str">
        <f>IF(Productos!A937="","",Productos!A937&amp;" | "&amp;Productos!B937)</f>
        <v/>
      </c>
      <c r="H937" t="str">
        <f>IF(Eventos!A937="","",Eventos!A937&amp;" | "&amp;Eventos!B937)</f>
        <v/>
      </c>
    </row>
    <row r="938" spans="1:8">
      <c r="A938" t="str">
        <f>IF(Productos!A938="","",Productos!A938&amp;" | "&amp;Productos!B938)</f>
        <v/>
      </c>
      <c r="H938" t="str">
        <f>IF(Eventos!A938="","",Eventos!A938&amp;" | "&amp;Eventos!B938)</f>
        <v/>
      </c>
    </row>
    <row r="939" spans="1:8">
      <c r="A939" t="str">
        <f>IF(Productos!A939="","",Productos!A939&amp;" | "&amp;Productos!B939)</f>
        <v/>
      </c>
      <c r="H939" t="str">
        <f>IF(Eventos!A939="","",Eventos!A939&amp;" | "&amp;Eventos!B939)</f>
        <v/>
      </c>
    </row>
    <row r="940" spans="1:8">
      <c r="A940" t="str">
        <f>IF(Productos!A940="","",Productos!A940&amp;" | "&amp;Productos!B940)</f>
        <v/>
      </c>
      <c r="H940" t="str">
        <f>IF(Eventos!A940="","",Eventos!A940&amp;" | "&amp;Eventos!B940)</f>
        <v/>
      </c>
    </row>
    <row r="941" spans="1:8">
      <c r="A941" t="str">
        <f>IF(Productos!A941="","",Productos!A941&amp;" | "&amp;Productos!B941)</f>
        <v/>
      </c>
      <c r="H941" t="str">
        <f>IF(Eventos!A941="","",Eventos!A941&amp;" | "&amp;Eventos!B941)</f>
        <v/>
      </c>
    </row>
    <row r="942" spans="1:8">
      <c r="A942" t="str">
        <f>IF(Productos!A942="","",Productos!A942&amp;" | "&amp;Productos!B942)</f>
        <v/>
      </c>
      <c r="H942" t="str">
        <f>IF(Eventos!A942="","",Eventos!A942&amp;" | "&amp;Eventos!B942)</f>
        <v/>
      </c>
    </row>
    <row r="943" spans="1:8">
      <c r="A943" t="str">
        <f>IF(Productos!A943="","",Productos!A943&amp;" | "&amp;Productos!B943)</f>
        <v/>
      </c>
      <c r="H943" t="str">
        <f>IF(Eventos!A943="","",Eventos!A943&amp;" | "&amp;Eventos!B943)</f>
        <v/>
      </c>
    </row>
    <row r="944" spans="1:8">
      <c r="A944" t="str">
        <f>IF(Productos!A944="","",Productos!A944&amp;" | "&amp;Productos!B944)</f>
        <v/>
      </c>
      <c r="H944" t="str">
        <f>IF(Eventos!A944="","",Eventos!A944&amp;" | "&amp;Eventos!B944)</f>
        <v/>
      </c>
    </row>
    <row r="945" spans="1:8">
      <c r="A945" t="str">
        <f>IF(Productos!A945="","",Productos!A945&amp;" | "&amp;Productos!B945)</f>
        <v/>
      </c>
      <c r="H945" t="str">
        <f>IF(Eventos!A945="","",Eventos!A945&amp;" | "&amp;Eventos!B945)</f>
        <v/>
      </c>
    </row>
    <row r="946" spans="1:8">
      <c r="A946" t="str">
        <f>IF(Productos!A946="","",Productos!A946&amp;" | "&amp;Productos!B946)</f>
        <v/>
      </c>
      <c r="H946" t="str">
        <f>IF(Eventos!A946="","",Eventos!A946&amp;" | "&amp;Eventos!B946)</f>
        <v/>
      </c>
    </row>
    <row r="947" spans="1:8">
      <c r="A947" t="str">
        <f>IF(Productos!A947="","",Productos!A947&amp;" | "&amp;Productos!B947)</f>
        <v/>
      </c>
      <c r="H947" t="str">
        <f>IF(Eventos!A947="","",Eventos!A947&amp;" | "&amp;Eventos!B947)</f>
        <v/>
      </c>
    </row>
    <row r="948" spans="1:8">
      <c r="A948" t="str">
        <f>IF(Productos!A948="","",Productos!A948&amp;" | "&amp;Productos!B948)</f>
        <v/>
      </c>
      <c r="H948" t="str">
        <f>IF(Eventos!A948="","",Eventos!A948&amp;" | "&amp;Eventos!B948)</f>
        <v/>
      </c>
    </row>
    <row r="949" spans="1:8">
      <c r="A949" t="str">
        <f>IF(Productos!A949="","",Productos!A949&amp;" | "&amp;Productos!B949)</f>
        <v/>
      </c>
      <c r="H949" t="str">
        <f>IF(Eventos!A949="","",Eventos!A949&amp;" | "&amp;Eventos!B949)</f>
        <v/>
      </c>
    </row>
    <row r="950" spans="1:8">
      <c r="A950" t="str">
        <f>IF(Productos!A950="","",Productos!A950&amp;" | "&amp;Productos!B950)</f>
        <v/>
      </c>
      <c r="H950" t="str">
        <f>IF(Eventos!A950="","",Eventos!A950&amp;" | "&amp;Eventos!B950)</f>
        <v/>
      </c>
    </row>
    <row r="951" spans="1:8">
      <c r="A951" t="str">
        <f>IF(Productos!A951="","",Productos!A951&amp;" | "&amp;Productos!B951)</f>
        <v/>
      </c>
      <c r="H951" t="str">
        <f>IF(Eventos!A951="","",Eventos!A951&amp;" | "&amp;Eventos!B951)</f>
        <v/>
      </c>
    </row>
    <row r="952" spans="1:8">
      <c r="A952" t="str">
        <f>IF(Productos!A952="","",Productos!A952&amp;" | "&amp;Productos!B952)</f>
        <v/>
      </c>
      <c r="H952" t="str">
        <f>IF(Eventos!A952="","",Eventos!A952&amp;" | "&amp;Eventos!B952)</f>
        <v/>
      </c>
    </row>
    <row r="953" spans="1:8">
      <c r="A953" t="str">
        <f>IF(Productos!A953="","",Productos!A953&amp;" | "&amp;Productos!B953)</f>
        <v/>
      </c>
      <c r="H953" t="str">
        <f>IF(Eventos!A953="","",Eventos!A953&amp;" | "&amp;Eventos!B953)</f>
        <v/>
      </c>
    </row>
    <row r="954" spans="1:8">
      <c r="A954" t="str">
        <f>IF(Productos!A954="","",Productos!A954&amp;" | "&amp;Productos!B954)</f>
        <v/>
      </c>
      <c r="H954" t="str">
        <f>IF(Eventos!A954="","",Eventos!A954&amp;" | "&amp;Eventos!B954)</f>
        <v/>
      </c>
    </row>
    <row r="955" spans="1:8">
      <c r="A955" t="str">
        <f>IF(Productos!A955="","",Productos!A955&amp;" | "&amp;Productos!B955)</f>
        <v/>
      </c>
      <c r="H955" t="str">
        <f>IF(Eventos!A955="","",Eventos!A955&amp;" | "&amp;Eventos!B955)</f>
        <v/>
      </c>
    </row>
    <row r="956" spans="1:8">
      <c r="A956" t="str">
        <f>IF(Productos!A956="","",Productos!A956&amp;" | "&amp;Productos!B956)</f>
        <v/>
      </c>
      <c r="H956" t="str">
        <f>IF(Eventos!A956="","",Eventos!A956&amp;" | "&amp;Eventos!B956)</f>
        <v/>
      </c>
    </row>
    <row r="957" spans="1:8">
      <c r="A957" t="str">
        <f>IF(Productos!A957="","",Productos!A957&amp;" | "&amp;Productos!B957)</f>
        <v/>
      </c>
      <c r="H957" t="str">
        <f>IF(Eventos!A957="","",Eventos!A957&amp;" | "&amp;Eventos!B957)</f>
        <v/>
      </c>
    </row>
    <row r="958" spans="1:8">
      <c r="A958" t="str">
        <f>IF(Productos!A958="","",Productos!A958&amp;" | "&amp;Productos!B958)</f>
        <v/>
      </c>
      <c r="H958" t="str">
        <f>IF(Eventos!A958="","",Eventos!A958&amp;" | "&amp;Eventos!B958)</f>
        <v/>
      </c>
    </row>
    <row r="959" spans="1:8">
      <c r="A959" t="str">
        <f>IF(Productos!A959="","",Productos!A959&amp;" | "&amp;Productos!B959)</f>
        <v/>
      </c>
      <c r="H959" t="str">
        <f>IF(Eventos!A959="","",Eventos!A959&amp;" | "&amp;Eventos!B959)</f>
        <v/>
      </c>
    </row>
    <row r="960" spans="1:8">
      <c r="A960" t="str">
        <f>IF(Productos!A960="","",Productos!A960&amp;" | "&amp;Productos!B960)</f>
        <v/>
      </c>
      <c r="H960" t="str">
        <f>IF(Eventos!A960="","",Eventos!A960&amp;" | "&amp;Eventos!B960)</f>
        <v/>
      </c>
    </row>
    <row r="961" spans="1:8">
      <c r="A961" t="str">
        <f>IF(Productos!A961="","",Productos!A961&amp;" | "&amp;Productos!B961)</f>
        <v/>
      </c>
      <c r="H961" t="str">
        <f>IF(Eventos!A961="","",Eventos!A961&amp;" | "&amp;Eventos!B961)</f>
        <v/>
      </c>
    </row>
    <row r="962" spans="1:8">
      <c r="A962" t="str">
        <f>IF(Productos!A962="","",Productos!A962&amp;" | "&amp;Productos!B962)</f>
        <v/>
      </c>
      <c r="H962" t="str">
        <f>IF(Eventos!A962="","",Eventos!A962&amp;" | "&amp;Eventos!B962)</f>
        <v/>
      </c>
    </row>
    <row r="963" spans="1:8">
      <c r="A963" t="str">
        <f>IF(Productos!A963="","",Productos!A963&amp;" | "&amp;Productos!B963)</f>
        <v/>
      </c>
      <c r="H963" t="str">
        <f>IF(Eventos!A963="","",Eventos!A963&amp;" | "&amp;Eventos!B963)</f>
        <v/>
      </c>
    </row>
    <row r="964" spans="1:8">
      <c r="A964" t="str">
        <f>IF(Productos!A964="","",Productos!A964&amp;" | "&amp;Productos!B964)</f>
        <v/>
      </c>
      <c r="H964" t="str">
        <f>IF(Eventos!A964="","",Eventos!A964&amp;" | "&amp;Eventos!B964)</f>
        <v/>
      </c>
    </row>
    <row r="965" spans="1:8">
      <c r="A965" t="str">
        <f>IF(Productos!A965="","",Productos!A965&amp;" | "&amp;Productos!B965)</f>
        <v/>
      </c>
      <c r="H965" t="str">
        <f>IF(Eventos!A965="","",Eventos!A965&amp;" | "&amp;Eventos!B965)</f>
        <v/>
      </c>
    </row>
    <row r="966" spans="1:8">
      <c r="A966" t="str">
        <f>IF(Productos!A966="","",Productos!A966&amp;" | "&amp;Productos!B966)</f>
        <v/>
      </c>
      <c r="H966" t="str">
        <f>IF(Eventos!A966="","",Eventos!A966&amp;" | "&amp;Eventos!B966)</f>
        <v/>
      </c>
    </row>
    <row r="967" spans="1:8">
      <c r="A967" t="str">
        <f>IF(Productos!A967="","",Productos!A967&amp;" | "&amp;Productos!B967)</f>
        <v/>
      </c>
      <c r="H967" t="str">
        <f>IF(Eventos!A967="","",Eventos!A967&amp;" | "&amp;Eventos!B967)</f>
        <v/>
      </c>
    </row>
    <row r="968" spans="1:8">
      <c r="A968" t="str">
        <f>IF(Productos!A968="","",Productos!A968&amp;" | "&amp;Productos!B968)</f>
        <v/>
      </c>
      <c r="H968" t="str">
        <f>IF(Eventos!A968="","",Eventos!A968&amp;" | "&amp;Eventos!B968)</f>
        <v/>
      </c>
    </row>
    <row r="969" spans="1:8">
      <c r="A969" t="str">
        <f>IF(Productos!A969="","",Productos!A969&amp;" | "&amp;Productos!B969)</f>
        <v/>
      </c>
      <c r="H969" t="str">
        <f>IF(Eventos!A969="","",Eventos!A969&amp;" | "&amp;Eventos!B969)</f>
        <v/>
      </c>
    </row>
    <row r="970" spans="1:8">
      <c r="A970" t="str">
        <f>IF(Productos!A970="","",Productos!A970&amp;" | "&amp;Productos!B970)</f>
        <v/>
      </c>
      <c r="H970" t="str">
        <f>IF(Eventos!A970="","",Eventos!A970&amp;" | "&amp;Eventos!B970)</f>
        <v/>
      </c>
    </row>
    <row r="971" spans="1:8">
      <c r="A971" t="str">
        <f>IF(Productos!A971="","",Productos!A971&amp;" | "&amp;Productos!B971)</f>
        <v/>
      </c>
      <c r="H971" t="str">
        <f>IF(Eventos!A971="","",Eventos!A971&amp;" | "&amp;Eventos!B971)</f>
        <v/>
      </c>
    </row>
    <row r="972" spans="1:8">
      <c r="A972" t="str">
        <f>IF(Productos!A972="","",Productos!A972&amp;" | "&amp;Productos!B972)</f>
        <v/>
      </c>
      <c r="H972" t="str">
        <f>IF(Eventos!A972="","",Eventos!A972&amp;" | "&amp;Eventos!B972)</f>
        <v/>
      </c>
    </row>
    <row r="973" spans="1:8">
      <c r="A973" t="str">
        <f>IF(Productos!A973="","",Productos!A973&amp;" | "&amp;Productos!B973)</f>
        <v/>
      </c>
      <c r="H973" t="str">
        <f>IF(Eventos!A973="","",Eventos!A973&amp;" | "&amp;Eventos!B973)</f>
        <v/>
      </c>
    </row>
    <row r="974" spans="1:8">
      <c r="A974" t="str">
        <f>IF(Productos!A974="","",Productos!A974&amp;" | "&amp;Productos!B974)</f>
        <v/>
      </c>
      <c r="H974" t="str">
        <f>IF(Eventos!A974="","",Eventos!A974&amp;" | "&amp;Eventos!B974)</f>
        <v/>
      </c>
    </row>
    <row r="975" spans="1:8">
      <c r="A975" t="str">
        <f>IF(Productos!A975="","",Productos!A975&amp;" | "&amp;Productos!B975)</f>
        <v/>
      </c>
      <c r="H975" t="str">
        <f>IF(Eventos!A975="","",Eventos!A975&amp;" | "&amp;Eventos!B975)</f>
        <v/>
      </c>
    </row>
    <row r="976" spans="1:8">
      <c r="A976" t="str">
        <f>IF(Productos!A976="","",Productos!A976&amp;" | "&amp;Productos!B976)</f>
        <v/>
      </c>
      <c r="H976" t="str">
        <f>IF(Eventos!A976="","",Eventos!A976&amp;" | "&amp;Eventos!B976)</f>
        <v/>
      </c>
    </row>
    <row r="977" spans="1:8">
      <c r="A977" t="str">
        <f>IF(Productos!A977="","",Productos!A977&amp;" | "&amp;Productos!B977)</f>
        <v/>
      </c>
      <c r="H977" t="str">
        <f>IF(Eventos!A977="","",Eventos!A977&amp;" | "&amp;Eventos!B977)</f>
        <v/>
      </c>
    </row>
    <row r="978" spans="1:8">
      <c r="A978" t="str">
        <f>IF(Productos!A978="","",Productos!A978&amp;" | "&amp;Productos!B978)</f>
        <v/>
      </c>
      <c r="H978" t="str">
        <f>IF(Eventos!A978="","",Eventos!A978&amp;" | "&amp;Eventos!B978)</f>
        <v/>
      </c>
    </row>
    <row r="979" spans="1:8">
      <c r="A979" t="str">
        <f>IF(Productos!A979="","",Productos!A979&amp;" | "&amp;Productos!B979)</f>
        <v/>
      </c>
      <c r="H979" t="str">
        <f>IF(Eventos!A979="","",Eventos!A979&amp;" | "&amp;Eventos!B979)</f>
        <v/>
      </c>
    </row>
    <row r="980" spans="1:8">
      <c r="A980" t="str">
        <f>IF(Productos!A980="","",Productos!A980&amp;" | "&amp;Productos!B980)</f>
        <v/>
      </c>
      <c r="H980" t="str">
        <f>IF(Eventos!A980="","",Eventos!A980&amp;" | "&amp;Eventos!B980)</f>
        <v/>
      </c>
    </row>
    <row r="981" spans="1:8">
      <c r="A981" t="str">
        <f>IF(Productos!A981="","",Productos!A981&amp;" | "&amp;Productos!B981)</f>
        <v/>
      </c>
      <c r="H981" t="str">
        <f>IF(Eventos!A981="","",Eventos!A981&amp;" | "&amp;Eventos!B981)</f>
        <v/>
      </c>
    </row>
    <row r="982" spans="1:8">
      <c r="A982" t="str">
        <f>IF(Productos!A982="","",Productos!A982&amp;" | "&amp;Productos!B982)</f>
        <v/>
      </c>
      <c r="H982" t="str">
        <f>IF(Eventos!A982="","",Eventos!A982&amp;" | "&amp;Eventos!B982)</f>
        <v/>
      </c>
    </row>
    <row r="983" spans="1:8">
      <c r="A983" t="str">
        <f>IF(Productos!A983="","",Productos!A983&amp;" | "&amp;Productos!B983)</f>
        <v/>
      </c>
      <c r="H983" t="str">
        <f>IF(Eventos!A983="","",Eventos!A983&amp;" | "&amp;Eventos!B983)</f>
        <v/>
      </c>
    </row>
    <row r="984" spans="1:8">
      <c r="A984" t="str">
        <f>IF(Productos!A984="","",Productos!A984&amp;" | "&amp;Productos!B984)</f>
        <v/>
      </c>
      <c r="H984" t="str">
        <f>IF(Eventos!A984="","",Eventos!A984&amp;" | "&amp;Eventos!B984)</f>
        <v/>
      </c>
    </row>
    <row r="985" spans="1:8">
      <c r="A985" t="str">
        <f>IF(Productos!A985="","",Productos!A985&amp;" | "&amp;Productos!B985)</f>
        <v/>
      </c>
      <c r="H985" t="str">
        <f>IF(Eventos!A985="","",Eventos!A985&amp;" | "&amp;Eventos!B985)</f>
        <v/>
      </c>
    </row>
    <row r="986" spans="1:8">
      <c r="A986" t="str">
        <f>IF(Productos!A986="","",Productos!A986&amp;" | "&amp;Productos!B986)</f>
        <v/>
      </c>
      <c r="H986" t="str">
        <f>IF(Eventos!A986="","",Eventos!A986&amp;" | "&amp;Eventos!B986)</f>
        <v/>
      </c>
    </row>
    <row r="987" spans="1:8">
      <c r="A987" t="str">
        <f>IF(Productos!A987="","",Productos!A987&amp;" | "&amp;Productos!B987)</f>
        <v/>
      </c>
      <c r="H987" t="str">
        <f>IF(Eventos!A987="","",Eventos!A987&amp;" | "&amp;Eventos!B987)</f>
        <v/>
      </c>
    </row>
    <row r="988" spans="1:8">
      <c r="A988" t="str">
        <f>IF(Productos!A988="","",Productos!A988&amp;" | "&amp;Productos!B988)</f>
        <v/>
      </c>
      <c r="H988" t="str">
        <f>IF(Eventos!A988="","",Eventos!A988&amp;" | "&amp;Eventos!B988)</f>
        <v/>
      </c>
    </row>
    <row r="989" spans="1:8">
      <c r="A989" t="str">
        <f>IF(Productos!A989="","",Productos!A989&amp;" | "&amp;Productos!B989)</f>
        <v/>
      </c>
      <c r="H989" t="str">
        <f>IF(Eventos!A989="","",Eventos!A989&amp;" | "&amp;Eventos!B989)</f>
        <v/>
      </c>
    </row>
    <row r="990" spans="1:8">
      <c r="A990" t="str">
        <f>IF(Productos!A990="","",Productos!A990&amp;" | "&amp;Productos!B990)</f>
        <v/>
      </c>
      <c r="H990" t="str">
        <f>IF(Eventos!A990="","",Eventos!A990&amp;" | "&amp;Eventos!B990)</f>
        <v/>
      </c>
    </row>
    <row r="991" spans="1:8">
      <c r="A991" t="str">
        <f>IF(Productos!A991="","",Productos!A991&amp;" | "&amp;Productos!B991)</f>
        <v/>
      </c>
      <c r="H991" t="str">
        <f>IF(Eventos!A991="","",Eventos!A991&amp;" | "&amp;Eventos!B991)</f>
        <v/>
      </c>
    </row>
    <row r="992" spans="1:8">
      <c r="A992" t="str">
        <f>IF(Productos!A992="","",Productos!A992&amp;" | "&amp;Productos!B992)</f>
        <v/>
      </c>
      <c r="H992" t="str">
        <f>IF(Eventos!A992="","",Eventos!A992&amp;" | "&amp;Eventos!B992)</f>
        <v/>
      </c>
    </row>
    <row r="993" spans="1:8">
      <c r="A993" t="str">
        <f>IF(Productos!A993="","",Productos!A993&amp;" | "&amp;Productos!B993)</f>
        <v/>
      </c>
      <c r="H993" t="str">
        <f>IF(Eventos!A993="","",Eventos!A993&amp;" | "&amp;Eventos!B993)</f>
        <v/>
      </c>
    </row>
    <row r="994" spans="1:8">
      <c r="A994" t="str">
        <f>IF(Productos!A994="","",Productos!A994&amp;" | "&amp;Productos!B994)</f>
        <v/>
      </c>
      <c r="H994" t="str">
        <f>IF(Eventos!A994="","",Eventos!A994&amp;" | "&amp;Eventos!B994)</f>
        <v/>
      </c>
    </row>
    <row r="995" spans="1:8">
      <c r="A995" t="str">
        <f>IF(Productos!A995="","",Productos!A995&amp;" | "&amp;Productos!B995)</f>
        <v/>
      </c>
      <c r="H995" t="str">
        <f>IF(Eventos!A995="","",Eventos!A995&amp;" | "&amp;Eventos!B995)</f>
        <v/>
      </c>
    </row>
    <row r="996" spans="1:8">
      <c r="A996" t="str">
        <f>IF(Productos!A996="","",Productos!A996&amp;" | "&amp;Productos!B996)</f>
        <v/>
      </c>
      <c r="H996" t="str">
        <f>IF(Eventos!A996="","",Eventos!A996&amp;" | "&amp;Eventos!B996)</f>
        <v/>
      </c>
    </row>
    <row r="997" spans="1:8">
      <c r="A997" t="str">
        <f>IF(Productos!A997="","",Productos!A997&amp;" | "&amp;Productos!B997)</f>
        <v/>
      </c>
      <c r="H997" t="str">
        <f>IF(Eventos!A997="","",Eventos!A997&amp;" | "&amp;Eventos!B997)</f>
        <v/>
      </c>
    </row>
    <row r="998" spans="1:8">
      <c r="A998" t="str">
        <f>IF(Productos!A998="","",Productos!A998&amp;" | "&amp;Productos!B998)</f>
        <v/>
      </c>
      <c r="H998" t="str">
        <f>IF(Eventos!A998="","",Eventos!A998&amp;" | "&amp;Eventos!B998)</f>
        <v/>
      </c>
    </row>
    <row r="999" spans="1:8">
      <c r="A999" t="str">
        <f>IF(Productos!A999="","",Productos!A999&amp;" | "&amp;Productos!B999)</f>
        <v/>
      </c>
      <c r="H999" t="str">
        <f>IF(Eventos!A999="","",Eventos!A999&amp;" | "&amp;Eventos!B999)</f>
        <v/>
      </c>
    </row>
    <row r="1000" spans="1:8">
      <c r="A1000" t="str">
        <f>IF(Productos!A1000="","",Productos!A1000&amp;" | "&amp;Productos!B1000)</f>
        <v/>
      </c>
      <c r="H1000" t="str">
        <f>IF(Eventos!A1000="","",Eventos!A1000&amp;" | "&amp;Eventos!B1000)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Menú</vt:lpstr>
      <vt:lpstr>Formulario Producto</vt:lpstr>
      <vt:lpstr>Nuevo Alquiler</vt:lpstr>
      <vt:lpstr>Retornos</vt:lpstr>
      <vt:lpstr>Calendario</vt:lpstr>
      <vt:lpstr>Productos</vt:lpstr>
      <vt:lpstr>Eventos</vt:lpstr>
      <vt:lpstr>Detalle Alquiler</vt:lpstr>
      <vt:lpstr>Movimientos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Technology</cp:lastModifiedBy>
  <dcterms:created xsi:type="dcterms:W3CDTF">2026-09-10T04:05:44Z</dcterms:created>
  <dcterms:modified xsi:type="dcterms:W3CDTF">2026-09-10T04:05:45Z</dcterms:modified>
</cp:coreProperties>
</file>